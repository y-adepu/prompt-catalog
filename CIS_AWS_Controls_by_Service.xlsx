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List" sheetId="1" state="visible" r:id="rId3"/>
    <sheet name="Service Summary" sheetId="2" state="visible" r:id="rId4"/>
    <sheet name="Notes &amp; Verification" sheetId="3" state="visible" r:id="rId5"/>
  </sheets>
  <definedNames>
    <definedName function="false" hidden="true" localSheetId="0" name="_xlnm._FilterDatabase" vbProcedure="false">'Control List'!$A$1:$G$341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<sst xmlns="http://schemas.openxmlformats.org/spreadsheetml/2006/main" count="2194" uniqueCount="595">
  <si>
    <t xml:space="preserve">#</t>
  </si>
  <si>
    <t xml:space="preserve">AWS Service</t>
  </si>
  <si>
    <t xml:space="preserve">CIS Control ID</t>
  </si>
  <si>
    <t xml:space="preserve">Control</t>
  </si>
  <si>
    <t xml:space="preserve">Assessment</t>
  </si>
  <si>
    <t xml:space="preserve">Profile Level</t>
  </si>
  <si>
    <t xml:space="preserve">Reference CIS Benchmark &amp; Version</t>
  </si>
  <si>
    <t xml:space="preserve">Amazon AppStream 2.0</t>
  </si>
  <si>
    <t xml:space="preserve">5.1</t>
  </si>
  <si>
    <t xml:space="preserve">Ensure AppStream is utilizing its own virtual private cloud (VPC)</t>
  </si>
  <si>
    <t xml:space="preserve">Manual</t>
  </si>
  <si>
    <t xml:space="preserve">Level 1</t>
  </si>
  <si>
    <t xml:space="preserve">CIS AWS End User Compute Services Benchmark v1.2.0</t>
  </si>
  <si>
    <t xml:space="preserve">5.2</t>
  </si>
  <si>
    <t xml:space="preserve">Ensure a VPC Endpoint is set for AppStream</t>
  </si>
  <si>
    <t xml:space="preserve">5.3</t>
  </si>
  <si>
    <t xml:space="preserve">Ensure maximum session duration is no longer than 10 hours</t>
  </si>
  <si>
    <t xml:space="preserve">Automated</t>
  </si>
  <si>
    <t xml:space="preserve">5.4</t>
  </si>
  <si>
    <t xml:space="preserve">Ensure session disconnect timeout is set to 5 minutes or less</t>
  </si>
  <si>
    <t xml:space="preserve">5.5</t>
  </si>
  <si>
    <t xml:space="preserve">Ensure session Idle disconnect timeout is set to 10 minutes or less</t>
  </si>
  <si>
    <t xml:space="preserve">5.6</t>
  </si>
  <si>
    <t xml:space="preserve">Ensure internet access is granted and managed through your VPC</t>
  </si>
  <si>
    <t xml:space="preserve">5.7</t>
  </si>
  <si>
    <t xml:space="preserve">Ensure Operating system updates are applied to your base image every 30 days.</t>
  </si>
  <si>
    <t xml:space="preserve">Amazon Aurora</t>
  </si>
  <si>
    <t xml:space="preserve">2.1</t>
  </si>
  <si>
    <t xml:space="preserve">Ensure the Use of Security Groups</t>
  </si>
  <si>
    <t xml:space="preserve">CIS AWS Database Services Benchmark v2.0.0</t>
  </si>
  <si>
    <t xml:space="preserve">2.2</t>
  </si>
  <si>
    <t xml:space="preserve">Ensure Data at Rest is Encrypted</t>
  </si>
  <si>
    <t xml:space="preserve">2.3</t>
  </si>
  <si>
    <t xml:space="preserve">Ensure Data in Transit Encryption is Enforced</t>
  </si>
  <si>
    <t xml:space="preserve">2.4</t>
  </si>
  <si>
    <t xml:space="preserve">Ensure IAM Roles and Policies are Created</t>
  </si>
  <si>
    <t xml:space="preserve">2.5</t>
  </si>
  <si>
    <t xml:space="preserve">Ensure Database Audit Logging is Enabled</t>
  </si>
  <si>
    <t xml:space="preserve">2.6</t>
  </si>
  <si>
    <t xml:space="preserve">Ensure Passwords are Regularly Rotated</t>
  </si>
  <si>
    <t xml:space="preserve">2.7</t>
  </si>
  <si>
    <t xml:space="preserve">Ensure Least Privilege Access</t>
  </si>
  <si>
    <t xml:space="preserve">2.8</t>
  </si>
  <si>
    <t xml:space="preserve">Ensure Automatic Backups and Retention Policies are configured</t>
  </si>
  <si>
    <t xml:space="preserve">2.9</t>
  </si>
  <si>
    <t xml:space="preserve">Ensure Database is not Publicly accessible</t>
  </si>
  <si>
    <t xml:space="preserve">2.10</t>
  </si>
  <si>
    <t xml:space="preserve">Ensure Database has IAM Auth is Enabled</t>
  </si>
  <si>
    <t xml:space="preserve">Level 2</t>
  </si>
  <si>
    <t xml:space="preserve">2.11</t>
  </si>
  <si>
    <t xml:space="preserve">Ensure Database has delete protection enabled</t>
  </si>
  <si>
    <t xml:space="preserve">Amazon CloudWatch (CloudTrail metric filters &amp; alarms)</t>
  </si>
  <si>
    <t xml:space="preserve">Ensure unauthorized API calls are monitored</t>
  </si>
  <si>
    <t xml:space="preserve">CIS Amazon Web Services Foundations Benchmark v7.0.0</t>
  </si>
  <si>
    <t xml:space="preserve">Ensure management console sign-in without MFA is monitored</t>
  </si>
  <si>
    <t xml:space="preserve">Ensure usage of the 'root' account is monitored</t>
  </si>
  <si>
    <t xml:space="preserve">Ensure IAM policy changes are monitored</t>
  </si>
  <si>
    <t xml:space="preserve">Ensure CloudTrail configuration changes are monitored</t>
  </si>
  <si>
    <t xml:space="preserve">Ensure AWS Management Console authentication failures are monitored</t>
  </si>
  <si>
    <t xml:space="preserve">Ensure disabling or scheduled deletion of customer created CMKs is monitored</t>
  </si>
  <si>
    <t xml:space="preserve">5.8</t>
  </si>
  <si>
    <t xml:space="preserve">Ensure S3 bucket policy changes are monitored</t>
  </si>
  <si>
    <t xml:space="preserve">5.9</t>
  </si>
  <si>
    <t xml:space="preserve">Ensure AWS Config configuration changes are monitored</t>
  </si>
  <si>
    <t xml:space="preserve">5.10</t>
  </si>
  <si>
    <t xml:space="preserve">Ensure security group changes are monitored</t>
  </si>
  <si>
    <t xml:space="preserve">5.11</t>
  </si>
  <si>
    <t xml:space="preserve">Ensure Network Access Control List (NACL) changes are monitored</t>
  </si>
  <si>
    <t xml:space="preserve">5.12</t>
  </si>
  <si>
    <t xml:space="preserve">Ensure changes to network gateways are monitored</t>
  </si>
  <si>
    <t xml:space="preserve">5.13</t>
  </si>
  <si>
    <t xml:space="preserve">Ensure route table changes are monitored</t>
  </si>
  <si>
    <t xml:space="preserve">5.14</t>
  </si>
  <si>
    <t xml:space="preserve">Ensure VPC changes are monitored</t>
  </si>
  <si>
    <t xml:space="preserve">5.15</t>
  </si>
  <si>
    <t xml:space="preserve">Ensure AWS Organizations changes are monitored</t>
  </si>
  <si>
    <t xml:space="preserve">Amazon DocumentDB</t>
  </si>
  <si>
    <t xml:space="preserve">7.1</t>
  </si>
  <si>
    <t xml:space="preserve">Ensure Network Architecture Planning</t>
  </si>
  <si>
    <t xml:space="preserve">7.2</t>
  </si>
  <si>
    <t xml:space="preserve">Ensure VPC Security is Configured</t>
  </si>
  <si>
    <t xml:space="preserve">7.3</t>
  </si>
  <si>
    <t xml:space="preserve">Ensure Encryption at Rest is Enabled</t>
  </si>
  <si>
    <t xml:space="preserve">7.4</t>
  </si>
  <si>
    <t xml:space="preserve">Ensure Encryption in Transit is Enabled</t>
  </si>
  <si>
    <t xml:space="preserve">7.5</t>
  </si>
  <si>
    <t xml:space="preserve">Ensure to Implement Access Control and Authentication</t>
  </si>
  <si>
    <t xml:space="preserve">7.6</t>
  </si>
  <si>
    <t xml:space="preserve">Ensure Audit Logging is Enabled</t>
  </si>
  <si>
    <t xml:space="preserve">7.7</t>
  </si>
  <si>
    <t xml:space="preserve">Ensure Regular Updates and Patches</t>
  </si>
  <si>
    <t xml:space="preserve">7.8</t>
  </si>
  <si>
    <t xml:space="preserve">Ensure to Implement Monitoring and Alerting</t>
  </si>
  <si>
    <t xml:space="preserve">7.9</t>
  </si>
  <si>
    <t xml:space="preserve">Ensure to Implement Backup and Disaster Recovery</t>
  </si>
  <si>
    <t xml:space="preserve">7.10</t>
  </si>
  <si>
    <t xml:space="preserve">Ensure to Configure Backup Window</t>
  </si>
  <si>
    <t xml:space="preserve">7.11</t>
  </si>
  <si>
    <t xml:space="preserve">Ensure to Conduct Security Assessments</t>
  </si>
  <si>
    <t xml:space="preserve">7.12</t>
  </si>
  <si>
    <t xml:space="preserve">Ensure DocumentDB has delete protection enabled</t>
  </si>
  <si>
    <t xml:space="preserve">Amazon DynamoDB</t>
  </si>
  <si>
    <t xml:space="preserve">4.1</t>
  </si>
  <si>
    <t xml:space="preserve">Ensure AWS Identity and Access Management (IAM) is in use</t>
  </si>
  <si>
    <t xml:space="preserve">4.2</t>
  </si>
  <si>
    <t xml:space="preserve">Ensure Fine-Grained Access Control is implemented</t>
  </si>
  <si>
    <t xml:space="preserve">4.3</t>
  </si>
  <si>
    <t xml:space="preserve">Ensure DynamoDB Encryption at Rest</t>
  </si>
  <si>
    <t xml:space="preserve">4.4</t>
  </si>
  <si>
    <t xml:space="preserve">Ensure DynamoDB Encryption in Transit</t>
  </si>
  <si>
    <t xml:space="preserve">4.5</t>
  </si>
  <si>
    <t xml:space="preserve">Ensure VPC Endpoints are configured</t>
  </si>
  <si>
    <t xml:space="preserve">4.6</t>
  </si>
  <si>
    <t xml:space="preserve">Ensure DynamoDB Streams and AWS Lambda for Automated Compliance Checking is Enabled</t>
  </si>
  <si>
    <t xml:space="preserve">4.7</t>
  </si>
  <si>
    <t xml:space="preserve">Ensure Monitor and Audit Activity is enabled</t>
  </si>
  <si>
    <t xml:space="preserve">4.8</t>
  </si>
  <si>
    <t xml:space="preserve">4.9</t>
  </si>
  <si>
    <t xml:space="preserve">Ensure Database has Backup enabled</t>
  </si>
  <si>
    <t xml:space="preserve">Amazon EBS</t>
  </si>
  <si>
    <t xml:space="preserve">6.1.1</t>
  </si>
  <si>
    <t xml:space="preserve">Ensure EBS volume encryption is enabled in all regions</t>
  </si>
  <si>
    <t xml:space="preserve">2.2.1</t>
  </si>
  <si>
    <t xml:space="preserve">Ensure EBS volume encryption is enabled</t>
  </si>
  <si>
    <t xml:space="preserve">CIS AWS Compute Services Benchmark v2.0.0</t>
  </si>
  <si>
    <t xml:space="preserve">2.2.2</t>
  </si>
  <si>
    <t xml:space="preserve">Ensure Public Access to EBS Snapshots is Disabled</t>
  </si>
  <si>
    <t xml:space="preserve">2.2.3</t>
  </si>
  <si>
    <t xml:space="preserve">Ensure EBS volume snapshots are encrypted</t>
  </si>
  <si>
    <t xml:space="preserve">2.2.4</t>
  </si>
  <si>
    <t xml:space="preserve">Ensure unused EBS volumes are removed</t>
  </si>
  <si>
    <t xml:space="preserve">2.2.5</t>
  </si>
  <si>
    <t xml:space="preserve">Ensure attached EBS volumes are encrypted</t>
  </si>
  <si>
    <t xml:space="preserve">Ensure creating EC2 instance with EBS</t>
  </si>
  <si>
    <t xml:space="preserve">CIS AWS Storage Services Benchmark v1.0.0</t>
  </si>
  <si>
    <t xml:space="preserve">Ensure configuring Security Groups</t>
  </si>
  <si>
    <t xml:space="preserve">Ensure the proper configuration of EBS storage</t>
  </si>
  <si>
    <t xml:space="preserve">Ensure the creation of a new volume</t>
  </si>
  <si>
    <t xml:space="preserve">Ensure creating snapshots of EBS volumes</t>
  </si>
  <si>
    <t xml:space="preserve">Ensure Proper IAM Configuration for EC2 Instances</t>
  </si>
  <si>
    <t xml:space="preserve">Ensure creating IAM User</t>
  </si>
  <si>
    <t xml:space="preserve">Ensure the Creation of IAM Groups</t>
  </si>
  <si>
    <t xml:space="preserve">Ensure Granular Policy Creation</t>
  </si>
  <si>
    <t xml:space="preserve">Ensure Resource Access via Tag-based Policies</t>
  </si>
  <si>
    <t xml:space="preserve">Ensure Secure Password Policy Implementation</t>
  </si>
  <si>
    <t xml:space="preserve">2.12</t>
  </si>
  <si>
    <t xml:space="preserve">Ensure Monitoring EC2 and EBS with CloudWatch</t>
  </si>
  <si>
    <t xml:space="preserve">2.13</t>
  </si>
  <si>
    <t xml:space="preserve">Ensure creating an SNS subscription</t>
  </si>
  <si>
    <t xml:space="preserve">Amazon EC2</t>
  </si>
  <si>
    <t xml:space="preserve">6.1.2</t>
  </si>
  <si>
    <t xml:space="preserve">Ensure CIFS access is restricted to trusted networks to prevent unauthorized access</t>
  </si>
  <si>
    <t xml:space="preserve">6.7</t>
  </si>
  <si>
    <t xml:space="preserve">Ensure that the EC2 Metadata Service only allows IMDSv2</t>
  </si>
  <si>
    <t xml:space="preserve">Ensure Tag Policies are Enabled</t>
  </si>
  <si>
    <t xml:space="preserve">Ensure an Organizational EC2 Tag Policy has been Created</t>
  </si>
  <si>
    <t xml:space="preserve">Ensure no AWS EC2 Instances are Older than 180 days</t>
  </si>
  <si>
    <t xml:space="preserve">Ensure detailed monitoring is enable for production EC2 Instances</t>
  </si>
  <si>
    <t xml:space="preserve">Ensure Default EC2 Security groups are not being used.</t>
  </si>
  <si>
    <t xml:space="preserve">Ensure the Use of IMDSv2 is Enforced on All Existing Instances</t>
  </si>
  <si>
    <t xml:space="preserve">Ensure use of AWS Systems Manager to manage EC2 instances</t>
  </si>
  <si>
    <t xml:space="preserve">Ensure unused ENIs are removed</t>
  </si>
  <si>
    <t xml:space="preserve">Ensure instances stopped for over 90 days are removed</t>
  </si>
  <si>
    <t xml:space="preserve">Ensure EBS volumes attached to an EC2 instance is marked for deletion upon instance termination</t>
  </si>
  <si>
    <t xml:space="preserve">Ensure Secrets and Sensitive Data are not stored directly in EC2 User Data</t>
  </si>
  <si>
    <t xml:space="preserve">2.14</t>
  </si>
  <si>
    <t xml:space="preserve">Ensure EC2 Auto Scaling Groups Propagate Tags to EC2 Instances that it launches</t>
  </si>
  <si>
    <t xml:space="preserve">Amazon EC2 (AMI)</t>
  </si>
  <si>
    <t xml:space="preserve">2.1.1</t>
  </si>
  <si>
    <t xml:space="preserve">Ensure Consistent Naming Convention is used for Organizational AMI</t>
  </si>
  <si>
    <t xml:space="preserve">2.1.2</t>
  </si>
  <si>
    <t xml:space="preserve">Ensure Amazon Machine Images (AMIs) are encrypted</t>
  </si>
  <si>
    <t xml:space="preserve">2.1.3</t>
  </si>
  <si>
    <t xml:space="preserve">Ensure Only Approved Amazon Machine Images (AMIs) are Used</t>
  </si>
  <si>
    <t xml:space="preserve">2.1.4</t>
  </si>
  <si>
    <t xml:space="preserve">Ensure Images (AMI) are not older than 90 days</t>
  </si>
  <si>
    <t xml:space="preserve">2.1.5</t>
  </si>
  <si>
    <t xml:space="preserve">Ensure Images are not Publicly Available</t>
  </si>
  <si>
    <t xml:space="preserve">Amazon ECR</t>
  </si>
  <si>
    <t xml:space="preserve">18.1</t>
  </si>
  <si>
    <t xml:space="preserve">Ensure ECR repositories have image scanning enabled</t>
  </si>
  <si>
    <t xml:space="preserve">18.2</t>
  </si>
  <si>
    <t xml:space="preserve">Ensure ECR repositories have lifecycle policies configured</t>
  </si>
  <si>
    <t xml:space="preserve">18.3</t>
  </si>
  <si>
    <t xml:space="preserve">Ensure ECR repositories use immutable image tags</t>
  </si>
  <si>
    <t xml:space="preserve">18.4</t>
  </si>
  <si>
    <t xml:space="preserve">Ensure private ECR repositories do not allow public access via resource policies</t>
  </si>
  <si>
    <t xml:space="preserve">Amazon ECS</t>
  </si>
  <si>
    <t xml:space="preserve">3.1</t>
  </si>
  <si>
    <t xml:space="preserve">Ensure Amazon ECS task definitions using 'host' network mode do not allow privileged or root user access to the host</t>
  </si>
  <si>
    <t xml:space="preserve">3.2</t>
  </si>
  <si>
    <t xml:space="preserve">Ensure 'assignPublicIp' is set to 'DISABLED' for Amazon ECS services</t>
  </si>
  <si>
    <t xml:space="preserve">3.3</t>
  </si>
  <si>
    <t xml:space="preserve">Ensure Amazon ECS task definitions do not have 'pidMode' set to 'host'</t>
  </si>
  <si>
    <t xml:space="preserve">3.4</t>
  </si>
  <si>
    <t xml:space="preserve">Ensure Amazon ECS task definitions do not have 'privileged' set to 'true'</t>
  </si>
  <si>
    <t xml:space="preserve">3.5</t>
  </si>
  <si>
    <t xml:space="preserve">Ensure 'readonlyRootFilesystem' is set to 'true' for Amazon ECS task definitions</t>
  </si>
  <si>
    <t xml:space="preserve">3.6</t>
  </si>
  <si>
    <t xml:space="preserve">Ensure secrets are not passed as container environment variables in Amazon ECS task definitions</t>
  </si>
  <si>
    <t xml:space="preserve">3.7</t>
  </si>
  <si>
    <t xml:space="preserve">Ensure logging is configured for Amazon ECS task definitions</t>
  </si>
  <si>
    <t xml:space="preserve">3.8</t>
  </si>
  <si>
    <t xml:space="preserve">Ensure Amazon ECS Fargate services are using the latest Fargate platform version</t>
  </si>
  <si>
    <t xml:space="preserve">3.9</t>
  </si>
  <si>
    <t xml:space="preserve">Ensure monitoring is enabled for Amazon ECS clusters</t>
  </si>
  <si>
    <t xml:space="preserve">3.10</t>
  </si>
  <si>
    <t xml:space="preserve">Ensure Amazon ECS services are tagged</t>
  </si>
  <si>
    <t xml:space="preserve">3.11</t>
  </si>
  <si>
    <t xml:space="preserve">Ensure Amazon ECS clusters are tagged</t>
  </si>
  <si>
    <t xml:space="preserve">3.12</t>
  </si>
  <si>
    <t xml:space="preserve">Ensure Amazon ECS task definitions are tagged</t>
  </si>
  <si>
    <t xml:space="preserve">3.13</t>
  </si>
  <si>
    <t xml:space="preserve">Ensure only trusted images are used with Amazon ECS</t>
  </si>
  <si>
    <t xml:space="preserve">3.14</t>
  </si>
  <si>
    <t xml:space="preserve">Ensure 'assignPublicIp' is set to 'DISABLED' for Amazon ECS task sets</t>
  </si>
  <si>
    <t xml:space="preserve">3.15</t>
  </si>
  <si>
    <t xml:space="preserve">Ensure ECS task definitions use awsvpc network mode</t>
  </si>
  <si>
    <t xml:space="preserve">3.16</t>
  </si>
  <si>
    <t xml:space="preserve">Ensure ECS Exec sessions have audit logging enabled</t>
  </si>
  <si>
    <t xml:space="preserve">Amazon EFS</t>
  </si>
  <si>
    <t xml:space="preserve">3.3.1</t>
  </si>
  <si>
    <t xml:space="preserve">Ensure that encryption is enabled for EFS file systems</t>
  </si>
  <si>
    <t xml:space="preserve">EFS</t>
  </si>
  <si>
    <t xml:space="preserve">Ensure Implementation of EFS</t>
  </si>
  <si>
    <t xml:space="preserve">Ensure EFS and VPC Integration</t>
  </si>
  <si>
    <t xml:space="preserve">Ensure controlling Network access to EFS Services</t>
  </si>
  <si>
    <t xml:space="preserve">Ensure using Security Groups for VPC</t>
  </si>
  <si>
    <t xml:space="preserve">Ensure Secure Ports</t>
  </si>
  <si>
    <t xml:space="preserve">Ensure File-Level Access Control with Mount Targets</t>
  </si>
  <si>
    <t xml:space="preserve">Ensure managing mount target security groups</t>
  </si>
  <si>
    <t xml:space="preserve">Ensure using VPC endpoints - EFS</t>
  </si>
  <si>
    <t xml:space="preserve">Ensure managing AWS EFS access points</t>
  </si>
  <si>
    <t xml:space="preserve">Ensure accessing Points and IAM Policies</t>
  </si>
  <si>
    <t xml:space="preserve">Ensure configuring IAM for AWS Elastic Disaster Recovery</t>
  </si>
  <si>
    <t xml:space="preserve">Amazon ElastiCache</t>
  </si>
  <si>
    <t xml:space="preserve">Ensure Secure Access to ElastiCache</t>
  </si>
  <si>
    <t xml:space="preserve">Ensure Network Security is Enabled</t>
  </si>
  <si>
    <t xml:space="preserve">Ensure Encryption at Rest and in Transit is configured</t>
  </si>
  <si>
    <t xml:space="preserve">Ensure Automatic Updates and Patching are Enabled</t>
  </si>
  <si>
    <t xml:space="preserve">Ensure Virtual Private Cloud (VPC) is Enabled</t>
  </si>
  <si>
    <t xml:space="preserve">Ensure Monitoring and Logging is Enabled</t>
  </si>
  <si>
    <t xml:space="preserve">Ensure Security Configurations are Reviewed Regularly</t>
  </si>
  <si>
    <t xml:space="preserve">Ensure Authentication and Access Control is Enabled</t>
  </si>
  <si>
    <t xml:space="preserve">Ensure ElastiCache has Cluster Mode Enabled</t>
  </si>
  <si>
    <t xml:space="preserve">Ensure ElastiCache is deployed across multiple Availability Zones (AZs)</t>
  </si>
  <si>
    <t xml:space="preserve">Ensure ElastiCache has automatic backups enabled</t>
  </si>
  <si>
    <t xml:space="preserve">Amazon FSx / Elastic File Cache</t>
  </si>
  <si>
    <t xml:space="preserve">FSX (AWS Elastic File Cache)</t>
  </si>
  <si>
    <t xml:space="preserve">Amazon Elastic File Cache</t>
  </si>
  <si>
    <t xml:space="preserve">Ensure the creation of an FSX Bucket</t>
  </si>
  <si>
    <t xml:space="preserve">Ensure the creation of Elastic File Cache</t>
  </si>
  <si>
    <t xml:space="preserve">Ensure installation and configuration of Lustre Client</t>
  </si>
  <si>
    <t xml:space="preserve">Ensure EC2 Kernel compatibility with Lustre</t>
  </si>
  <si>
    <t xml:space="preserve">Ensure mounting FSx cache</t>
  </si>
  <si>
    <t xml:space="preserve">Ensure exporting cache to S3</t>
  </si>
  <si>
    <t xml:space="preserve">Ensure cleaning up FSx Resources</t>
  </si>
  <si>
    <t xml:space="preserve">Amazon Keyspaces</t>
  </si>
  <si>
    <t xml:space="preserve">8.1</t>
  </si>
  <si>
    <t xml:space="preserve">Ensure Keyspace Security is Configured</t>
  </si>
  <si>
    <t xml:space="preserve">8.2</t>
  </si>
  <si>
    <t xml:space="preserve">8.3</t>
  </si>
  <si>
    <t xml:space="preserve">Ensure Data at Rest and in Transit is Encrypted</t>
  </si>
  <si>
    <t xml:space="preserve">8.4</t>
  </si>
  <si>
    <t xml:space="preserve">Ensure Amazon Keyspaces tables have Point-in-Time Recovery (PITR) enabled</t>
  </si>
  <si>
    <t xml:space="preserve">Amazon Lightsail</t>
  </si>
  <si>
    <t xml:space="preserve">Apply updates to any apps running in Lightsail</t>
  </si>
  <si>
    <t xml:space="preserve">Change default Administrator login names and passwords for applications</t>
  </si>
  <si>
    <t xml:space="preserve">Disable SSH and RDP ports for Lightsail instances when not needed.</t>
  </si>
  <si>
    <t xml:space="preserve">Ensure SSH is restricted to only IP address that should have this access.</t>
  </si>
  <si>
    <t xml:space="preserve">Ensure RDP is restricted to only IP address that should have this access.</t>
  </si>
  <si>
    <t xml:space="preserve">Disable IPv6 Networking if not in use within your organization.</t>
  </si>
  <si>
    <t xml:space="preserve">Ensure you are using an IAM policy to manage access to buckets in Lightsail.</t>
  </si>
  <si>
    <t xml:space="preserve">Ensure Lightsail instances are attached to the buckets</t>
  </si>
  <si>
    <t xml:space="preserve">Ensure that your Lightsail buckets are not publicly accessible</t>
  </si>
  <si>
    <t xml:space="preserve">Enable storage bucket access logging</t>
  </si>
  <si>
    <t xml:space="preserve">Ensure your Windows Server based lightsail instances are updated with the latest security patches.</t>
  </si>
  <si>
    <t xml:space="preserve">Change the auto-generated password for Windows based instances.</t>
  </si>
  <si>
    <t xml:space="preserve">Amazon MemoryDB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</si>
  <si>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</si>
  <si>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</si>
  <si>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</si>
  <si>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</si>
  <si>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</si>
  <si>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</si>
  <si>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Ensure Monitoring and Alerting is Enabled</t>
  </si>
  <si>
    <t xml:space="preserve">Ensure MemoryDB has automatic backups enabled</t>
  </si>
  <si>
    <t xml:space="preserve">Amazon Neptune</t>
  </si>
  <si>
    <t xml:space="preserve">9.1</t>
  </si>
  <si>
    <t xml:space="preserve">9.2</t>
  </si>
  <si>
    <t xml:space="preserve">9.3</t>
  </si>
  <si>
    <t xml:space="preserve">Ensure Data in Transit is Encrypted</t>
  </si>
  <si>
    <t xml:space="preserve">9.4</t>
  </si>
  <si>
    <t xml:space="preserve">9.5</t>
  </si>
  <si>
    <t xml:space="preserve">9.6</t>
  </si>
  <si>
    <t xml:space="preserve">9.7</t>
  </si>
  <si>
    <t xml:space="preserve">9.8</t>
  </si>
  <si>
    <t xml:space="preserve">Ensure Neptune Database is not Publicly accessible</t>
  </si>
  <si>
    <t xml:space="preserve">9.9</t>
  </si>
  <si>
    <t xml:space="preserve">Ensure Neptune Database has automatic backups enabled</t>
  </si>
  <si>
    <t xml:space="preserve">9.10</t>
  </si>
  <si>
    <t xml:space="preserve">9.11</t>
  </si>
  <si>
    <t xml:space="preserve">Ensure Neptune DB instances are deployed across multiple Availability Zones (AZs)</t>
  </si>
  <si>
    <t xml:space="preserve">Amazon QLDB</t>
  </si>
  <si>
    <t xml:space="preserve">11.1</t>
  </si>
  <si>
    <t xml:space="preserve">Ensure to Implement Identity and Access Management (IAM)</t>
  </si>
  <si>
    <t xml:space="preserve">11.2</t>
  </si>
  <si>
    <t xml:space="preserve">Ensure Network Access is Secure</t>
  </si>
  <si>
    <t xml:space="preserve">11.3</t>
  </si>
  <si>
    <t xml:space="preserve">11.4</t>
  </si>
  <si>
    <t xml:space="preserve">11.5</t>
  </si>
  <si>
    <t xml:space="preserve">11.6</t>
  </si>
  <si>
    <t xml:space="preserve">11.7</t>
  </si>
  <si>
    <t xml:space="preserve">Ensure to Enable Backup and Recovery</t>
  </si>
  <si>
    <t xml:space="preserve">Amazon RDS</t>
  </si>
  <si>
    <t xml:space="preserve">3.2.1</t>
  </si>
  <si>
    <t xml:space="preserve">Ensure that encryption-at-rest is enabled for RDS instances</t>
  </si>
  <si>
    <t xml:space="preserve">3.2.2</t>
  </si>
  <si>
    <t xml:space="preserve">Ensure the Auto Minor Version Upgrade feature is enabled for RDS instances</t>
  </si>
  <si>
    <t xml:space="preserve">3.2.3</t>
  </si>
  <si>
    <t xml:space="preserve">Ensure that RDS instances are not publicly accessible</t>
  </si>
  <si>
    <t xml:space="preserve">3.2.4</t>
  </si>
  <si>
    <t xml:space="preserve">Ensure Multi-AZ deployments are used for enhanced availability in Amazon RDS</t>
  </si>
  <si>
    <t xml:space="preserve">Ensure to Choose the Appropriate Database Engine</t>
  </si>
  <si>
    <t xml:space="preserve">Ensure to Create The Appropriate Deployment Configuration</t>
  </si>
  <si>
    <t xml:space="preserve">Ensure to Create a Virtual Private Cloud (VPC)</t>
  </si>
  <si>
    <t xml:space="preserve">Ensure to Configure Security Groups</t>
  </si>
  <si>
    <t xml:space="preserve">Enable Encryption at Rest</t>
  </si>
  <si>
    <t xml:space="preserve">Enable Encryption in Transit</t>
  </si>
  <si>
    <t xml:space="preserve">Ensure to Regularly Patch Systems</t>
  </si>
  <si>
    <t xml:space="preserve">Ensure to Regularly Review Security Configuration</t>
  </si>
  <si>
    <t xml:space="preserve">Amazon S3</t>
  </si>
  <si>
    <t xml:space="preserve">3.1.1</t>
  </si>
  <si>
    <t xml:space="preserve">Ensure S3 Bucket Policy is set to deny HTTP requests</t>
  </si>
  <si>
    <t xml:space="preserve">3.1.2</t>
  </si>
  <si>
    <t xml:space="preserve">Ensure MFA Delete is enabled on S3 buckets</t>
  </si>
  <si>
    <t xml:space="preserve">3.1.3</t>
  </si>
  <si>
    <t xml:space="preserve">Ensure all data in Amazon S3 has been discovered, classified, and secured when necessary</t>
  </si>
  <si>
    <t xml:space="preserve">3.1.4</t>
  </si>
  <si>
    <t xml:space="preserve">Ensure that S3 is configured with 'Block Public Access' enabled</t>
  </si>
  <si>
    <t xml:space="preserve">Amazon Simple Storage Service</t>
  </si>
  <si>
    <t xml:space="preserve">Ensure direct data addition to S3</t>
  </si>
  <si>
    <t xml:space="preserve">Ensure Storage Classes are Configured</t>
  </si>
  <si>
    <t xml:space="preserve">Amazon S3 / AWS CloudTrail</t>
  </si>
  <si>
    <t xml:space="preserve">Ensure that object-level logging for write events is enabled for S3 buckets</t>
  </si>
  <si>
    <t xml:space="preserve">Ensure that object-level logging for read events is enabled for S3 buckets</t>
  </si>
  <si>
    <t xml:space="preserve">Amazon Timestream</t>
  </si>
  <si>
    <t xml:space="preserve">10.1</t>
  </si>
  <si>
    <t xml:space="preserve">Ensure Data Ingestion is Secure</t>
  </si>
  <si>
    <t xml:space="preserve">10.2</t>
  </si>
  <si>
    <t xml:space="preserve">10.3</t>
  </si>
  <si>
    <t xml:space="preserve">Ensure Encryption in Transit is Configured</t>
  </si>
  <si>
    <t xml:space="preserve">10.4</t>
  </si>
  <si>
    <t xml:space="preserve">Ensure Access Control and Authentication is Enabled</t>
  </si>
  <si>
    <t xml:space="preserve">10.5</t>
  </si>
  <si>
    <t xml:space="preserve">Ensure Fine-Grained Access Control is Enabled</t>
  </si>
  <si>
    <t xml:space="preserve">10.6</t>
  </si>
  <si>
    <t xml:space="preserve">10.7</t>
  </si>
  <si>
    <t xml:space="preserve">Ensure Regular Updates and Patches are Installed</t>
  </si>
  <si>
    <t xml:space="preserve">10.8</t>
  </si>
  <si>
    <t xml:space="preserve">10.9</t>
  </si>
  <si>
    <t xml:space="preserve">Ensure to Review and Update the Security Configuration</t>
  </si>
  <si>
    <t xml:space="preserve">10.10</t>
  </si>
  <si>
    <t xml:space="preserve">Ensure Database has automated Backups enabled</t>
  </si>
  <si>
    <t xml:space="preserve">Amazon VPC</t>
  </si>
  <si>
    <t xml:space="preserve">Ensure VPC flow logging is enabled in all VPCs</t>
  </si>
  <si>
    <t xml:space="preserve">Ensure no Network ACLs allow ingress from 0.0.0.0/0 to remote server administration ports</t>
  </si>
  <si>
    <t xml:space="preserve">Ensure no security groups allow ingress from 0.0.0.0/0 to remote server administration ports</t>
  </si>
  <si>
    <t xml:space="preserve">Ensure no security groups allow ingress from ::/0 to remote server administration ports</t>
  </si>
  <si>
    <t xml:space="preserve">Ensure the default security group of every VPC restricts all traffic</t>
  </si>
  <si>
    <t xml:space="preserve">Ensure routing tables for VPC peering are "least access"</t>
  </si>
  <si>
    <t xml:space="preserve">6.8</t>
  </si>
  <si>
    <t xml:space="preserve">Ensure VPC Endpoints are used for access to AWS Services</t>
  </si>
  <si>
    <t xml:space="preserve">Amazon WorkDocs</t>
  </si>
  <si>
    <t xml:space="preserve">Ensure Administrators of WorkDocs is defined using IAM</t>
  </si>
  <si>
    <t xml:space="preserve">Ensure MFA is enabled for WorkDoc users</t>
  </si>
  <si>
    <t xml:space="preserve">Ensure Workdocs access is limited to a range of allowable IP addresses</t>
  </si>
  <si>
    <t xml:space="preserve">Utilize site wide activity feed for monitoring.</t>
  </si>
  <si>
    <t xml:space="preserve">Ensure new users can only be invited from allowed domains.</t>
  </si>
  <si>
    <t xml:space="preserve">Ensure only specific users are allowed to invite external users</t>
  </si>
  <si>
    <t xml:space="preserve">Ensure publicly shareable links is not allowed in WorkDocs</t>
  </si>
  <si>
    <t xml:space="preserve">Ensure any user that has not accessed WorkDocs in 30 days is set to inactive.</t>
  </si>
  <si>
    <t xml:space="preserve">Amazon WorkSpaces</t>
  </si>
  <si>
    <t xml:space="preserve">Ensure Administration of WorkSpaces is defined using IAM</t>
  </si>
  <si>
    <t xml:space="preserve">Ensure MFA is enabled for WorkSpaces users</t>
  </si>
  <si>
    <t xml:space="preserve">Ensure WorkSpace volumes are encrypted.</t>
  </si>
  <si>
    <t xml:space="preserve">Ensure WorkSpaces are deployed in their own virtual private cloud (VPC)</t>
  </si>
  <si>
    <t xml:space="preserve">Ensure WorkSpaces traffic is controlled and routed through a NAT Gateway.</t>
  </si>
  <si>
    <t xml:space="preserve">Ensure Web Access to Workspaces is Disabled</t>
  </si>
  <si>
    <t xml:space="preserve">Ensure access is limited to trusted devices</t>
  </si>
  <si>
    <t xml:space="preserve">Ensure the default IP access control group is disassociated.</t>
  </si>
  <si>
    <t xml:space="preserve">Ensure CloudWatch is set up for WorkSpaces</t>
  </si>
  <si>
    <t xml:space="preserve">Ensure that patches and updates are performed on the operating system for Workstations</t>
  </si>
  <si>
    <t xml:space="preserve">Ensure your WorkSpaces image has the appropriate CIS Operating System Benchmark applied</t>
  </si>
  <si>
    <t xml:space="preserve">Restrict WorkSpaces Bundle options to organization approved versions</t>
  </si>
  <si>
    <t xml:space="preserve">Ensure Workspaces images are not older than 90 days.</t>
  </si>
  <si>
    <t xml:space="preserve">Ensure WorkSpaces that are not being utilized are removed.</t>
  </si>
  <si>
    <t xml:space="preserve">2.15</t>
  </si>
  <si>
    <t xml:space="preserve">Ensure primary interface ports for Workspaces are not open to all inbound traffic.</t>
  </si>
  <si>
    <t xml:space="preserve">2.16</t>
  </si>
  <si>
    <t xml:space="preserve">Ensure FIPS Endpoint encryption is enabled for WorkSpaces.</t>
  </si>
  <si>
    <t xml:space="preserve">2.17</t>
  </si>
  <si>
    <t xml:space="preserve">Ensure WorkSpaces API requests flow through a VPC Endpoint</t>
  </si>
  <si>
    <t xml:space="preserve">2.18</t>
  </si>
  <si>
    <t xml:space="preserve">Ensure Radius server is using the recommended security protocol</t>
  </si>
  <si>
    <t xml:space="preserve">Amazon WorkSpaces Secure Browser (WorkSpaces Web)</t>
  </si>
  <si>
    <t xml:space="preserve">Ensure User Access Logging is enabled</t>
  </si>
  <si>
    <t xml:space="preserve">AWS Account Management</t>
  </si>
  <si>
    <t xml:space="preserve">Maintain current AWS account contact details</t>
  </si>
  <si>
    <t xml:space="preserve">Ensure security contact information is registered</t>
  </si>
  <si>
    <t xml:space="preserve">AWS App Runner</t>
  </si>
  <si>
    <t xml:space="preserve">Ensure you are using VPC Endpoints for source code access</t>
  </si>
  <si>
    <t xml:space="preserve">AWS Backup</t>
  </si>
  <si>
    <t xml:space="preserve">1.1</t>
  </si>
  <si>
    <t xml:space="preserve">AWS Storage Backups</t>
  </si>
  <si>
    <t xml:space="preserve">1.2</t>
  </si>
  <si>
    <t xml:space="preserve">Ensure securing AWS Backups</t>
  </si>
  <si>
    <t xml:space="preserve">1.3</t>
  </si>
  <si>
    <t xml:space="preserve">Ensure to create backup template and name</t>
  </si>
  <si>
    <t xml:space="preserve">1.4</t>
  </si>
  <si>
    <t xml:space="preserve">Ensure to create AWS IAM Policies</t>
  </si>
  <si>
    <t xml:space="preserve">1.5</t>
  </si>
  <si>
    <t xml:space="preserve">Ensure to create IAM roles for Backup</t>
  </si>
  <si>
    <t xml:space="preserve">1.6</t>
  </si>
  <si>
    <t xml:space="preserve">Ensure AWS Backup with Service Linked Roles</t>
  </si>
  <si>
    <t xml:space="preserve">AWS Batch</t>
  </si>
  <si>
    <t xml:space="preserve">Ensure AWS Batch is configured with AWS Cloudwatch Logs.</t>
  </si>
  <si>
    <t xml:space="preserve">Ensure Batch roles are configured for cross-service confused deputy prevention</t>
  </si>
  <si>
    <t xml:space="preserve">AWS CloudShell</t>
  </si>
  <si>
    <t xml:space="preserve">2.20</t>
  </si>
  <si>
    <t xml:space="preserve">Ensure access to AWSCloudShellFullAccess is restricted</t>
  </si>
  <si>
    <t xml:space="preserve">AWS CloudTrail</t>
  </si>
  <si>
    <t xml:space="preserve">Ensure CloudTrail is enabled in all regions</t>
  </si>
  <si>
    <t xml:space="preserve">Ensure CloudTrail log file validation is enabled</t>
  </si>
  <si>
    <t xml:space="preserve">Ensure that server access logging is enabled on the CloudTrail S3 bucket</t>
  </si>
  <si>
    <t xml:space="preserve">Ensure CloudTrail logs are encrypted at rest using KMS CMKs</t>
  </si>
  <si>
    <t xml:space="preserve">AWS Config</t>
  </si>
  <si>
    <t xml:space="preserve">Ensure AWS Config is enabled in all regions</t>
  </si>
  <si>
    <t xml:space="preserve">AWS Elastic Beanstalk</t>
  </si>
  <si>
    <t xml:space="preserve">Ensure Managed Platform updates is configured</t>
  </si>
  <si>
    <t xml:space="preserve">Ensure Persistent logs is setup and configured to S3</t>
  </si>
  <si>
    <t xml:space="preserve">Ensure access logs are enabled.</t>
  </si>
  <si>
    <t xml:space="preserve">Ensure that HTTPS is enabled on load balancer</t>
  </si>
  <si>
    <t xml:space="preserve">AWS Elastic Disaster Recovery</t>
  </si>
  <si>
    <t xml:space="preserve">Ensure Elastic Disaster Recovery is Configured</t>
  </si>
  <si>
    <t xml:space="preserve">Ensure AWS Disaster Recovery Configuration</t>
  </si>
  <si>
    <t xml:space="preserve">Ensure functionality of Endpoint Detection and Response (EDR)</t>
  </si>
  <si>
    <t xml:space="preserve">Ensure configuration of replication settings</t>
  </si>
  <si>
    <t xml:space="preserve">Ensure proper IAM configuration for AWS Elastic Disaster Recovery</t>
  </si>
  <si>
    <t xml:space="preserve">Ensure installation of the AWS Replication Agent</t>
  </si>
  <si>
    <t xml:space="preserve">Ensure proper configuration of the Launch Settings</t>
  </si>
  <si>
    <t xml:space="preserve">Ensure execution of a recovery drill</t>
  </si>
  <si>
    <t xml:space="preserve">6.9</t>
  </si>
  <si>
    <t xml:space="preserve">Ensure Continuous Disaster Recovery Operations</t>
  </si>
  <si>
    <t xml:space="preserve">6.10</t>
  </si>
  <si>
    <t xml:space="preserve">Ensure execution of a Disaster Recovery Failover</t>
  </si>
  <si>
    <t xml:space="preserve">6.11</t>
  </si>
  <si>
    <t xml:space="preserve">Ensure execution of a failback</t>
  </si>
  <si>
    <t xml:space="preserve">6.12</t>
  </si>
  <si>
    <t xml:space="preserve">Ensure CloudWatch Metrics for AWS EDR</t>
  </si>
  <si>
    <t xml:space="preserve">6.13</t>
  </si>
  <si>
    <t xml:space="preserve">Ensure working of EDR</t>
  </si>
  <si>
    <t xml:space="preserve">AWS Fargate</t>
  </si>
  <si>
    <t xml:space="preserve">Ensure customer-managed keys are used to encrypt AWS Fargate ephemeral storage data for Amazon ECS</t>
  </si>
  <si>
    <t xml:space="preserve">AWS IAM</t>
  </si>
  <si>
    <t xml:space="preserve">Ensure no 'root' user account access key exists</t>
  </si>
  <si>
    <t xml:space="preserve">Ensure MFA is enabled for the 'root' user account</t>
  </si>
  <si>
    <t xml:space="preserve">Ensure hardware MFA is enabled for the 'root' user account</t>
  </si>
  <si>
    <t xml:space="preserve">Eliminate use of the 'root' user for administrative and daily tasks</t>
  </si>
  <si>
    <t xml:space="preserve">Ensure IAM password policy requires minimum length of 14 or greater</t>
  </si>
  <si>
    <t xml:space="preserve">Ensure IAM password policy prevents password reuse</t>
  </si>
  <si>
    <t xml:space="preserve">Ensure multi-factor authentication (MFA) is enabled for all IAM users that have a console password</t>
  </si>
  <si>
    <t xml:space="preserve">Ensure credentials unused for 45 days or more are disabled</t>
  </si>
  <si>
    <t xml:space="preserve">Ensure access keys are rotated every 90 days or less</t>
  </si>
  <si>
    <t xml:space="preserve">Ensure IAM users receive permissions only through groups</t>
  </si>
  <si>
    <t xml:space="preserve">Ensure IAM policies that allow full "*:*" administrative privileges are not attached</t>
  </si>
  <si>
    <t xml:space="preserve">Ensure a support role has been created to manage incidents with AWS Support</t>
  </si>
  <si>
    <t xml:space="preserve">Ensure IAM instance roles are used for AWS resource access from instances</t>
  </si>
  <si>
    <t xml:space="preserve">Ensure that all expired SSL/TLS certificates stored in AWS IAM are removed</t>
  </si>
  <si>
    <t xml:space="preserve">2.19</t>
  </si>
  <si>
    <t xml:space="preserve">Ensure IAM users are managed centrally via identity federation or AWS Organizations for multi-account environments</t>
  </si>
  <si>
    <t xml:space="preserve">2.21</t>
  </si>
  <si>
    <t xml:space="preserve">Ensure AWS resource policies do not allow unrestricted access using "Principal": "*"</t>
  </si>
  <si>
    <t xml:space="preserve">AWS KMS</t>
  </si>
  <si>
    <t xml:space="preserve">Ensure rotation for customer-created symmetric CMKs is enabled</t>
  </si>
  <si>
    <t xml:space="preserve">AWS Lambda</t>
  </si>
  <si>
    <t xml:space="preserve">12.1</t>
  </si>
  <si>
    <t xml:space="preserve">Ensure AWS Config is Enabled for Lambda and Serverless</t>
  </si>
  <si>
    <t xml:space="preserve">12.2</t>
  </si>
  <si>
    <t xml:space="preserve">Ensure Cloudwatch Lambda insights is enabled</t>
  </si>
  <si>
    <t xml:space="preserve">12.3</t>
  </si>
  <si>
    <t xml:space="preserve">Ensure AWS Secrets manager is configured and being used by Lambda for databases</t>
  </si>
  <si>
    <t xml:space="preserve">12.4</t>
  </si>
  <si>
    <t xml:space="preserve">Ensure least privilege is used with Lambda function access</t>
  </si>
  <si>
    <t xml:space="preserve">12.5</t>
  </si>
  <si>
    <t xml:space="preserve">Ensure every Lambda function has its own IAM Role</t>
  </si>
  <si>
    <t xml:space="preserve">12.6</t>
  </si>
  <si>
    <t xml:space="preserve">Ensure Lambda functions are not exposed to everyone.</t>
  </si>
  <si>
    <t xml:space="preserve">12.7</t>
  </si>
  <si>
    <t xml:space="preserve">Ensure Lambda functions are referencing active execution roles.</t>
  </si>
  <si>
    <t xml:space="preserve">12.8</t>
  </si>
  <si>
    <t xml:space="preserve">Ensure that Code Signing is enabled for Lambda functions.</t>
  </si>
  <si>
    <t xml:space="preserve">12.9</t>
  </si>
  <si>
    <t xml:space="preserve">Ensure there are no Lambda functions with admin privileges within your AWS account</t>
  </si>
  <si>
    <t xml:space="preserve">12.10</t>
  </si>
  <si>
    <t xml:space="preserve">Ensure Lambda functions do not allow unknown cross account access via permission policies.</t>
  </si>
  <si>
    <t xml:space="preserve">12.11</t>
  </si>
  <si>
    <t xml:space="preserve">Ensure that the runtime environment versions used for your Lambda functions do not have end of support dates.</t>
  </si>
  <si>
    <t xml:space="preserve">12.12</t>
  </si>
  <si>
    <t xml:space="preserve">Ensure encryption in transit is enabled for Lambda environment variables</t>
  </si>
  <si>
    <t xml:space="preserve">12.13</t>
  </si>
  <si>
    <t xml:space="preserve">Ensure Lambda layers are not shared publicly</t>
  </si>
  <si>
    <t xml:space="preserve">12.14</t>
  </si>
  <si>
    <t xml:space="preserve">Ensure Lambda recursive invocation detection is enabled</t>
  </si>
  <si>
    <t xml:space="preserve">12.15</t>
  </si>
  <si>
    <t xml:space="preserve">Ensure Lambda function URLs do not use wildcard CORS origins</t>
  </si>
  <si>
    <t xml:space="preserve">12.16</t>
  </si>
  <si>
    <t xml:space="preserve">Ensure AWS Lambda Function URLs are configured to use AWS IAM authentication</t>
  </si>
  <si>
    <t xml:space="preserve">12.17</t>
  </si>
  <si>
    <t xml:space="preserve">Ensure Lambda functions accessing private resources or sensitive data are deployed within a customer managed VPC</t>
  </si>
  <si>
    <t xml:space="preserve">AWS Organizations</t>
  </si>
  <si>
    <t xml:space="preserve">Ensure centralized root access in AWS Organizations</t>
  </si>
  <si>
    <t xml:space="preserve">Ensure authorization guardrails for all AWS Organization accounts</t>
  </si>
  <si>
    <t xml:space="preserve">Ensure Organizations management account is not used for workloads</t>
  </si>
  <si>
    <t xml:space="preserve">Ensure Organizational Units are structured by environment and sensitivity</t>
  </si>
  <si>
    <t xml:space="preserve">Ensure delegated admin manages AWS Organizations policies</t>
  </si>
  <si>
    <t xml:space="preserve">2.1.6</t>
  </si>
  <si>
    <t xml:space="preserve">Ensure delegated admins manage AWS Organizations- integrated services</t>
  </si>
  <si>
    <t xml:space="preserve">AWS Security Hub</t>
  </si>
  <si>
    <t xml:space="preserve">5.16</t>
  </si>
  <si>
    <t xml:space="preserve">Ensure AWS Security Hub is enabled</t>
  </si>
  <si>
    <t xml:space="preserve">AWS SimSpace Weaver</t>
  </si>
  <si>
    <t xml:space="preserve">16.1</t>
  </si>
  <si>
    <t xml:space="preserve">Ensure communications between your applications and clients is encrypted.</t>
  </si>
  <si>
    <t xml:space="preserve">EC2 Image Builder</t>
  </si>
  <si>
    <t xml:space="preserve">17.1</t>
  </si>
  <si>
    <t xml:space="preserve">Ensure Image Builder distribution configurations do not publicly share AMIs</t>
  </si>
  <si>
    <t xml:space="preserve">17.2</t>
  </si>
  <si>
    <t xml:space="preserve">Ensure Image Builder pipelines do not disable the built-in security cleanup script</t>
  </si>
  <si>
    <t xml:space="preserve">Elastic Load Balancing / CloudFront / API Gateway</t>
  </si>
  <si>
    <t xml:space="preserve">4.10</t>
  </si>
  <si>
    <t xml:space="preserve">Ensure all AWS-managed web front-end services have access logging enabled</t>
  </si>
  <si>
    <t xml:space="preserve">IAM Access Analyzer</t>
  </si>
  <si>
    <t xml:space="preserve">Ensure that IAM External Access Analyzer is enabled for all regions</t>
  </si>
  <si>
    <t xml:space="preserve">Total Controls</t>
  </si>
  <si>
    <t xml:space="preserve">Reference CIS Benchmark(s)</t>
  </si>
  <si>
    <t xml:space="preserve">CIS Amazon Web Services Foundations Benchmark v7.0.0; CIS AWS Compute Services Benchmark v2.0.0; CIS AWS Storage Services Benchmark v1.0.0</t>
  </si>
  <si>
    <t xml:space="preserve">CIS Amazon Web Services Foundations Benchmark v7.0.0; CIS AWS Compute Services Benchmark v2.0.0</t>
  </si>
  <si>
    <t xml:space="preserve">CIS Amazon Web Services Foundations Benchmark v7.0.0; CIS AWS Storage Services Benchmark v1.0.0</t>
  </si>
  <si>
    <t xml:space="preserve">CIS Amazon Web Services Foundations Benchmark v7.0.0; CIS AWS Database Services Benchmark v2.0.0</t>
  </si>
  <si>
    <t xml:space="preserve">TOTAL</t>
  </si>
  <si>
    <t xml:space="preserve">Source benchmarks</t>
  </si>
  <si>
    <t xml:space="preserve">70 recommendations</t>
  </si>
  <si>
    <t xml:space="preserve">82 recommendations</t>
  </si>
  <si>
    <t xml:space="preserve">56 recommendations</t>
  </si>
  <si>
    <t xml:space="preserve">98 recommendations</t>
  </si>
  <si>
    <t xml:space="preserve">34 recommendations</t>
  </si>
  <si>
    <t xml:space="preserve">Total</t>
  </si>
  <si>
    <t xml:space="preserve">340 recommendations</t>
  </si>
  <si>
    <t xml:space="preserve">Verification method</t>
  </si>
  <si>
    <t xml:space="preserve">1. Extraction</t>
  </si>
  <si>
    <t xml:space="preserve">Each control taken from the recommendation body (ID, title, Assessment Status, Profile Applicability).</t>
  </si>
  <si>
    <t xml:space="preserve">2. Completeness</t>
  </si>
  <si>
    <t xml:space="preserve">Count per benchmark reconciled against each Table of Contents: 70/82/56/98/34 — all match.</t>
  </si>
  <si>
    <t xml:space="preserve">3. Accuracy</t>
  </si>
  <si>
    <t xml:space="preserve">Every control ID + title cross-checked against the benchmark's Appendix: Summary Table — 340/340 matched, 0 mismatches, 0 duplicates.</t>
  </si>
  <si>
    <t xml:space="preserve">Service mapping notes</t>
  </si>
  <si>
    <t xml:space="preserve">Foundations §2 (IAM)</t>
  </si>
  <si>
    <t xml:space="preserve">Mapped to AWS IAM, AWS Organizations (2.1.x), AWS Account Management (2.2–2.3), IAM Access Analyzer (2.18), AWS CloudShell (2.20).</t>
  </si>
  <si>
    <t xml:space="preserve">Foundations §4–5</t>
  </si>
  <si>
    <t xml:space="preserve">CloudTrail/Config/KMS/VPC logging controls mapped to the owning service; CIS 5.1–5.15 metric-filter alarms mapped to Amazon CloudWatch; 5.16 to Security Hub.</t>
  </si>
  <si>
    <t xml:space="preserve">Foundations 4.8/4.9</t>
  </si>
  <si>
    <t xml:space="preserve">S3 object-level (CloudTrail data event) logging — tagged "Amazon S3 / AWS CloudTrail".</t>
  </si>
  <si>
    <t xml:space="preserve">Compute §4, 7, 9, 13, 14, 15</t>
  </si>
  <si>
    <t xml:space="preserve">EKS (refers to the separate CIS Amazon EKS Benchmark), Auto Scaling, Compute Optimizer, Local Zones, Outposts and Serverless Application Repository have section headers but NO recommendations in Compute v2.0.0.</t>
  </si>
  <si>
    <t xml:space="preserve">Overlapping controls (same intent in two benchmarks — implement once, map to both)</t>
  </si>
  <si>
    <t xml:space="preserve">EBS encryption by default</t>
  </si>
  <si>
    <t xml:space="preserve">Foundations 6.1.1 ↔ Compute 2.2.1</t>
  </si>
  <si>
    <t xml:space="preserve">IMDSv2 enforcement</t>
  </si>
  <si>
    <t xml:space="preserve">Foundations 6.7 ↔ Compute 2.8</t>
  </si>
  <si>
    <t xml:space="preserve">RDS not publicly accessible</t>
  </si>
  <si>
    <t xml:space="preserve">Foundations 3.2.3 ↔ Database 3.12</t>
  </si>
  <si>
    <t xml:space="preserve">RDS encryption at rest</t>
  </si>
  <si>
    <t xml:space="preserve">Foundations 3.2.1 ↔ Database 3.5</t>
  </si>
  <si>
    <t xml:space="preserve">RDS patching / minor version upgrade</t>
  </si>
  <si>
    <t xml:space="preserve">Foundations 3.2.2 ↔ Database 3.8</t>
  </si>
  <si>
    <t xml:space="preserve">Default security group restricted</t>
  </si>
  <si>
    <t xml:space="preserve">Foundations 6.5 ↔ Compute 2.7</t>
  </si>
  <si>
    <t xml:space="preserve">Remote admin ports (SSH/RDP) restricted</t>
  </si>
  <si>
    <t xml:space="preserve">Foundations 6.2–6.4 ↔ Compute 5.3–5.5 (Lightsail)</t>
  </si>
  <si>
    <t xml:space="preserve">Caveats</t>
  </si>
  <si>
    <t xml:space="preserve">Amazon WorkDocs / Amazon QLDB</t>
  </si>
  <si>
    <t xml:space="preserve">AWS has announced end-of-support for WorkDocs and QLDB; controls retained because they are in the provided benchmarks.</t>
  </si>
  <si>
    <t xml:space="preserve">Storage v1.0.0</t>
  </si>
  <si>
    <t xml:space="preserve">All 56 controls are Manual and largely procedural (setup/runbook style); prioritise Foundations + Compute controls for automated posture checks.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</si>
</sst>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85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3" t="s">
        <v>12</v>
      </c>
    </row>
    <row r="3" customFormat="false" ht="15" hidden="false" customHeight="false" outlineLevel="0" collapsed="false">
      <c r="A3" s="2" t="n">
        <v>2</v>
      </c>
      <c r="B3" s="3" t="s">
        <v>7</v>
      </c>
      <c r="C3" s="2" t="s">
        <v>13</v>
      </c>
      <c r="D3" s="3" t="s">
        <v>14</v>
      </c>
      <c r="E3" s="2" t="s">
        <v>10</v>
      </c>
      <c r="F3" s="2" t="s">
        <v>11</v>
      </c>
      <c r="G3" s="3" t="s">
        <v>12</v>
      </c>
    </row>
    <row r="4" customFormat="false" ht="15" hidden="false" customHeight="false" outlineLevel="0" collapsed="false">
      <c r="A4" s="2" t="n">
        <v>3</v>
      </c>
      <c r="B4" s="3" t="s">
        <v>7</v>
      </c>
      <c r="C4" s="2" t="s">
        <v>15</v>
      </c>
      <c r="D4" s="3" t="s">
        <v>16</v>
      </c>
      <c r="E4" s="2" t="s">
        <v>17</v>
      </c>
      <c r="F4" s="2" t="s">
        <v>11</v>
      </c>
      <c r="G4" s="3" t="s">
        <v>12</v>
      </c>
    </row>
    <row r="5" customFormat="false" ht="15" hidden="false" customHeight="false" outlineLevel="0" collapsed="false">
      <c r="A5" s="2" t="n">
        <v>4</v>
      </c>
      <c r="B5" s="3" t="s">
        <v>7</v>
      </c>
      <c r="C5" s="2" t="s">
        <v>18</v>
      </c>
      <c r="D5" s="3" t="s">
        <v>19</v>
      </c>
      <c r="E5" s="2" t="s">
        <v>17</v>
      </c>
      <c r="F5" s="2" t="s">
        <v>11</v>
      </c>
      <c r="G5" s="3" t="s">
        <v>12</v>
      </c>
    </row>
    <row r="6" customFormat="false" ht="15" hidden="false" customHeight="false" outlineLevel="0" collapsed="false">
      <c r="A6" s="2" t="n">
        <v>5</v>
      </c>
      <c r="B6" s="3" t="s">
        <v>7</v>
      </c>
      <c r="C6" s="2" t="s">
        <v>20</v>
      </c>
      <c r="D6" s="3" t="s">
        <v>21</v>
      </c>
      <c r="E6" s="2" t="s">
        <v>17</v>
      </c>
      <c r="F6" s="2" t="s">
        <v>11</v>
      </c>
      <c r="G6" s="3" t="s">
        <v>12</v>
      </c>
    </row>
    <row r="7" customFormat="false" ht="15" hidden="false" customHeight="false" outlineLevel="0" collapsed="false">
      <c r="A7" s="2" t="n">
        <v>6</v>
      </c>
      <c r="B7" s="3" t="s">
        <v>7</v>
      </c>
      <c r="C7" s="2" t="s">
        <v>22</v>
      </c>
      <c r="D7" s="3" t="s">
        <v>23</v>
      </c>
      <c r="E7" s="2" t="s">
        <v>17</v>
      </c>
      <c r="F7" s="2" t="s">
        <v>11</v>
      </c>
      <c r="G7" s="3" t="s">
        <v>12</v>
      </c>
    </row>
    <row r="8" customFormat="false" ht="15" hidden="false" customHeight="false" outlineLevel="0" collapsed="false">
      <c r="A8" s="2" t="n">
        <v>7</v>
      </c>
      <c r="B8" s="3" t="s">
        <v>7</v>
      </c>
      <c r="C8" s="2" t="s">
        <v>24</v>
      </c>
      <c r="D8" s="3" t="s">
        <v>25</v>
      </c>
      <c r="E8" s="2" t="s">
        <v>10</v>
      </c>
      <c r="F8" s="2" t="s">
        <v>11</v>
      </c>
      <c r="G8" s="3" t="s">
        <v>12</v>
      </c>
    </row>
    <row r="9" customFormat="false" ht="15" hidden="false" customHeight="false" outlineLevel="0" collapsed="false">
      <c r="A9" s="4" t="n">
        <v>8</v>
      </c>
      <c r="B9" s="5" t="s">
        <v>26</v>
      </c>
      <c r="C9" s="4" t="s">
        <v>27</v>
      </c>
      <c r="D9" s="5" t="s">
        <v>28</v>
      </c>
      <c r="E9" s="4" t="s">
        <v>10</v>
      </c>
      <c r="F9" s="4" t="s">
        <v>11</v>
      </c>
      <c r="G9" s="5" t="s">
        <v>29</v>
      </c>
    </row>
    <row r="10" customFormat="false" ht="15" hidden="false" customHeight="false" outlineLevel="0" collapsed="false">
      <c r="A10" s="4" t="n">
        <v>9</v>
      </c>
      <c r="B10" s="5" t="s">
        <v>26</v>
      </c>
      <c r="C10" s="4" t="s">
        <v>30</v>
      </c>
      <c r="D10" s="5" t="s">
        <v>31</v>
      </c>
      <c r="E10" s="4" t="s">
        <v>10</v>
      </c>
      <c r="F10" s="4" t="s">
        <v>11</v>
      </c>
      <c r="G10" s="5" t="s">
        <v>29</v>
      </c>
    </row>
    <row r="11" customFormat="false" ht="15" hidden="false" customHeight="false" outlineLevel="0" collapsed="false">
      <c r="A11" s="4" t="n">
        <v>10</v>
      </c>
      <c r="B11" s="5" t="s">
        <v>26</v>
      </c>
      <c r="C11" s="4" t="s">
        <v>32</v>
      </c>
      <c r="D11" s="5" t="s">
        <v>33</v>
      </c>
      <c r="E11" s="4" t="s">
        <v>10</v>
      </c>
      <c r="F11" s="4" t="s">
        <v>11</v>
      </c>
      <c r="G11" s="5" t="s">
        <v>29</v>
      </c>
    </row>
    <row r="12" customFormat="false" ht="15" hidden="false" customHeight="false" outlineLevel="0" collapsed="false">
      <c r="A12" s="4" t="n">
        <v>11</v>
      </c>
      <c r="B12" s="5" t="s">
        <v>26</v>
      </c>
      <c r="C12" s="4" t="s">
        <v>34</v>
      </c>
      <c r="D12" s="5" t="s">
        <v>35</v>
      </c>
      <c r="E12" s="4" t="s">
        <v>10</v>
      </c>
      <c r="F12" s="4" t="s">
        <v>11</v>
      </c>
      <c r="G12" s="5" t="s">
        <v>29</v>
      </c>
    </row>
    <row r="13" customFormat="false" ht="15" hidden="false" customHeight="false" outlineLevel="0" collapsed="false">
      <c r="A13" s="4" t="n">
        <v>12</v>
      </c>
      <c r="B13" s="5" t="s">
        <v>26</v>
      </c>
      <c r="C13" s="4" t="s">
        <v>36</v>
      </c>
      <c r="D13" s="5" t="s">
        <v>37</v>
      </c>
      <c r="E13" s="4" t="s">
        <v>10</v>
      </c>
      <c r="F13" s="4" t="s">
        <v>11</v>
      </c>
      <c r="G13" s="5" t="s">
        <v>29</v>
      </c>
    </row>
    <row r="14" customFormat="false" ht="15" hidden="false" customHeight="false" outlineLevel="0" collapsed="false">
      <c r="A14" s="4" t="n">
        <v>13</v>
      </c>
      <c r="B14" s="5" t="s">
        <v>26</v>
      </c>
      <c r="C14" s="4" t="s">
        <v>38</v>
      </c>
      <c r="D14" s="5" t="s">
        <v>39</v>
      </c>
      <c r="E14" s="4" t="s">
        <v>10</v>
      </c>
      <c r="F14" s="4" t="s">
        <v>11</v>
      </c>
      <c r="G14" s="5" t="s">
        <v>29</v>
      </c>
    </row>
    <row r="15" customFormat="false" ht="15" hidden="false" customHeight="false" outlineLevel="0" collapsed="false">
      <c r="A15" s="4" t="n">
        <v>14</v>
      </c>
      <c r="B15" s="5" t="s">
        <v>26</v>
      </c>
      <c r="C15" s="4" t="s">
        <v>40</v>
      </c>
      <c r="D15" s="5" t="s">
        <v>41</v>
      </c>
      <c r="E15" s="4" t="s">
        <v>10</v>
      </c>
      <c r="F15" s="4" t="s">
        <v>11</v>
      </c>
      <c r="G15" s="5" t="s">
        <v>29</v>
      </c>
    </row>
    <row r="16" customFormat="false" ht="15" hidden="false" customHeight="false" outlineLevel="0" collapsed="false">
      <c r="A16" s="4" t="n">
        <v>15</v>
      </c>
      <c r="B16" s="5" t="s">
        <v>26</v>
      </c>
      <c r="C16" s="4" t="s">
        <v>42</v>
      </c>
      <c r="D16" s="5" t="s">
        <v>43</v>
      </c>
      <c r="E16" s="4" t="s">
        <v>10</v>
      </c>
      <c r="F16" s="4" t="s">
        <v>11</v>
      </c>
      <c r="G16" s="5" t="s">
        <v>29</v>
      </c>
    </row>
    <row r="17" customFormat="false" ht="15" hidden="false" customHeight="false" outlineLevel="0" collapsed="false">
      <c r="A17" s="4" t="n">
        <v>16</v>
      </c>
      <c r="B17" s="5" t="s">
        <v>26</v>
      </c>
      <c r="C17" s="4" t="s">
        <v>44</v>
      </c>
      <c r="D17" s="5" t="s">
        <v>45</v>
      </c>
      <c r="E17" s="4" t="s">
        <v>10</v>
      </c>
      <c r="F17" s="4" t="s">
        <v>11</v>
      </c>
      <c r="G17" s="5" t="s">
        <v>29</v>
      </c>
    </row>
    <row r="18" customFormat="false" ht="15" hidden="false" customHeight="false" outlineLevel="0" collapsed="false">
      <c r="A18" s="4" t="n">
        <v>17</v>
      </c>
      <c r="B18" s="5" t="s">
        <v>26</v>
      </c>
      <c r="C18" s="4" t="s">
        <v>46</v>
      </c>
      <c r="D18" s="5" t="s">
        <v>47</v>
      </c>
      <c r="E18" s="4" t="s">
        <v>10</v>
      </c>
      <c r="F18" s="6" t="s">
        <v>48</v>
      </c>
      <c r="G18" s="5" t="s">
        <v>29</v>
      </c>
    </row>
    <row r="19" customFormat="false" ht="15" hidden="false" customHeight="false" outlineLevel="0" collapsed="false">
      <c r="A19" s="4" t="n">
        <v>18</v>
      </c>
      <c r="B19" s="5" t="s">
        <v>26</v>
      </c>
      <c r="C19" s="4" t="s">
        <v>49</v>
      </c>
      <c r="D19" s="5" t="s">
        <v>50</v>
      </c>
      <c r="E19" s="4" t="s">
        <v>10</v>
      </c>
      <c r="F19" s="4" t="s">
        <v>11</v>
      </c>
      <c r="G19" s="5" t="s">
        <v>29</v>
      </c>
    </row>
    <row r="20" customFormat="false" ht="23.85" hidden="false" customHeight="false" outlineLevel="0" collapsed="false">
      <c r="A20" s="2" t="n">
        <v>19</v>
      </c>
      <c r="B20" s="3" t="s">
        <v>51</v>
      </c>
      <c r="C20" s="2" t="s">
        <v>8</v>
      </c>
      <c r="D20" s="3" t="s">
        <v>52</v>
      </c>
      <c r="E20" s="2" t="s">
        <v>10</v>
      </c>
      <c r="F20" s="7" t="s">
        <v>48</v>
      </c>
      <c r="G20" s="3" t="s">
        <v>53</v>
      </c>
    </row>
    <row r="21" customFormat="false" ht="23.85" hidden="false" customHeight="false" outlineLevel="0" collapsed="false">
      <c r="A21" s="2" t="n">
        <v>20</v>
      </c>
      <c r="B21" s="3" t="s">
        <v>51</v>
      </c>
      <c r="C21" s="2" t="s">
        <v>13</v>
      </c>
      <c r="D21" s="3" t="s">
        <v>54</v>
      </c>
      <c r="E21" s="2" t="s">
        <v>10</v>
      </c>
      <c r="F21" s="2" t="s">
        <v>11</v>
      </c>
      <c r="G21" s="3" t="s">
        <v>53</v>
      </c>
    </row>
    <row r="22" customFormat="false" ht="23.85" hidden="false" customHeight="false" outlineLevel="0" collapsed="false">
      <c r="A22" s="2" t="n">
        <v>21</v>
      </c>
      <c r="B22" s="3" t="s">
        <v>51</v>
      </c>
      <c r="C22" s="2" t="s">
        <v>15</v>
      </c>
      <c r="D22" s="3" t="s">
        <v>55</v>
      </c>
      <c r="E22" s="2" t="s">
        <v>10</v>
      </c>
      <c r="F22" s="2" t="s">
        <v>11</v>
      </c>
      <c r="G22" s="3" t="s">
        <v>53</v>
      </c>
    </row>
    <row r="23" customFormat="false" ht="23.85" hidden="false" customHeight="false" outlineLevel="0" collapsed="false">
      <c r="A23" s="2" t="n">
        <v>22</v>
      </c>
      <c r="B23" s="3" t="s">
        <v>51</v>
      </c>
      <c r="C23" s="2" t="s">
        <v>18</v>
      </c>
      <c r="D23" s="3" t="s">
        <v>56</v>
      </c>
      <c r="E23" s="2" t="s">
        <v>10</v>
      </c>
      <c r="F23" s="2" t="s">
        <v>11</v>
      </c>
      <c r="G23" s="3" t="s">
        <v>53</v>
      </c>
    </row>
    <row r="24" customFormat="false" ht="23.85" hidden="false" customHeight="false" outlineLevel="0" collapsed="false">
      <c r="A24" s="2" t="n">
        <v>23</v>
      </c>
      <c r="B24" s="3" t="s">
        <v>51</v>
      </c>
      <c r="C24" s="2" t="s">
        <v>20</v>
      </c>
      <c r="D24" s="3" t="s">
        <v>57</v>
      </c>
      <c r="E24" s="2" t="s">
        <v>10</v>
      </c>
      <c r="F24" s="2" t="s">
        <v>11</v>
      </c>
      <c r="G24" s="3" t="s">
        <v>53</v>
      </c>
    </row>
    <row r="25" customFormat="false" ht="23.85" hidden="false" customHeight="false" outlineLevel="0" collapsed="false">
      <c r="A25" s="2" t="n">
        <v>24</v>
      </c>
      <c r="B25" s="3" t="s">
        <v>51</v>
      </c>
      <c r="C25" s="2" t="s">
        <v>22</v>
      </c>
      <c r="D25" s="3" t="s">
        <v>58</v>
      </c>
      <c r="E25" s="2" t="s">
        <v>10</v>
      </c>
      <c r="F25" s="7" t="s">
        <v>48</v>
      </c>
      <c r="G25" s="3" t="s">
        <v>53</v>
      </c>
    </row>
    <row r="26" customFormat="false" ht="23.85" hidden="false" customHeight="false" outlineLevel="0" collapsed="false">
      <c r="A26" s="2" t="n">
        <v>25</v>
      </c>
      <c r="B26" s="3" t="s">
        <v>51</v>
      </c>
      <c r="C26" s="2" t="s">
        <v>24</v>
      </c>
      <c r="D26" s="3" t="s">
        <v>59</v>
      </c>
      <c r="E26" s="2" t="s">
        <v>10</v>
      </c>
      <c r="F26" s="7" t="s">
        <v>48</v>
      </c>
      <c r="G26" s="3" t="s">
        <v>53</v>
      </c>
    </row>
    <row r="27" customFormat="false" ht="23.85" hidden="false" customHeight="false" outlineLevel="0" collapsed="false">
      <c r="A27" s="2" t="n">
        <v>26</v>
      </c>
      <c r="B27" s="3" t="s">
        <v>51</v>
      </c>
      <c r="C27" s="2" t="s">
        <v>60</v>
      </c>
      <c r="D27" s="3" t="s">
        <v>61</v>
      </c>
      <c r="E27" s="2" t="s">
        <v>10</v>
      </c>
      <c r="F27" s="2" t="s">
        <v>11</v>
      </c>
      <c r="G27" s="3" t="s">
        <v>53</v>
      </c>
    </row>
    <row r="28" customFormat="false" ht="23.85" hidden="false" customHeight="false" outlineLevel="0" collapsed="false">
      <c r="A28" s="2" t="n">
        <v>27</v>
      </c>
      <c r="B28" s="3" t="s">
        <v>51</v>
      </c>
      <c r="C28" s="2" t="s">
        <v>62</v>
      </c>
      <c r="D28" s="3" t="s">
        <v>63</v>
      </c>
      <c r="E28" s="2" t="s">
        <v>10</v>
      </c>
      <c r="F28" s="7" t="s">
        <v>48</v>
      </c>
      <c r="G28" s="3" t="s">
        <v>53</v>
      </c>
    </row>
    <row r="29" customFormat="false" ht="23.85" hidden="false" customHeight="false" outlineLevel="0" collapsed="false">
      <c r="A29" s="2" t="n">
        <v>28</v>
      </c>
      <c r="B29" s="3" t="s">
        <v>51</v>
      </c>
      <c r="C29" s="2" t="s">
        <v>64</v>
      </c>
      <c r="D29" s="3" t="s">
        <v>65</v>
      </c>
      <c r="E29" s="2" t="s">
        <v>10</v>
      </c>
      <c r="F29" s="7" t="s">
        <v>48</v>
      </c>
      <c r="G29" s="3" t="s">
        <v>53</v>
      </c>
    </row>
    <row r="30" customFormat="false" ht="23.85" hidden="false" customHeight="false" outlineLevel="0" collapsed="false">
      <c r="A30" s="2" t="n">
        <v>29</v>
      </c>
      <c r="B30" s="3" t="s">
        <v>51</v>
      </c>
      <c r="C30" s="2" t="s">
        <v>66</v>
      </c>
      <c r="D30" s="3" t="s">
        <v>67</v>
      </c>
      <c r="E30" s="2" t="s">
        <v>10</v>
      </c>
      <c r="F30" s="7" t="s">
        <v>48</v>
      </c>
      <c r="G30" s="3" t="s">
        <v>53</v>
      </c>
    </row>
    <row r="31" customFormat="false" ht="23.85" hidden="false" customHeight="false" outlineLevel="0" collapsed="false">
      <c r="A31" s="2" t="n">
        <v>30</v>
      </c>
      <c r="B31" s="3" t="s">
        <v>51</v>
      </c>
      <c r="C31" s="2" t="s">
        <v>68</v>
      </c>
      <c r="D31" s="3" t="s">
        <v>69</v>
      </c>
      <c r="E31" s="2" t="s">
        <v>10</v>
      </c>
      <c r="F31" s="2" t="s">
        <v>11</v>
      </c>
      <c r="G31" s="3" t="s">
        <v>53</v>
      </c>
    </row>
    <row r="32" customFormat="false" ht="23.85" hidden="false" customHeight="false" outlineLevel="0" collapsed="false">
      <c r="A32" s="2" t="n">
        <v>31</v>
      </c>
      <c r="B32" s="3" t="s">
        <v>51</v>
      </c>
      <c r="C32" s="2" t="s">
        <v>70</v>
      </c>
      <c r="D32" s="3" t="s">
        <v>71</v>
      </c>
      <c r="E32" s="2" t="s">
        <v>10</v>
      </c>
      <c r="F32" s="2" t="s">
        <v>11</v>
      </c>
      <c r="G32" s="3" t="s">
        <v>53</v>
      </c>
    </row>
    <row r="33" customFormat="false" ht="23.85" hidden="false" customHeight="false" outlineLevel="0" collapsed="false">
      <c r="A33" s="2" t="n">
        <v>32</v>
      </c>
      <c r="B33" s="3" t="s">
        <v>51</v>
      </c>
      <c r="C33" s="2" t="s">
        <v>72</v>
      </c>
      <c r="D33" s="3" t="s">
        <v>73</v>
      </c>
      <c r="E33" s="2" t="s">
        <v>10</v>
      </c>
      <c r="F33" s="2" t="s">
        <v>11</v>
      </c>
      <c r="G33" s="3" t="s">
        <v>53</v>
      </c>
    </row>
    <row r="34" customFormat="false" ht="23.85" hidden="false" customHeight="false" outlineLevel="0" collapsed="false">
      <c r="A34" s="2" t="n">
        <v>33</v>
      </c>
      <c r="B34" s="3" t="s">
        <v>51</v>
      </c>
      <c r="C34" s="2" t="s">
        <v>74</v>
      </c>
      <c r="D34" s="3" t="s">
        <v>75</v>
      </c>
      <c r="E34" s="2" t="s">
        <v>10</v>
      </c>
      <c r="F34" s="2" t="s">
        <v>11</v>
      </c>
      <c r="G34" s="3" t="s">
        <v>53</v>
      </c>
    </row>
    <row r="35" customFormat="false" ht="15" hidden="false" customHeight="false" outlineLevel="0" collapsed="false">
      <c r="A35" s="4" t="n">
        <v>34</v>
      </c>
      <c r="B35" s="5" t="s">
        <v>76</v>
      </c>
      <c r="C35" s="4" t="s">
        <v>77</v>
      </c>
      <c r="D35" s="5" t="s">
        <v>78</v>
      </c>
      <c r="E35" s="4" t="s">
        <v>10</v>
      </c>
      <c r="F35" s="4" t="s">
        <v>11</v>
      </c>
      <c r="G35" s="5" t="s">
        <v>29</v>
      </c>
    </row>
    <row r="36" customFormat="false" ht="15" hidden="false" customHeight="false" outlineLevel="0" collapsed="false">
      <c r="A36" s="4" t="n">
        <v>35</v>
      </c>
      <c r="B36" s="5" t="s">
        <v>76</v>
      </c>
      <c r="C36" s="4" t="s">
        <v>79</v>
      </c>
      <c r="D36" s="5" t="s">
        <v>80</v>
      </c>
      <c r="E36" s="4" t="s">
        <v>10</v>
      </c>
      <c r="F36" s="4" t="s">
        <v>11</v>
      </c>
      <c r="G36" s="5" t="s">
        <v>29</v>
      </c>
    </row>
    <row r="37" customFormat="false" ht="15" hidden="false" customHeight="false" outlineLevel="0" collapsed="false">
      <c r="A37" s="4" t="n">
        <v>36</v>
      </c>
      <c r="B37" s="5" t="s">
        <v>76</v>
      </c>
      <c r="C37" s="4" t="s">
        <v>81</v>
      </c>
      <c r="D37" s="5" t="s">
        <v>82</v>
      </c>
      <c r="E37" s="4" t="s">
        <v>10</v>
      </c>
      <c r="F37" s="4" t="s">
        <v>11</v>
      </c>
      <c r="G37" s="5" t="s">
        <v>29</v>
      </c>
    </row>
    <row r="38" customFormat="false" ht="15" hidden="false" customHeight="false" outlineLevel="0" collapsed="false">
      <c r="A38" s="4" t="n">
        <v>37</v>
      </c>
      <c r="B38" s="5" t="s">
        <v>76</v>
      </c>
      <c r="C38" s="4" t="s">
        <v>83</v>
      </c>
      <c r="D38" s="5" t="s">
        <v>84</v>
      </c>
      <c r="E38" s="4" t="s">
        <v>10</v>
      </c>
      <c r="F38" s="4" t="s">
        <v>11</v>
      </c>
      <c r="G38" s="5" t="s">
        <v>29</v>
      </c>
    </row>
    <row r="39" customFormat="false" ht="15" hidden="false" customHeight="false" outlineLevel="0" collapsed="false">
      <c r="A39" s="4" t="n">
        <v>38</v>
      </c>
      <c r="B39" s="5" t="s">
        <v>76</v>
      </c>
      <c r="C39" s="4" t="s">
        <v>85</v>
      </c>
      <c r="D39" s="5" t="s">
        <v>86</v>
      </c>
      <c r="E39" s="4" t="s">
        <v>10</v>
      </c>
      <c r="F39" s="4" t="s">
        <v>11</v>
      </c>
      <c r="G39" s="5" t="s">
        <v>29</v>
      </c>
    </row>
    <row r="40" customFormat="false" ht="15" hidden="false" customHeight="false" outlineLevel="0" collapsed="false">
      <c r="A40" s="4" t="n">
        <v>39</v>
      </c>
      <c r="B40" s="5" t="s">
        <v>76</v>
      </c>
      <c r="C40" s="4" t="s">
        <v>87</v>
      </c>
      <c r="D40" s="5" t="s">
        <v>88</v>
      </c>
      <c r="E40" s="4" t="s">
        <v>10</v>
      </c>
      <c r="F40" s="4" t="s">
        <v>11</v>
      </c>
      <c r="G40" s="5" t="s">
        <v>29</v>
      </c>
    </row>
    <row r="41" customFormat="false" ht="15" hidden="false" customHeight="false" outlineLevel="0" collapsed="false">
      <c r="A41" s="4" t="n">
        <v>40</v>
      </c>
      <c r="B41" s="5" t="s">
        <v>76</v>
      </c>
      <c r="C41" s="4" t="s">
        <v>89</v>
      </c>
      <c r="D41" s="5" t="s">
        <v>90</v>
      </c>
      <c r="E41" s="4" t="s">
        <v>10</v>
      </c>
      <c r="F41" s="4" t="s">
        <v>11</v>
      </c>
      <c r="G41" s="5" t="s">
        <v>29</v>
      </c>
    </row>
    <row r="42" customFormat="false" ht="15" hidden="false" customHeight="false" outlineLevel="0" collapsed="false">
      <c r="A42" s="4" t="n">
        <v>41</v>
      </c>
      <c r="B42" s="5" t="s">
        <v>76</v>
      </c>
      <c r="C42" s="4" t="s">
        <v>91</v>
      </c>
      <c r="D42" s="5" t="s">
        <v>92</v>
      </c>
      <c r="E42" s="4" t="s">
        <v>10</v>
      </c>
      <c r="F42" s="4" t="s">
        <v>11</v>
      </c>
      <c r="G42" s="5" t="s">
        <v>29</v>
      </c>
    </row>
    <row r="43" customFormat="false" ht="15" hidden="false" customHeight="false" outlineLevel="0" collapsed="false">
      <c r="A43" s="4" t="n">
        <v>42</v>
      </c>
      <c r="B43" s="5" t="s">
        <v>76</v>
      </c>
      <c r="C43" s="4" t="s">
        <v>93</v>
      </c>
      <c r="D43" s="5" t="s">
        <v>94</v>
      </c>
      <c r="E43" s="4" t="s">
        <v>10</v>
      </c>
      <c r="F43" s="4" t="s">
        <v>11</v>
      </c>
      <c r="G43" s="5" t="s">
        <v>29</v>
      </c>
    </row>
    <row r="44" customFormat="false" ht="15" hidden="false" customHeight="false" outlineLevel="0" collapsed="false">
      <c r="A44" s="4" t="n">
        <v>43</v>
      </c>
      <c r="B44" s="5" t="s">
        <v>76</v>
      </c>
      <c r="C44" s="4" t="s">
        <v>95</v>
      </c>
      <c r="D44" s="5" t="s">
        <v>96</v>
      </c>
      <c r="E44" s="4" t="s">
        <v>10</v>
      </c>
      <c r="F44" s="4" t="s">
        <v>11</v>
      </c>
      <c r="G44" s="5" t="s">
        <v>29</v>
      </c>
    </row>
    <row r="45" customFormat="false" ht="15" hidden="false" customHeight="false" outlineLevel="0" collapsed="false">
      <c r="A45" s="4" t="n">
        <v>44</v>
      </c>
      <c r="B45" s="5" t="s">
        <v>76</v>
      </c>
      <c r="C45" s="4" t="s">
        <v>97</v>
      </c>
      <c r="D45" s="5" t="s">
        <v>98</v>
      </c>
      <c r="E45" s="4" t="s">
        <v>10</v>
      </c>
      <c r="F45" s="4" t="s">
        <v>11</v>
      </c>
      <c r="G45" s="5" t="s">
        <v>29</v>
      </c>
    </row>
    <row r="46" customFormat="false" ht="15" hidden="false" customHeight="false" outlineLevel="0" collapsed="false">
      <c r="A46" s="4" t="n">
        <v>45</v>
      </c>
      <c r="B46" s="5" t="s">
        <v>76</v>
      </c>
      <c r="C46" s="4" t="s">
        <v>99</v>
      </c>
      <c r="D46" s="5" t="s">
        <v>100</v>
      </c>
      <c r="E46" s="4" t="s">
        <v>10</v>
      </c>
      <c r="F46" s="4" t="s">
        <v>11</v>
      </c>
      <c r="G46" s="5" t="s">
        <v>29</v>
      </c>
    </row>
    <row r="47" customFormat="false" ht="15" hidden="false" customHeight="false" outlineLevel="0" collapsed="false">
      <c r="A47" s="2" t="n">
        <v>46</v>
      </c>
      <c r="B47" s="3" t="s">
        <v>101</v>
      </c>
      <c r="C47" s="2" t="s">
        <v>102</v>
      </c>
      <c r="D47" s="3" t="s">
        <v>103</v>
      </c>
      <c r="E47" s="2" t="s">
        <v>10</v>
      </c>
      <c r="F47" s="2" t="s">
        <v>11</v>
      </c>
      <c r="G47" s="3" t="s">
        <v>29</v>
      </c>
    </row>
    <row r="48" customFormat="false" ht="15" hidden="false" customHeight="false" outlineLevel="0" collapsed="false">
      <c r="A48" s="2" t="n">
        <v>47</v>
      </c>
      <c r="B48" s="3" t="s">
        <v>101</v>
      </c>
      <c r="C48" s="2" t="s">
        <v>104</v>
      </c>
      <c r="D48" s="3" t="s">
        <v>105</v>
      </c>
      <c r="E48" s="2" t="s">
        <v>10</v>
      </c>
      <c r="F48" s="2" t="s">
        <v>11</v>
      </c>
      <c r="G48" s="3" t="s">
        <v>29</v>
      </c>
    </row>
    <row r="49" customFormat="false" ht="15" hidden="false" customHeight="false" outlineLevel="0" collapsed="false">
      <c r="A49" s="2" t="n">
        <v>48</v>
      </c>
      <c r="B49" s="3" t="s">
        <v>101</v>
      </c>
      <c r="C49" s="2" t="s">
        <v>106</v>
      </c>
      <c r="D49" s="3" t="s">
        <v>107</v>
      </c>
      <c r="E49" s="2" t="s">
        <v>10</v>
      </c>
      <c r="F49" s="2" t="s">
        <v>11</v>
      </c>
      <c r="G49" s="3" t="s">
        <v>29</v>
      </c>
    </row>
    <row r="50" customFormat="false" ht="15" hidden="false" customHeight="false" outlineLevel="0" collapsed="false">
      <c r="A50" s="2" t="n">
        <v>49</v>
      </c>
      <c r="B50" s="3" t="s">
        <v>101</v>
      </c>
      <c r="C50" s="2" t="s">
        <v>108</v>
      </c>
      <c r="D50" s="3" t="s">
        <v>109</v>
      </c>
      <c r="E50" s="2" t="s">
        <v>10</v>
      </c>
      <c r="F50" s="2" t="s">
        <v>11</v>
      </c>
      <c r="G50" s="3" t="s">
        <v>29</v>
      </c>
    </row>
    <row r="51" customFormat="false" ht="15" hidden="false" customHeight="false" outlineLevel="0" collapsed="false">
      <c r="A51" s="2" t="n">
        <v>50</v>
      </c>
      <c r="B51" s="3" t="s">
        <v>101</v>
      </c>
      <c r="C51" s="2" t="s">
        <v>110</v>
      </c>
      <c r="D51" s="3" t="s">
        <v>111</v>
      </c>
      <c r="E51" s="2" t="s">
        <v>10</v>
      </c>
      <c r="F51" s="2" t="s">
        <v>11</v>
      </c>
      <c r="G51" s="3" t="s">
        <v>29</v>
      </c>
    </row>
    <row r="52" customFormat="false" ht="15" hidden="false" customHeight="false" outlineLevel="0" collapsed="false">
      <c r="A52" s="2" t="n">
        <v>51</v>
      </c>
      <c r="B52" s="3" t="s">
        <v>101</v>
      </c>
      <c r="C52" s="2" t="s">
        <v>112</v>
      </c>
      <c r="D52" s="3" t="s">
        <v>113</v>
      </c>
      <c r="E52" s="2" t="s">
        <v>10</v>
      </c>
      <c r="F52" s="2" t="s">
        <v>11</v>
      </c>
      <c r="G52" s="3" t="s">
        <v>29</v>
      </c>
    </row>
    <row r="53" customFormat="false" ht="15" hidden="false" customHeight="false" outlineLevel="0" collapsed="false">
      <c r="A53" s="2" t="n">
        <v>52</v>
      </c>
      <c r="B53" s="3" t="s">
        <v>101</v>
      </c>
      <c r="C53" s="2" t="s">
        <v>114</v>
      </c>
      <c r="D53" s="3" t="s">
        <v>115</v>
      </c>
      <c r="E53" s="2" t="s">
        <v>10</v>
      </c>
      <c r="F53" s="2" t="s">
        <v>11</v>
      </c>
      <c r="G53" s="3" t="s">
        <v>29</v>
      </c>
    </row>
    <row r="54" customFormat="false" ht="15" hidden="false" customHeight="false" outlineLevel="0" collapsed="false">
      <c r="A54" s="2" t="n">
        <v>53</v>
      </c>
      <c r="B54" s="3" t="s">
        <v>101</v>
      </c>
      <c r="C54" s="2" t="s">
        <v>116</v>
      </c>
      <c r="D54" s="3" t="s">
        <v>50</v>
      </c>
      <c r="E54" s="2" t="s">
        <v>10</v>
      </c>
      <c r="F54" s="2" t="s">
        <v>11</v>
      </c>
      <c r="G54" s="3" t="s">
        <v>29</v>
      </c>
    </row>
    <row r="55" customFormat="false" ht="15" hidden="false" customHeight="false" outlineLevel="0" collapsed="false">
      <c r="A55" s="2" t="n">
        <v>54</v>
      </c>
      <c r="B55" s="3" t="s">
        <v>101</v>
      </c>
      <c r="C55" s="2" t="s">
        <v>117</v>
      </c>
      <c r="D55" s="3" t="s">
        <v>118</v>
      </c>
      <c r="E55" s="2" t="s">
        <v>10</v>
      </c>
      <c r="F55" s="2" t="s">
        <v>11</v>
      </c>
      <c r="G55" s="3" t="s">
        <v>29</v>
      </c>
    </row>
    <row r="56" customFormat="false" ht="15" hidden="false" customHeight="false" outlineLevel="0" collapsed="false">
      <c r="A56" s="4" t="n">
        <v>55</v>
      </c>
      <c r="B56" s="5" t="s">
        <v>119</v>
      </c>
      <c r="C56" s="4" t="s">
        <v>120</v>
      </c>
      <c r="D56" s="5" t="s">
        <v>121</v>
      </c>
      <c r="E56" s="4" t="s">
        <v>17</v>
      </c>
      <c r="F56" s="4" t="s">
        <v>11</v>
      </c>
      <c r="G56" s="5" t="s">
        <v>53</v>
      </c>
    </row>
    <row r="57" customFormat="false" ht="15" hidden="false" customHeight="false" outlineLevel="0" collapsed="false">
      <c r="A57" s="4" t="n">
        <v>56</v>
      </c>
      <c r="B57" s="5" t="s">
        <v>119</v>
      </c>
      <c r="C57" s="4" t="s">
        <v>122</v>
      </c>
      <c r="D57" s="5" t="s">
        <v>123</v>
      </c>
      <c r="E57" s="4" t="s">
        <v>17</v>
      </c>
      <c r="F57" s="4" t="s">
        <v>11</v>
      </c>
      <c r="G57" s="5" t="s">
        <v>124</v>
      </c>
    </row>
    <row r="58" customFormat="false" ht="15" hidden="false" customHeight="false" outlineLevel="0" collapsed="false">
      <c r="A58" s="4" t="n">
        <v>57</v>
      </c>
      <c r="B58" s="5" t="s">
        <v>119</v>
      </c>
      <c r="C58" s="4" t="s">
        <v>125</v>
      </c>
      <c r="D58" s="5" t="s">
        <v>126</v>
      </c>
      <c r="E58" s="4" t="s">
        <v>17</v>
      </c>
      <c r="F58" s="4" t="s">
        <v>11</v>
      </c>
      <c r="G58" s="5" t="s">
        <v>124</v>
      </c>
    </row>
    <row r="59" customFormat="false" ht="15" hidden="false" customHeight="false" outlineLevel="0" collapsed="false">
      <c r="A59" s="4" t="n">
        <v>58</v>
      </c>
      <c r="B59" s="5" t="s">
        <v>119</v>
      </c>
      <c r="C59" s="4" t="s">
        <v>127</v>
      </c>
      <c r="D59" s="5" t="s">
        <v>128</v>
      </c>
      <c r="E59" s="4" t="s">
        <v>17</v>
      </c>
      <c r="F59" s="4" t="s">
        <v>11</v>
      </c>
      <c r="G59" s="5" t="s">
        <v>124</v>
      </c>
    </row>
    <row r="60" customFormat="false" ht="15" hidden="false" customHeight="false" outlineLevel="0" collapsed="false">
      <c r="A60" s="4" t="n">
        <v>59</v>
      </c>
      <c r="B60" s="5" t="s">
        <v>119</v>
      </c>
      <c r="C60" s="4" t="s">
        <v>129</v>
      </c>
      <c r="D60" s="5" t="s">
        <v>130</v>
      </c>
      <c r="E60" s="4" t="s">
        <v>10</v>
      </c>
      <c r="F60" s="4" t="s">
        <v>11</v>
      </c>
      <c r="G60" s="5" t="s">
        <v>124</v>
      </c>
    </row>
    <row r="61" customFormat="false" ht="15" hidden="false" customHeight="false" outlineLevel="0" collapsed="false">
      <c r="A61" s="4" t="n">
        <v>60</v>
      </c>
      <c r="B61" s="5" t="s">
        <v>119</v>
      </c>
      <c r="C61" s="4" t="s">
        <v>131</v>
      </c>
      <c r="D61" s="5" t="s">
        <v>132</v>
      </c>
      <c r="E61" s="4" t="s">
        <v>10</v>
      </c>
      <c r="F61" s="4" t="s">
        <v>11</v>
      </c>
      <c r="G61" s="5" t="s">
        <v>124</v>
      </c>
    </row>
    <row r="62" customFormat="false" ht="15" hidden="false" customHeight="false" outlineLevel="0" collapsed="false">
      <c r="A62" s="4" t="n">
        <v>61</v>
      </c>
      <c r="B62" s="5" t="s">
        <v>119</v>
      </c>
      <c r="C62" s="4" t="s">
        <v>27</v>
      </c>
      <c r="D62" s="5" t="s">
        <v>133</v>
      </c>
      <c r="E62" s="4" t="s">
        <v>10</v>
      </c>
      <c r="F62" s="6" t="s">
        <v>48</v>
      </c>
      <c r="G62" s="5" t="s">
        <v>134</v>
      </c>
    </row>
    <row r="63" customFormat="false" ht="15" hidden="false" customHeight="false" outlineLevel="0" collapsed="false">
      <c r="A63" s="4" t="n">
        <v>62</v>
      </c>
      <c r="B63" s="5" t="s">
        <v>119</v>
      </c>
      <c r="C63" s="4" t="s">
        <v>30</v>
      </c>
      <c r="D63" s="5" t="s">
        <v>135</v>
      </c>
      <c r="E63" s="4" t="s">
        <v>10</v>
      </c>
      <c r="F63" s="6" t="s">
        <v>48</v>
      </c>
      <c r="G63" s="5" t="s">
        <v>134</v>
      </c>
    </row>
    <row r="64" customFormat="false" ht="15" hidden="false" customHeight="false" outlineLevel="0" collapsed="false">
      <c r="A64" s="4" t="n">
        <v>63</v>
      </c>
      <c r="B64" s="5" t="s">
        <v>119</v>
      </c>
      <c r="C64" s="4" t="s">
        <v>32</v>
      </c>
      <c r="D64" s="5" t="s">
        <v>136</v>
      </c>
      <c r="E64" s="4" t="s">
        <v>10</v>
      </c>
      <c r="F64" s="6" t="s">
        <v>48</v>
      </c>
      <c r="G64" s="5" t="s">
        <v>134</v>
      </c>
    </row>
    <row r="65" customFormat="false" ht="15" hidden="false" customHeight="false" outlineLevel="0" collapsed="false">
      <c r="A65" s="4" t="n">
        <v>64</v>
      </c>
      <c r="B65" s="5" t="s">
        <v>119</v>
      </c>
      <c r="C65" s="4" t="s">
        <v>34</v>
      </c>
      <c r="D65" s="5" t="s">
        <v>137</v>
      </c>
      <c r="E65" s="4" t="s">
        <v>10</v>
      </c>
      <c r="F65" s="6" t="s">
        <v>48</v>
      </c>
      <c r="G65" s="5" t="s">
        <v>134</v>
      </c>
    </row>
    <row r="66" customFormat="false" ht="15" hidden="false" customHeight="false" outlineLevel="0" collapsed="false">
      <c r="A66" s="4" t="n">
        <v>65</v>
      </c>
      <c r="B66" s="5" t="s">
        <v>119</v>
      </c>
      <c r="C66" s="4" t="s">
        <v>36</v>
      </c>
      <c r="D66" s="5" t="s">
        <v>138</v>
      </c>
      <c r="E66" s="4" t="s">
        <v>10</v>
      </c>
      <c r="F66" s="6" t="s">
        <v>48</v>
      </c>
      <c r="G66" s="5" t="s">
        <v>134</v>
      </c>
    </row>
    <row r="67" customFormat="false" ht="15" hidden="false" customHeight="false" outlineLevel="0" collapsed="false">
      <c r="A67" s="4" t="n">
        <v>66</v>
      </c>
      <c r="B67" s="5" t="s">
        <v>119</v>
      </c>
      <c r="C67" s="4" t="s">
        <v>38</v>
      </c>
      <c r="D67" s="5" t="s">
        <v>139</v>
      </c>
      <c r="E67" s="4" t="s">
        <v>10</v>
      </c>
      <c r="F67" s="6" t="s">
        <v>48</v>
      </c>
      <c r="G67" s="5" t="s">
        <v>134</v>
      </c>
    </row>
    <row r="68" customFormat="false" ht="15" hidden="false" customHeight="false" outlineLevel="0" collapsed="false">
      <c r="A68" s="4" t="n">
        <v>67</v>
      </c>
      <c r="B68" s="5" t="s">
        <v>119</v>
      </c>
      <c r="C68" s="4" t="s">
        <v>40</v>
      </c>
      <c r="D68" s="5" t="s">
        <v>140</v>
      </c>
      <c r="E68" s="4" t="s">
        <v>10</v>
      </c>
      <c r="F68" s="6" t="s">
        <v>48</v>
      </c>
      <c r="G68" s="5" t="s">
        <v>134</v>
      </c>
    </row>
    <row r="69" customFormat="false" ht="15" hidden="false" customHeight="false" outlineLevel="0" collapsed="false">
      <c r="A69" s="4" t="n">
        <v>68</v>
      </c>
      <c r="B69" s="5" t="s">
        <v>119</v>
      </c>
      <c r="C69" s="4" t="s">
        <v>42</v>
      </c>
      <c r="D69" s="5" t="s">
        <v>141</v>
      </c>
      <c r="E69" s="4" t="s">
        <v>10</v>
      </c>
      <c r="F69" s="6" t="s">
        <v>48</v>
      </c>
      <c r="G69" s="5" t="s">
        <v>134</v>
      </c>
    </row>
    <row r="70" customFormat="false" ht="15" hidden="false" customHeight="false" outlineLevel="0" collapsed="false">
      <c r="A70" s="4" t="n">
        <v>69</v>
      </c>
      <c r="B70" s="5" t="s">
        <v>119</v>
      </c>
      <c r="C70" s="4" t="s">
        <v>44</v>
      </c>
      <c r="D70" s="5" t="s">
        <v>142</v>
      </c>
      <c r="E70" s="4" t="s">
        <v>10</v>
      </c>
      <c r="F70" s="6" t="s">
        <v>48</v>
      </c>
      <c r="G70" s="5" t="s">
        <v>134</v>
      </c>
    </row>
    <row r="71" customFormat="false" ht="15" hidden="false" customHeight="false" outlineLevel="0" collapsed="false">
      <c r="A71" s="4" t="n">
        <v>70</v>
      </c>
      <c r="B71" s="5" t="s">
        <v>119</v>
      </c>
      <c r="C71" s="4" t="s">
        <v>46</v>
      </c>
      <c r="D71" s="5" t="s">
        <v>143</v>
      </c>
      <c r="E71" s="4" t="s">
        <v>10</v>
      </c>
      <c r="F71" s="6" t="s">
        <v>48</v>
      </c>
      <c r="G71" s="5" t="s">
        <v>134</v>
      </c>
    </row>
    <row r="72" customFormat="false" ht="15" hidden="false" customHeight="false" outlineLevel="0" collapsed="false">
      <c r="A72" s="4" t="n">
        <v>71</v>
      </c>
      <c r="B72" s="5" t="s">
        <v>119</v>
      </c>
      <c r="C72" s="4" t="s">
        <v>49</v>
      </c>
      <c r="D72" s="5" t="s">
        <v>144</v>
      </c>
      <c r="E72" s="4" t="s">
        <v>10</v>
      </c>
      <c r="F72" s="6" t="s">
        <v>48</v>
      </c>
      <c r="G72" s="5" t="s">
        <v>134</v>
      </c>
    </row>
    <row r="73" customFormat="false" ht="15" hidden="false" customHeight="false" outlineLevel="0" collapsed="false">
      <c r="A73" s="4" t="n">
        <v>72</v>
      </c>
      <c r="B73" s="5" t="s">
        <v>119</v>
      </c>
      <c r="C73" s="4" t="s">
        <v>145</v>
      </c>
      <c r="D73" s="5" t="s">
        <v>146</v>
      </c>
      <c r="E73" s="4" t="s">
        <v>10</v>
      </c>
      <c r="F73" s="6" t="s">
        <v>48</v>
      </c>
      <c r="G73" s="5" t="s">
        <v>134</v>
      </c>
    </row>
    <row r="74" customFormat="false" ht="15" hidden="false" customHeight="false" outlineLevel="0" collapsed="false">
      <c r="A74" s="4" t="n">
        <v>73</v>
      </c>
      <c r="B74" s="5" t="s">
        <v>119</v>
      </c>
      <c r="C74" s="4" t="s">
        <v>147</v>
      </c>
      <c r="D74" s="5" t="s">
        <v>148</v>
      </c>
      <c r="E74" s="4" t="s">
        <v>10</v>
      </c>
      <c r="F74" s="6" t="s">
        <v>48</v>
      </c>
      <c r="G74" s="5" t="s">
        <v>134</v>
      </c>
    </row>
    <row r="75" customFormat="false" ht="15" hidden="false" customHeight="false" outlineLevel="0" collapsed="false">
      <c r="A75" s="2" t="n">
        <v>74</v>
      </c>
      <c r="B75" s="3" t="s">
        <v>149</v>
      </c>
      <c r="C75" s="2" t="s">
        <v>150</v>
      </c>
      <c r="D75" s="3" t="s">
        <v>151</v>
      </c>
      <c r="E75" s="2" t="s">
        <v>17</v>
      </c>
      <c r="F75" s="2" t="s">
        <v>11</v>
      </c>
      <c r="G75" s="3" t="s">
        <v>53</v>
      </c>
    </row>
    <row r="76" customFormat="false" ht="15" hidden="false" customHeight="false" outlineLevel="0" collapsed="false">
      <c r="A76" s="2" t="n">
        <v>75</v>
      </c>
      <c r="B76" s="3" t="s">
        <v>149</v>
      </c>
      <c r="C76" s="2" t="s">
        <v>152</v>
      </c>
      <c r="D76" s="3" t="s">
        <v>153</v>
      </c>
      <c r="E76" s="2" t="s">
        <v>17</v>
      </c>
      <c r="F76" s="2" t="s">
        <v>11</v>
      </c>
      <c r="G76" s="3" t="s">
        <v>53</v>
      </c>
    </row>
    <row r="77" customFormat="false" ht="15" hidden="false" customHeight="false" outlineLevel="0" collapsed="false">
      <c r="A77" s="2" t="n">
        <v>76</v>
      </c>
      <c r="B77" s="3" t="s">
        <v>149</v>
      </c>
      <c r="C77" s="2" t="s">
        <v>32</v>
      </c>
      <c r="D77" s="3" t="s">
        <v>154</v>
      </c>
      <c r="E77" s="2" t="s">
        <v>10</v>
      </c>
      <c r="F77" s="2" t="s">
        <v>11</v>
      </c>
      <c r="G77" s="3" t="s">
        <v>124</v>
      </c>
    </row>
    <row r="78" customFormat="false" ht="15" hidden="false" customHeight="false" outlineLevel="0" collapsed="false">
      <c r="A78" s="2" t="n">
        <v>77</v>
      </c>
      <c r="B78" s="3" t="s">
        <v>149</v>
      </c>
      <c r="C78" s="2" t="s">
        <v>34</v>
      </c>
      <c r="D78" s="3" t="s">
        <v>155</v>
      </c>
      <c r="E78" s="2" t="s">
        <v>10</v>
      </c>
      <c r="F78" s="2" t="s">
        <v>11</v>
      </c>
      <c r="G78" s="3" t="s">
        <v>124</v>
      </c>
    </row>
    <row r="79" customFormat="false" ht="15" hidden="false" customHeight="false" outlineLevel="0" collapsed="false">
      <c r="A79" s="2" t="n">
        <v>78</v>
      </c>
      <c r="B79" s="3" t="s">
        <v>149</v>
      </c>
      <c r="C79" s="2" t="s">
        <v>36</v>
      </c>
      <c r="D79" s="3" t="s">
        <v>156</v>
      </c>
      <c r="E79" s="2" t="s">
        <v>10</v>
      </c>
      <c r="F79" s="2" t="s">
        <v>11</v>
      </c>
      <c r="G79" s="3" t="s">
        <v>124</v>
      </c>
    </row>
    <row r="80" customFormat="false" ht="15" hidden="false" customHeight="false" outlineLevel="0" collapsed="false">
      <c r="A80" s="2" t="n">
        <v>79</v>
      </c>
      <c r="B80" s="3" t="s">
        <v>149</v>
      </c>
      <c r="C80" s="2" t="s">
        <v>38</v>
      </c>
      <c r="D80" s="3" t="s">
        <v>157</v>
      </c>
      <c r="E80" s="2" t="s">
        <v>10</v>
      </c>
      <c r="F80" s="7" t="s">
        <v>48</v>
      </c>
      <c r="G80" s="3" t="s">
        <v>124</v>
      </c>
    </row>
    <row r="81" customFormat="false" ht="15" hidden="false" customHeight="false" outlineLevel="0" collapsed="false">
      <c r="A81" s="2" t="n">
        <v>80</v>
      </c>
      <c r="B81" s="3" t="s">
        <v>149</v>
      </c>
      <c r="C81" s="2" t="s">
        <v>40</v>
      </c>
      <c r="D81" s="3" t="s">
        <v>158</v>
      </c>
      <c r="E81" s="2" t="s">
        <v>10</v>
      </c>
      <c r="F81" s="2" t="s">
        <v>11</v>
      </c>
      <c r="G81" s="3" t="s">
        <v>124</v>
      </c>
    </row>
    <row r="82" customFormat="false" ht="15" hidden="false" customHeight="false" outlineLevel="0" collapsed="false">
      <c r="A82" s="2" t="n">
        <v>81</v>
      </c>
      <c r="B82" s="3" t="s">
        <v>149</v>
      </c>
      <c r="C82" s="2" t="s">
        <v>42</v>
      </c>
      <c r="D82" s="3" t="s">
        <v>159</v>
      </c>
      <c r="E82" s="2" t="s">
        <v>10</v>
      </c>
      <c r="F82" s="7" t="s">
        <v>48</v>
      </c>
      <c r="G82" s="3" t="s">
        <v>124</v>
      </c>
    </row>
    <row r="83" customFormat="false" ht="15" hidden="false" customHeight="false" outlineLevel="0" collapsed="false">
      <c r="A83" s="2" t="n">
        <v>82</v>
      </c>
      <c r="B83" s="3" t="s">
        <v>149</v>
      </c>
      <c r="C83" s="2" t="s">
        <v>44</v>
      </c>
      <c r="D83" s="3" t="s">
        <v>160</v>
      </c>
      <c r="E83" s="2" t="s">
        <v>10</v>
      </c>
      <c r="F83" s="7" t="s">
        <v>48</v>
      </c>
      <c r="G83" s="3" t="s">
        <v>124</v>
      </c>
    </row>
    <row r="84" customFormat="false" ht="15" hidden="false" customHeight="false" outlineLevel="0" collapsed="false">
      <c r="A84" s="2" t="n">
        <v>83</v>
      </c>
      <c r="B84" s="3" t="s">
        <v>149</v>
      </c>
      <c r="C84" s="2" t="s">
        <v>46</v>
      </c>
      <c r="D84" s="3" t="s">
        <v>161</v>
      </c>
      <c r="E84" s="2" t="s">
        <v>10</v>
      </c>
      <c r="F84" s="2" t="s">
        <v>11</v>
      </c>
      <c r="G84" s="3" t="s">
        <v>124</v>
      </c>
    </row>
    <row r="85" customFormat="false" ht="15" hidden="false" customHeight="false" outlineLevel="0" collapsed="false">
      <c r="A85" s="2" t="n">
        <v>84</v>
      </c>
      <c r="B85" s="3" t="s">
        <v>149</v>
      </c>
      <c r="C85" s="2" t="s">
        <v>49</v>
      </c>
      <c r="D85" s="3" t="s">
        <v>162</v>
      </c>
      <c r="E85" s="2" t="s">
        <v>10</v>
      </c>
      <c r="F85" s="2" t="s">
        <v>11</v>
      </c>
      <c r="G85" s="3" t="s">
        <v>124</v>
      </c>
    </row>
    <row r="86" customFormat="false" ht="15" hidden="false" customHeight="false" outlineLevel="0" collapsed="false">
      <c r="A86" s="2" t="n">
        <v>85</v>
      </c>
      <c r="B86" s="3" t="s">
        <v>149</v>
      </c>
      <c r="C86" s="2" t="s">
        <v>145</v>
      </c>
      <c r="D86" s="3" t="s">
        <v>163</v>
      </c>
      <c r="E86" s="2" t="s">
        <v>10</v>
      </c>
      <c r="F86" s="2" t="s">
        <v>11</v>
      </c>
      <c r="G86" s="3" t="s">
        <v>124</v>
      </c>
    </row>
    <row r="87" customFormat="false" ht="15" hidden="false" customHeight="false" outlineLevel="0" collapsed="false">
      <c r="A87" s="2" t="n">
        <v>86</v>
      </c>
      <c r="B87" s="3" t="s">
        <v>149</v>
      </c>
      <c r="C87" s="2" t="s">
        <v>147</v>
      </c>
      <c r="D87" s="3" t="s">
        <v>164</v>
      </c>
      <c r="E87" s="2" t="s">
        <v>10</v>
      </c>
      <c r="F87" s="2" t="s">
        <v>11</v>
      </c>
      <c r="G87" s="3" t="s">
        <v>124</v>
      </c>
    </row>
    <row r="88" customFormat="false" ht="15" hidden="false" customHeight="false" outlineLevel="0" collapsed="false">
      <c r="A88" s="2" t="n">
        <v>87</v>
      </c>
      <c r="B88" s="3" t="s">
        <v>149</v>
      </c>
      <c r="C88" s="2" t="s">
        <v>165</v>
      </c>
      <c r="D88" s="3" t="s">
        <v>166</v>
      </c>
      <c r="E88" s="2" t="s">
        <v>17</v>
      </c>
      <c r="F88" s="2" t="s">
        <v>11</v>
      </c>
      <c r="G88" s="3" t="s">
        <v>124</v>
      </c>
    </row>
    <row r="89" customFormat="false" ht="15" hidden="false" customHeight="false" outlineLevel="0" collapsed="false">
      <c r="A89" s="4" t="n">
        <v>88</v>
      </c>
      <c r="B89" s="5" t="s">
        <v>167</v>
      </c>
      <c r="C89" s="4" t="s">
        <v>168</v>
      </c>
      <c r="D89" s="5" t="s">
        <v>169</v>
      </c>
      <c r="E89" s="4" t="s">
        <v>10</v>
      </c>
      <c r="F89" s="4" t="s">
        <v>11</v>
      </c>
      <c r="G89" s="5" t="s">
        <v>124</v>
      </c>
    </row>
    <row r="90" customFormat="false" ht="15" hidden="false" customHeight="false" outlineLevel="0" collapsed="false">
      <c r="A90" s="4" t="n">
        <v>89</v>
      </c>
      <c r="B90" s="5" t="s">
        <v>167</v>
      </c>
      <c r="C90" s="4" t="s">
        <v>170</v>
      </c>
      <c r="D90" s="5" t="s">
        <v>171</v>
      </c>
      <c r="E90" s="4" t="s">
        <v>17</v>
      </c>
      <c r="F90" s="4" t="s">
        <v>11</v>
      </c>
      <c r="G90" s="5" t="s">
        <v>124</v>
      </c>
    </row>
    <row r="91" customFormat="false" ht="15" hidden="false" customHeight="false" outlineLevel="0" collapsed="false">
      <c r="A91" s="4" t="n">
        <v>90</v>
      </c>
      <c r="B91" s="5" t="s">
        <v>167</v>
      </c>
      <c r="C91" s="4" t="s">
        <v>172</v>
      </c>
      <c r="D91" s="5" t="s">
        <v>173</v>
      </c>
      <c r="E91" s="4" t="s">
        <v>10</v>
      </c>
      <c r="F91" s="4" t="s">
        <v>11</v>
      </c>
      <c r="G91" s="5" t="s">
        <v>124</v>
      </c>
    </row>
    <row r="92" customFormat="false" ht="15" hidden="false" customHeight="false" outlineLevel="0" collapsed="false">
      <c r="A92" s="4" t="n">
        <v>91</v>
      </c>
      <c r="B92" s="5" t="s">
        <v>167</v>
      </c>
      <c r="C92" s="4" t="s">
        <v>174</v>
      </c>
      <c r="D92" s="5" t="s">
        <v>175</v>
      </c>
      <c r="E92" s="4" t="s">
        <v>17</v>
      </c>
      <c r="F92" s="4" t="s">
        <v>11</v>
      </c>
      <c r="G92" s="5" t="s">
        <v>124</v>
      </c>
    </row>
    <row r="93" customFormat="false" ht="15" hidden="false" customHeight="false" outlineLevel="0" collapsed="false">
      <c r="A93" s="4" t="n">
        <v>92</v>
      </c>
      <c r="B93" s="5" t="s">
        <v>167</v>
      </c>
      <c r="C93" s="4" t="s">
        <v>176</v>
      </c>
      <c r="D93" s="5" t="s">
        <v>177</v>
      </c>
      <c r="E93" s="4" t="s">
        <v>10</v>
      </c>
      <c r="F93" s="4" t="s">
        <v>11</v>
      </c>
      <c r="G93" s="5" t="s">
        <v>124</v>
      </c>
    </row>
    <row r="94" customFormat="false" ht="15" hidden="false" customHeight="false" outlineLevel="0" collapsed="false">
      <c r="A94" s="2" t="n">
        <v>93</v>
      </c>
      <c r="B94" s="3" t="s">
        <v>178</v>
      </c>
      <c r="C94" s="2" t="s">
        <v>179</v>
      </c>
      <c r="D94" s="3" t="s">
        <v>180</v>
      </c>
      <c r="E94" s="2" t="s">
        <v>10</v>
      </c>
      <c r="F94" s="2" t="s">
        <v>11</v>
      </c>
      <c r="G94" s="3" t="s">
        <v>124</v>
      </c>
    </row>
    <row r="95" customFormat="false" ht="15" hidden="false" customHeight="false" outlineLevel="0" collapsed="false">
      <c r="A95" s="2" t="n">
        <v>94</v>
      </c>
      <c r="B95" s="3" t="s">
        <v>178</v>
      </c>
      <c r="C95" s="2" t="s">
        <v>181</v>
      </c>
      <c r="D95" s="3" t="s">
        <v>182</v>
      </c>
      <c r="E95" s="2" t="s">
        <v>10</v>
      </c>
      <c r="F95" s="7" t="s">
        <v>48</v>
      </c>
      <c r="G95" s="3" t="s">
        <v>124</v>
      </c>
    </row>
    <row r="96" customFormat="false" ht="15" hidden="false" customHeight="false" outlineLevel="0" collapsed="false">
      <c r="A96" s="2" t="n">
        <v>95</v>
      </c>
      <c r="B96" s="3" t="s">
        <v>178</v>
      </c>
      <c r="C96" s="2" t="s">
        <v>183</v>
      </c>
      <c r="D96" s="3" t="s">
        <v>184</v>
      </c>
      <c r="E96" s="2" t="s">
        <v>10</v>
      </c>
      <c r="F96" s="2" t="s">
        <v>11</v>
      </c>
      <c r="G96" s="3" t="s">
        <v>124</v>
      </c>
    </row>
    <row r="97" customFormat="false" ht="15" hidden="false" customHeight="false" outlineLevel="0" collapsed="false">
      <c r="A97" s="2" t="n">
        <v>96</v>
      </c>
      <c r="B97" s="3" t="s">
        <v>178</v>
      </c>
      <c r="C97" s="2" t="s">
        <v>185</v>
      </c>
      <c r="D97" s="3" t="s">
        <v>186</v>
      </c>
      <c r="E97" s="2" t="s">
        <v>10</v>
      </c>
      <c r="F97" s="2" t="s">
        <v>11</v>
      </c>
      <c r="G97" s="3" t="s">
        <v>124</v>
      </c>
    </row>
    <row r="98" customFormat="false" ht="23.85" hidden="false" customHeight="false" outlineLevel="0" collapsed="false">
      <c r="A98" s="4" t="n">
        <v>97</v>
      </c>
      <c r="B98" s="5" t="s">
        <v>187</v>
      </c>
      <c r="C98" s="4" t="s">
        <v>188</v>
      </c>
      <c r="D98" s="5" t="s">
        <v>189</v>
      </c>
      <c r="E98" s="4" t="s">
        <v>17</v>
      </c>
      <c r="F98" s="4" t="s">
        <v>11</v>
      </c>
      <c r="G98" s="5" t="s">
        <v>124</v>
      </c>
    </row>
    <row r="99" customFormat="false" ht="15" hidden="false" customHeight="false" outlineLevel="0" collapsed="false">
      <c r="A99" s="4" t="n">
        <v>98</v>
      </c>
      <c r="B99" s="5" t="s">
        <v>187</v>
      </c>
      <c r="C99" s="4" t="s">
        <v>190</v>
      </c>
      <c r="D99" s="5" t="s">
        <v>191</v>
      </c>
      <c r="E99" s="4" t="s">
        <v>17</v>
      </c>
      <c r="F99" s="4" t="s">
        <v>11</v>
      </c>
      <c r="G99" s="5" t="s">
        <v>124</v>
      </c>
    </row>
    <row r="100" customFormat="false" ht="15" hidden="false" customHeight="false" outlineLevel="0" collapsed="false">
      <c r="A100" s="4" t="n">
        <v>99</v>
      </c>
      <c r="B100" s="5" t="s">
        <v>187</v>
      </c>
      <c r="C100" s="4" t="s">
        <v>192</v>
      </c>
      <c r="D100" s="5" t="s">
        <v>193</v>
      </c>
      <c r="E100" s="4" t="s">
        <v>17</v>
      </c>
      <c r="F100" s="4" t="s">
        <v>11</v>
      </c>
      <c r="G100" s="5" t="s">
        <v>124</v>
      </c>
    </row>
    <row r="101" customFormat="false" ht="15" hidden="false" customHeight="false" outlineLevel="0" collapsed="false">
      <c r="A101" s="4" t="n">
        <v>100</v>
      </c>
      <c r="B101" s="5" t="s">
        <v>187</v>
      </c>
      <c r="C101" s="4" t="s">
        <v>194</v>
      </c>
      <c r="D101" s="5" t="s">
        <v>195</v>
      </c>
      <c r="E101" s="4" t="s">
        <v>17</v>
      </c>
      <c r="F101" s="4" t="s">
        <v>11</v>
      </c>
      <c r="G101" s="5" t="s">
        <v>124</v>
      </c>
    </row>
    <row r="102" customFormat="false" ht="15" hidden="false" customHeight="false" outlineLevel="0" collapsed="false">
      <c r="A102" s="4" t="n">
        <v>101</v>
      </c>
      <c r="B102" s="5" t="s">
        <v>187</v>
      </c>
      <c r="C102" s="4" t="s">
        <v>196</v>
      </c>
      <c r="D102" s="5" t="s">
        <v>197</v>
      </c>
      <c r="E102" s="4" t="s">
        <v>17</v>
      </c>
      <c r="F102" s="4" t="s">
        <v>11</v>
      </c>
      <c r="G102" s="5" t="s">
        <v>124</v>
      </c>
    </row>
    <row r="103" customFormat="false" ht="15" hidden="false" customHeight="false" outlineLevel="0" collapsed="false">
      <c r="A103" s="4" t="n">
        <v>102</v>
      </c>
      <c r="B103" s="5" t="s">
        <v>187</v>
      </c>
      <c r="C103" s="4" t="s">
        <v>198</v>
      </c>
      <c r="D103" s="5" t="s">
        <v>199</v>
      </c>
      <c r="E103" s="4" t="s">
        <v>17</v>
      </c>
      <c r="F103" s="4" t="s">
        <v>11</v>
      </c>
      <c r="G103" s="5" t="s">
        <v>124</v>
      </c>
    </row>
    <row r="104" customFormat="false" ht="15" hidden="false" customHeight="false" outlineLevel="0" collapsed="false">
      <c r="A104" s="4" t="n">
        <v>103</v>
      </c>
      <c r="B104" s="5" t="s">
        <v>187</v>
      </c>
      <c r="C104" s="4" t="s">
        <v>200</v>
      </c>
      <c r="D104" s="5" t="s">
        <v>201</v>
      </c>
      <c r="E104" s="4" t="s">
        <v>17</v>
      </c>
      <c r="F104" s="4" t="s">
        <v>11</v>
      </c>
      <c r="G104" s="5" t="s">
        <v>124</v>
      </c>
    </row>
    <row r="105" customFormat="false" ht="15" hidden="false" customHeight="false" outlineLevel="0" collapsed="false">
      <c r="A105" s="4" t="n">
        <v>104</v>
      </c>
      <c r="B105" s="5" t="s">
        <v>187</v>
      </c>
      <c r="C105" s="4" t="s">
        <v>202</v>
      </c>
      <c r="D105" s="5" t="s">
        <v>203</v>
      </c>
      <c r="E105" s="4" t="s">
        <v>17</v>
      </c>
      <c r="F105" s="4" t="s">
        <v>11</v>
      </c>
      <c r="G105" s="5" t="s">
        <v>124</v>
      </c>
    </row>
    <row r="106" customFormat="false" ht="15" hidden="false" customHeight="false" outlineLevel="0" collapsed="false">
      <c r="A106" s="4" t="n">
        <v>105</v>
      </c>
      <c r="B106" s="5" t="s">
        <v>187</v>
      </c>
      <c r="C106" s="4" t="s">
        <v>204</v>
      </c>
      <c r="D106" s="5" t="s">
        <v>205</v>
      </c>
      <c r="E106" s="4" t="s">
        <v>17</v>
      </c>
      <c r="F106" s="6" t="s">
        <v>48</v>
      </c>
      <c r="G106" s="5" t="s">
        <v>124</v>
      </c>
    </row>
    <row r="107" customFormat="false" ht="15" hidden="false" customHeight="false" outlineLevel="0" collapsed="false">
      <c r="A107" s="4" t="n">
        <v>106</v>
      </c>
      <c r="B107" s="5" t="s">
        <v>187</v>
      </c>
      <c r="C107" s="4" t="s">
        <v>206</v>
      </c>
      <c r="D107" s="5" t="s">
        <v>207</v>
      </c>
      <c r="E107" s="4" t="s">
        <v>17</v>
      </c>
      <c r="F107" s="4" t="s">
        <v>11</v>
      </c>
      <c r="G107" s="5" t="s">
        <v>124</v>
      </c>
    </row>
    <row r="108" customFormat="false" ht="15" hidden="false" customHeight="false" outlineLevel="0" collapsed="false">
      <c r="A108" s="4" t="n">
        <v>107</v>
      </c>
      <c r="B108" s="5" t="s">
        <v>187</v>
      </c>
      <c r="C108" s="4" t="s">
        <v>208</v>
      </c>
      <c r="D108" s="5" t="s">
        <v>209</v>
      </c>
      <c r="E108" s="4" t="s">
        <v>17</v>
      </c>
      <c r="F108" s="4" t="s">
        <v>11</v>
      </c>
      <c r="G108" s="5" t="s">
        <v>124</v>
      </c>
    </row>
    <row r="109" customFormat="false" ht="15" hidden="false" customHeight="false" outlineLevel="0" collapsed="false">
      <c r="A109" s="4" t="n">
        <v>108</v>
      </c>
      <c r="B109" s="5" t="s">
        <v>187</v>
      </c>
      <c r="C109" s="4" t="s">
        <v>210</v>
      </c>
      <c r="D109" s="5" t="s">
        <v>211</v>
      </c>
      <c r="E109" s="4" t="s">
        <v>17</v>
      </c>
      <c r="F109" s="4" t="s">
        <v>11</v>
      </c>
      <c r="G109" s="5" t="s">
        <v>124</v>
      </c>
    </row>
    <row r="110" customFormat="false" ht="15" hidden="false" customHeight="false" outlineLevel="0" collapsed="false">
      <c r="A110" s="4" t="n">
        <v>109</v>
      </c>
      <c r="B110" s="5" t="s">
        <v>187</v>
      </c>
      <c r="C110" s="4" t="s">
        <v>212</v>
      </c>
      <c r="D110" s="5" t="s">
        <v>213</v>
      </c>
      <c r="E110" s="4" t="s">
        <v>17</v>
      </c>
      <c r="F110" s="4" t="s">
        <v>11</v>
      </c>
      <c r="G110" s="5" t="s">
        <v>124</v>
      </c>
    </row>
    <row r="111" customFormat="false" ht="15" hidden="false" customHeight="false" outlineLevel="0" collapsed="false">
      <c r="A111" s="4" t="n">
        <v>110</v>
      </c>
      <c r="B111" s="5" t="s">
        <v>187</v>
      </c>
      <c r="C111" s="4" t="s">
        <v>214</v>
      </c>
      <c r="D111" s="5" t="s">
        <v>215</v>
      </c>
      <c r="E111" s="4" t="s">
        <v>17</v>
      </c>
      <c r="F111" s="4" t="s">
        <v>11</v>
      </c>
      <c r="G111" s="5" t="s">
        <v>124</v>
      </c>
    </row>
    <row r="112" customFormat="false" ht="15" hidden="false" customHeight="false" outlineLevel="0" collapsed="false">
      <c r="A112" s="4" t="n">
        <v>111</v>
      </c>
      <c r="B112" s="5" t="s">
        <v>187</v>
      </c>
      <c r="C112" s="4" t="s">
        <v>216</v>
      </c>
      <c r="D112" s="5" t="s">
        <v>217</v>
      </c>
      <c r="E112" s="4" t="s">
        <v>10</v>
      </c>
      <c r="F112" s="6" t="s">
        <v>48</v>
      </c>
      <c r="G112" s="5" t="s">
        <v>124</v>
      </c>
    </row>
    <row r="113" customFormat="false" ht="15" hidden="false" customHeight="false" outlineLevel="0" collapsed="false">
      <c r="A113" s="4" t="n">
        <v>112</v>
      </c>
      <c r="B113" s="5" t="s">
        <v>187</v>
      </c>
      <c r="C113" s="4" t="s">
        <v>218</v>
      </c>
      <c r="D113" s="5" t="s">
        <v>219</v>
      </c>
      <c r="E113" s="4" t="s">
        <v>10</v>
      </c>
      <c r="F113" s="4" t="s">
        <v>11</v>
      </c>
      <c r="G113" s="5" t="s">
        <v>124</v>
      </c>
    </row>
    <row r="114" customFormat="false" ht="15" hidden="false" customHeight="false" outlineLevel="0" collapsed="false">
      <c r="A114" s="2" t="n">
        <v>113</v>
      </c>
      <c r="B114" s="3" t="s">
        <v>220</v>
      </c>
      <c r="C114" s="2" t="s">
        <v>221</v>
      </c>
      <c r="D114" s="3" t="s">
        <v>222</v>
      </c>
      <c r="E114" s="2" t="s">
        <v>17</v>
      </c>
      <c r="F114" s="2" t="s">
        <v>11</v>
      </c>
      <c r="G114" s="3" t="s">
        <v>53</v>
      </c>
    </row>
    <row r="115" customFormat="false" ht="15" hidden="false" customHeight="false" outlineLevel="0" collapsed="false">
      <c r="A115" s="2" t="n">
        <v>114</v>
      </c>
      <c r="B115" s="3" t="s">
        <v>220</v>
      </c>
      <c r="C115" s="2" t="s">
        <v>188</v>
      </c>
      <c r="D115" s="3" t="s">
        <v>223</v>
      </c>
      <c r="E115" s="2" t="s">
        <v>10</v>
      </c>
      <c r="F115" s="7" t="s">
        <v>48</v>
      </c>
      <c r="G115" s="3" t="s">
        <v>134</v>
      </c>
    </row>
    <row r="116" customFormat="false" ht="15" hidden="false" customHeight="false" outlineLevel="0" collapsed="false">
      <c r="A116" s="2" t="n">
        <v>115</v>
      </c>
      <c r="B116" s="3" t="s">
        <v>220</v>
      </c>
      <c r="C116" s="2" t="s">
        <v>190</v>
      </c>
      <c r="D116" s="3" t="s">
        <v>224</v>
      </c>
      <c r="E116" s="2" t="s">
        <v>10</v>
      </c>
      <c r="F116" s="7" t="s">
        <v>48</v>
      </c>
      <c r="G116" s="3" t="s">
        <v>134</v>
      </c>
    </row>
    <row r="117" customFormat="false" ht="15" hidden="false" customHeight="false" outlineLevel="0" collapsed="false">
      <c r="A117" s="2" t="n">
        <v>116</v>
      </c>
      <c r="B117" s="3" t="s">
        <v>220</v>
      </c>
      <c r="C117" s="2" t="s">
        <v>192</v>
      </c>
      <c r="D117" s="3" t="s">
        <v>225</v>
      </c>
      <c r="E117" s="2" t="s">
        <v>10</v>
      </c>
      <c r="F117" s="7" t="s">
        <v>48</v>
      </c>
      <c r="G117" s="3" t="s">
        <v>134</v>
      </c>
    </row>
    <row r="118" customFormat="false" ht="15" hidden="false" customHeight="false" outlineLevel="0" collapsed="false">
      <c r="A118" s="2" t="n">
        <v>117</v>
      </c>
      <c r="B118" s="3" t="s">
        <v>220</v>
      </c>
      <c r="C118" s="2" t="s">
        <v>194</v>
      </c>
      <c r="D118" s="3" t="s">
        <v>226</v>
      </c>
      <c r="E118" s="2" t="s">
        <v>10</v>
      </c>
      <c r="F118" s="7" t="s">
        <v>48</v>
      </c>
      <c r="G118" s="3" t="s">
        <v>134</v>
      </c>
    </row>
    <row r="119" customFormat="false" ht="15" hidden="false" customHeight="false" outlineLevel="0" collapsed="false">
      <c r="A119" s="2" t="n">
        <v>118</v>
      </c>
      <c r="B119" s="3" t="s">
        <v>220</v>
      </c>
      <c r="C119" s="2" t="s">
        <v>196</v>
      </c>
      <c r="D119" s="3" t="s">
        <v>227</v>
      </c>
      <c r="E119" s="2" t="s">
        <v>10</v>
      </c>
      <c r="F119" s="7" t="s">
        <v>48</v>
      </c>
      <c r="G119" s="3" t="s">
        <v>134</v>
      </c>
    </row>
    <row r="120" customFormat="false" ht="15" hidden="false" customHeight="false" outlineLevel="0" collapsed="false">
      <c r="A120" s="2" t="n">
        <v>119</v>
      </c>
      <c r="B120" s="3" t="s">
        <v>220</v>
      </c>
      <c r="C120" s="2" t="s">
        <v>198</v>
      </c>
      <c r="D120" s="3" t="s">
        <v>228</v>
      </c>
      <c r="E120" s="2" t="s">
        <v>10</v>
      </c>
      <c r="F120" s="7" t="s">
        <v>48</v>
      </c>
      <c r="G120" s="3" t="s">
        <v>134</v>
      </c>
    </row>
    <row r="121" customFormat="false" ht="15" hidden="false" customHeight="false" outlineLevel="0" collapsed="false">
      <c r="A121" s="2" t="n">
        <v>120</v>
      </c>
      <c r="B121" s="3" t="s">
        <v>220</v>
      </c>
      <c r="C121" s="2" t="s">
        <v>200</v>
      </c>
      <c r="D121" s="3" t="s">
        <v>229</v>
      </c>
      <c r="E121" s="2" t="s">
        <v>10</v>
      </c>
      <c r="F121" s="7" t="s">
        <v>48</v>
      </c>
      <c r="G121" s="3" t="s">
        <v>134</v>
      </c>
    </row>
    <row r="122" customFormat="false" ht="15" hidden="false" customHeight="false" outlineLevel="0" collapsed="false">
      <c r="A122" s="2" t="n">
        <v>121</v>
      </c>
      <c r="B122" s="3" t="s">
        <v>220</v>
      </c>
      <c r="C122" s="2" t="s">
        <v>202</v>
      </c>
      <c r="D122" s="3" t="s">
        <v>230</v>
      </c>
      <c r="E122" s="2" t="s">
        <v>10</v>
      </c>
      <c r="F122" s="7" t="s">
        <v>48</v>
      </c>
      <c r="G122" s="3" t="s">
        <v>134</v>
      </c>
    </row>
    <row r="123" customFormat="false" ht="15" hidden="false" customHeight="false" outlineLevel="0" collapsed="false">
      <c r="A123" s="2" t="n">
        <v>122</v>
      </c>
      <c r="B123" s="3" t="s">
        <v>220</v>
      </c>
      <c r="C123" s="2" t="s">
        <v>204</v>
      </c>
      <c r="D123" s="3" t="s">
        <v>231</v>
      </c>
      <c r="E123" s="2" t="s">
        <v>10</v>
      </c>
      <c r="F123" s="7" t="s">
        <v>48</v>
      </c>
      <c r="G123" s="3" t="s">
        <v>134</v>
      </c>
    </row>
    <row r="124" customFormat="false" ht="15" hidden="false" customHeight="false" outlineLevel="0" collapsed="false">
      <c r="A124" s="2" t="n">
        <v>123</v>
      </c>
      <c r="B124" s="3" t="s">
        <v>220</v>
      </c>
      <c r="C124" s="2" t="s">
        <v>206</v>
      </c>
      <c r="D124" s="3" t="s">
        <v>232</v>
      </c>
      <c r="E124" s="2" t="s">
        <v>10</v>
      </c>
      <c r="F124" s="7" t="s">
        <v>48</v>
      </c>
      <c r="G124" s="3" t="s">
        <v>134</v>
      </c>
    </row>
    <row r="125" customFormat="false" ht="15" hidden="false" customHeight="false" outlineLevel="0" collapsed="false">
      <c r="A125" s="2" t="n">
        <v>124</v>
      </c>
      <c r="B125" s="3" t="s">
        <v>220</v>
      </c>
      <c r="C125" s="2" t="s">
        <v>208</v>
      </c>
      <c r="D125" s="3" t="s">
        <v>233</v>
      </c>
      <c r="E125" s="2" t="s">
        <v>10</v>
      </c>
      <c r="F125" s="7" t="s">
        <v>48</v>
      </c>
      <c r="G125" s="3" t="s">
        <v>134</v>
      </c>
    </row>
    <row r="126" customFormat="false" ht="15" hidden="false" customHeight="false" outlineLevel="0" collapsed="false">
      <c r="A126" s="2" t="n">
        <v>125</v>
      </c>
      <c r="B126" s="3" t="s">
        <v>220</v>
      </c>
      <c r="C126" s="2" t="s">
        <v>210</v>
      </c>
      <c r="D126" s="3" t="s">
        <v>234</v>
      </c>
      <c r="E126" s="2" t="s">
        <v>10</v>
      </c>
      <c r="F126" s="7" t="s">
        <v>48</v>
      </c>
      <c r="G126" s="3" t="s">
        <v>134</v>
      </c>
    </row>
    <row r="127" customFormat="false" ht="15" hidden="false" customHeight="false" outlineLevel="0" collapsed="false">
      <c r="A127" s="4" t="n">
        <v>126</v>
      </c>
      <c r="B127" s="5" t="s">
        <v>235</v>
      </c>
      <c r="C127" s="4" t="s">
        <v>8</v>
      </c>
      <c r="D127" s="5" t="s">
        <v>236</v>
      </c>
      <c r="E127" s="4" t="s">
        <v>10</v>
      </c>
      <c r="F127" s="4" t="s">
        <v>11</v>
      </c>
      <c r="G127" s="5" t="s">
        <v>29</v>
      </c>
    </row>
    <row r="128" customFormat="false" ht="15" hidden="false" customHeight="false" outlineLevel="0" collapsed="false">
      <c r="A128" s="4" t="n">
        <v>127</v>
      </c>
      <c r="B128" s="5" t="s">
        <v>235</v>
      </c>
      <c r="C128" s="4" t="s">
        <v>13</v>
      </c>
      <c r="D128" s="5" t="s">
        <v>237</v>
      </c>
      <c r="E128" s="4" t="s">
        <v>10</v>
      </c>
      <c r="F128" s="4" t="s">
        <v>11</v>
      </c>
      <c r="G128" s="5" t="s">
        <v>29</v>
      </c>
    </row>
    <row r="129" customFormat="false" ht="15" hidden="false" customHeight="false" outlineLevel="0" collapsed="false">
      <c r="A129" s="4" t="n">
        <v>128</v>
      </c>
      <c r="B129" s="5" t="s">
        <v>235</v>
      </c>
      <c r="C129" s="4" t="s">
        <v>15</v>
      </c>
      <c r="D129" s="5" t="s">
        <v>238</v>
      </c>
      <c r="E129" s="4" t="s">
        <v>10</v>
      </c>
      <c r="F129" s="4" t="s">
        <v>11</v>
      </c>
      <c r="G129" s="5" t="s">
        <v>29</v>
      </c>
    </row>
    <row r="130" customFormat="false" ht="15" hidden="false" customHeight="false" outlineLevel="0" collapsed="false">
      <c r="A130" s="4" t="n">
        <v>129</v>
      </c>
      <c r="B130" s="5" t="s">
        <v>235</v>
      </c>
      <c r="C130" s="4" t="s">
        <v>18</v>
      </c>
      <c r="D130" s="5" t="s">
        <v>239</v>
      </c>
      <c r="E130" s="4" t="s">
        <v>10</v>
      </c>
      <c r="F130" s="4" t="s">
        <v>11</v>
      </c>
      <c r="G130" s="5" t="s">
        <v>29</v>
      </c>
    </row>
    <row r="131" customFormat="false" ht="15" hidden="false" customHeight="false" outlineLevel="0" collapsed="false">
      <c r="A131" s="4" t="n">
        <v>130</v>
      </c>
      <c r="B131" s="5" t="s">
        <v>235</v>
      </c>
      <c r="C131" s="4" t="s">
        <v>20</v>
      </c>
      <c r="D131" s="5" t="s">
        <v>240</v>
      </c>
      <c r="E131" s="4" t="s">
        <v>10</v>
      </c>
      <c r="F131" s="4" t="s">
        <v>11</v>
      </c>
      <c r="G131" s="5" t="s">
        <v>29</v>
      </c>
    </row>
    <row r="132" customFormat="false" ht="15" hidden="false" customHeight="false" outlineLevel="0" collapsed="false">
      <c r="A132" s="4" t="n">
        <v>131</v>
      </c>
      <c r="B132" s="5" t="s">
        <v>235</v>
      </c>
      <c r="C132" s="4" t="s">
        <v>22</v>
      </c>
      <c r="D132" s="5" t="s">
        <v>241</v>
      </c>
      <c r="E132" s="4" t="s">
        <v>10</v>
      </c>
      <c r="F132" s="4" t="s">
        <v>11</v>
      </c>
      <c r="G132" s="5" t="s">
        <v>29</v>
      </c>
    </row>
    <row r="133" customFormat="false" ht="15" hidden="false" customHeight="false" outlineLevel="0" collapsed="false">
      <c r="A133" s="4" t="n">
        <v>132</v>
      </c>
      <c r="B133" s="5" t="s">
        <v>235</v>
      </c>
      <c r="C133" s="4" t="s">
        <v>24</v>
      </c>
      <c r="D133" s="5" t="s">
        <v>242</v>
      </c>
      <c r="E133" s="4" t="s">
        <v>10</v>
      </c>
      <c r="F133" s="4" t="s">
        <v>11</v>
      </c>
      <c r="G133" s="5" t="s">
        <v>29</v>
      </c>
    </row>
    <row r="134" customFormat="false" ht="15" hidden="false" customHeight="false" outlineLevel="0" collapsed="false">
      <c r="A134" s="4" t="n">
        <v>133</v>
      </c>
      <c r="B134" s="5" t="s">
        <v>235</v>
      </c>
      <c r="C134" s="4" t="s">
        <v>60</v>
      </c>
      <c r="D134" s="5" t="s">
        <v>243</v>
      </c>
      <c r="E134" s="4" t="s">
        <v>10</v>
      </c>
      <c r="F134" s="4" t="s">
        <v>11</v>
      </c>
      <c r="G134" s="5" t="s">
        <v>29</v>
      </c>
    </row>
    <row r="135" customFormat="false" ht="15" hidden="false" customHeight="false" outlineLevel="0" collapsed="false">
      <c r="A135" s="4" t="n">
        <v>134</v>
      </c>
      <c r="B135" s="5" t="s">
        <v>235</v>
      </c>
      <c r="C135" s="4" t="s">
        <v>62</v>
      </c>
      <c r="D135" s="5" t="s">
        <v>88</v>
      </c>
      <c r="E135" s="4" t="s">
        <v>10</v>
      </c>
      <c r="F135" s="4" t="s">
        <v>11</v>
      </c>
      <c r="G135" s="5" t="s">
        <v>29</v>
      </c>
    </row>
    <row r="136" customFormat="false" ht="15" hidden="false" customHeight="false" outlineLevel="0" collapsed="false">
      <c r="A136" s="4" t="n">
        <v>135</v>
      </c>
      <c r="B136" s="5" t="s">
        <v>235</v>
      </c>
      <c r="C136" s="4" t="s">
        <v>64</v>
      </c>
      <c r="D136" s="5" t="s">
        <v>242</v>
      </c>
      <c r="E136" s="4" t="s">
        <v>10</v>
      </c>
      <c r="F136" s="4" t="s">
        <v>11</v>
      </c>
      <c r="G136" s="5" t="s">
        <v>29</v>
      </c>
    </row>
    <row r="137" customFormat="false" ht="15" hidden="false" customHeight="false" outlineLevel="0" collapsed="false">
      <c r="A137" s="4" t="n">
        <v>136</v>
      </c>
      <c r="B137" s="5" t="s">
        <v>235</v>
      </c>
      <c r="C137" s="4" t="s">
        <v>66</v>
      </c>
      <c r="D137" s="5" t="s">
        <v>244</v>
      </c>
      <c r="E137" s="4" t="s">
        <v>10</v>
      </c>
      <c r="F137" s="6" t="s">
        <v>48</v>
      </c>
      <c r="G137" s="5" t="s">
        <v>29</v>
      </c>
    </row>
    <row r="138" customFormat="false" ht="15" hidden="false" customHeight="false" outlineLevel="0" collapsed="false">
      <c r="A138" s="4" t="n">
        <v>137</v>
      </c>
      <c r="B138" s="5" t="s">
        <v>235</v>
      </c>
      <c r="C138" s="4" t="s">
        <v>68</v>
      </c>
      <c r="D138" s="5" t="s">
        <v>245</v>
      </c>
      <c r="E138" s="4" t="s">
        <v>10</v>
      </c>
      <c r="F138" s="6" t="s">
        <v>48</v>
      </c>
      <c r="G138" s="5" t="s">
        <v>29</v>
      </c>
    </row>
    <row r="139" customFormat="false" ht="15" hidden="false" customHeight="false" outlineLevel="0" collapsed="false">
      <c r="A139" s="4" t="n">
        <v>138</v>
      </c>
      <c r="B139" s="5" t="s">
        <v>235</v>
      </c>
      <c r="C139" s="4" t="s">
        <v>70</v>
      </c>
      <c r="D139" s="5" t="s">
        <v>246</v>
      </c>
      <c r="E139" s="4" t="s">
        <v>10</v>
      </c>
      <c r="F139" s="4" t="s">
        <v>11</v>
      </c>
      <c r="G139" s="5" t="s">
        <v>29</v>
      </c>
    </row>
    <row r="140" customFormat="false" ht="15" hidden="false" customHeight="false" outlineLevel="0" collapsed="false">
      <c r="A140" s="2" t="n">
        <v>139</v>
      </c>
      <c r="B140" s="3" t="s">
        <v>247</v>
      </c>
      <c r="C140" s="2" t="s">
        <v>102</v>
      </c>
      <c r="D140" s="3" t="s">
        <v>248</v>
      </c>
      <c r="E140" s="2" t="s">
        <v>10</v>
      </c>
      <c r="F140" s="7" t="s">
        <v>48</v>
      </c>
      <c r="G140" s="3" t="s">
        <v>134</v>
      </c>
    </row>
    <row r="141" customFormat="false" ht="15" hidden="false" customHeight="false" outlineLevel="0" collapsed="false">
      <c r="A141" s="2" t="n">
        <v>140</v>
      </c>
      <c r="B141" s="3" t="s">
        <v>247</v>
      </c>
      <c r="C141" s="2" t="s">
        <v>104</v>
      </c>
      <c r="D141" s="3" t="s">
        <v>249</v>
      </c>
      <c r="E141" s="2" t="s">
        <v>10</v>
      </c>
      <c r="F141" s="7" t="s">
        <v>48</v>
      </c>
      <c r="G141" s="3" t="s">
        <v>134</v>
      </c>
    </row>
    <row r="142" customFormat="false" ht="15" hidden="false" customHeight="false" outlineLevel="0" collapsed="false">
      <c r="A142" s="2" t="n">
        <v>141</v>
      </c>
      <c r="B142" s="3" t="s">
        <v>247</v>
      </c>
      <c r="C142" s="2" t="s">
        <v>106</v>
      </c>
      <c r="D142" s="3" t="s">
        <v>250</v>
      </c>
      <c r="E142" s="2" t="s">
        <v>10</v>
      </c>
      <c r="F142" s="7" t="s">
        <v>48</v>
      </c>
      <c r="G142" s="3" t="s">
        <v>134</v>
      </c>
    </row>
    <row r="143" customFormat="false" ht="15" hidden="false" customHeight="false" outlineLevel="0" collapsed="false">
      <c r="A143" s="2" t="n">
        <v>142</v>
      </c>
      <c r="B143" s="3" t="s">
        <v>247</v>
      </c>
      <c r="C143" s="2" t="s">
        <v>108</v>
      </c>
      <c r="D143" s="3" t="s">
        <v>251</v>
      </c>
      <c r="E143" s="2" t="s">
        <v>10</v>
      </c>
      <c r="F143" s="7" t="s">
        <v>48</v>
      </c>
      <c r="G143" s="3" t="s">
        <v>134</v>
      </c>
    </row>
    <row r="144" customFormat="false" ht="15" hidden="false" customHeight="false" outlineLevel="0" collapsed="false">
      <c r="A144" s="2" t="n">
        <v>143</v>
      </c>
      <c r="B144" s="3" t="s">
        <v>247</v>
      </c>
      <c r="C144" s="2" t="s">
        <v>110</v>
      </c>
      <c r="D144" s="3" t="s">
        <v>252</v>
      </c>
      <c r="E144" s="2" t="s">
        <v>10</v>
      </c>
      <c r="F144" s="7" t="s">
        <v>48</v>
      </c>
      <c r="G144" s="3" t="s">
        <v>134</v>
      </c>
    </row>
    <row r="145" customFormat="false" ht="15" hidden="false" customHeight="false" outlineLevel="0" collapsed="false">
      <c r="A145" s="2" t="n">
        <v>144</v>
      </c>
      <c r="B145" s="3" t="s">
        <v>247</v>
      </c>
      <c r="C145" s="2" t="s">
        <v>112</v>
      </c>
      <c r="D145" s="3" t="s">
        <v>253</v>
      </c>
      <c r="E145" s="2" t="s">
        <v>10</v>
      </c>
      <c r="F145" s="7" t="s">
        <v>48</v>
      </c>
      <c r="G145" s="3" t="s">
        <v>134</v>
      </c>
    </row>
    <row r="146" customFormat="false" ht="15" hidden="false" customHeight="false" outlineLevel="0" collapsed="false">
      <c r="A146" s="2" t="n">
        <v>145</v>
      </c>
      <c r="B146" s="3" t="s">
        <v>247</v>
      </c>
      <c r="C146" s="2" t="s">
        <v>114</v>
      </c>
      <c r="D146" s="3" t="s">
        <v>254</v>
      </c>
      <c r="E146" s="2" t="s">
        <v>10</v>
      </c>
      <c r="F146" s="7" t="s">
        <v>48</v>
      </c>
      <c r="G146" s="3" t="s">
        <v>134</v>
      </c>
    </row>
    <row r="147" customFormat="false" ht="15" hidden="false" customHeight="false" outlineLevel="0" collapsed="false">
      <c r="A147" s="2" t="n">
        <v>146</v>
      </c>
      <c r="B147" s="3" t="s">
        <v>247</v>
      </c>
      <c r="C147" s="2" t="s">
        <v>116</v>
      </c>
      <c r="D147" s="3" t="s">
        <v>255</v>
      </c>
      <c r="E147" s="2" t="s">
        <v>10</v>
      </c>
      <c r="F147" s="7" t="s">
        <v>48</v>
      </c>
      <c r="G147" s="3" t="s">
        <v>134</v>
      </c>
    </row>
    <row r="148" customFormat="false" ht="15" hidden="false" customHeight="false" outlineLevel="0" collapsed="false">
      <c r="A148" s="2" t="n">
        <v>147</v>
      </c>
      <c r="B148" s="3" t="s">
        <v>247</v>
      </c>
      <c r="C148" s="2" t="s">
        <v>117</v>
      </c>
      <c r="D148" s="3" t="s">
        <v>256</v>
      </c>
      <c r="E148" s="2" t="s">
        <v>10</v>
      </c>
      <c r="F148" s="7" t="s">
        <v>48</v>
      </c>
      <c r="G148" s="3" t="s">
        <v>134</v>
      </c>
    </row>
    <row r="149" customFormat="false" ht="15" hidden="false" customHeight="false" outlineLevel="0" collapsed="false">
      <c r="A149" s="4" t="n">
        <v>148</v>
      </c>
      <c r="B149" s="5" t="s">
        <v>257</v>
      </c>
      <c r="C149" s="4" t="s">
        <v>258</v>
      </c>
      <c r="D149" s="5" t="s">
        <v>259</v>
      </c>
      <c r="E149" s="4" t="s">
        <v>10</v>
      </c>
      <c r="F149" s="4" t="s">
        <v>11</v>
      </c>
      <c r="G149" s="5" t="s">
        <v>29</v>
      </c>
    </row>
    <row r="150" customFormat="false" ht="15" hidden="false" customHeight="false" outlineLevel="0" collapsed="false">
      <c r="A150" s="4" t="n">
        <v>149</v>
      </c>
      <c r="B150" s="5" t="s">
        <v>257</v>
      </c>
      <c r="C150" s="4" t="s">
        <v>260</v>
      </c>
      <c r="D150" s="5" t="s">
        <v>237</v>
      </c>
      <c r="E150" s="4" t="s">
        <v>10</v>
      </c>
      <c r="F150" s="4" t="s">
        <v>11</v>
      </c>
      <c r="G150" s="5" t="s">
        <v>29</v>
      </c>
    </row>
    <row r="151" customFormat="false" ht="15" hidden="false" customHeight="false" outlineLevel="0" collapsed="false">
      <c r="A151" s="4" t="n">
        <v>150</v>
      </c>
      <c r="B151" s="5" t="s">
        <v>257</v>
      </c>
      <c r="C151" s="4" t="s">
        <v>261</v>
      </c>
      <c r="D151" s="5" t="s">
        <v>262</v>
      </c>
      <c r="E151" s="4" t="s">
        <v>10</v>
      </c>
      <c r="F151" s="4" t="s">
        <v>11</v>
      </c>
      <c r="G151" s="5" t="s">
        <v>29</v>
      </c>
    </row>
    <row r="152" customFormat="false" ht="15" hidden="false" customHeight="false" outlineLevel="0" collapsed="false">
      <c r="A152" s="4" t="n">
        <v>151</v>
      </c>
      <c r="B152" s="5" t="s">
        <v>257</v>
      </c>
      <c r="C152" s="4" t="s">
        <v>263</v>
      </c>
      <c r="D152" s="5" t="s">
        <v>264</v>
      </c>
      <c r="E152" s="4" t="s">
        <v>10</v>
      </c>
      <c r="F152" s="4" t="s">
        <v>11</v>
      </c>
      <c r="G152" s="5" t="s">
        <v>29</v>
      </c>
    </row>
    <row r="153" customFormat="false" ht="15" hidden="false" customHeight="false" outlineLevel="0" collapsed="false">
      <c r="A153" s="2" t="n">
        <v>152</v>
      </c>
      <c r="B153" s="3" t="s">
        <v>265</v>
      </c>
      <c r="C153" s="2" t="s">
        <v>8</v>
      </c>
      <c r="D153" s="3" t="s">
        <v>266</v>
      </c>
      <c r="E153" s="2" t="s">
        <v>10</v>
      </c>
      <c r="F153" s="2" t="s">
        <v>11</v>
      </c>
      <c r="G153" s="3" t="s">
        <v>124</v>
      </c>
    </row>
    <row r="154" customFormat="false" ht="15" hidden="false" customHeight="false" outlineLevel="0" collapsed="false">
      <c r="A154" s="2" t="n">
        <v>153</v>
      </c>
      <c r="B154" s="3" t="s">
        <v>265</v>
      </c>
      <c r="C154" s="2" t="s">
        <v>13</v>
      </c>
      <c r="D154" s="3" t="s">
        <v>267</v>
      </c>
      <c r="E154" s="2" t="s">
        <v>10</v>
      </c>
      <c r="F154" s="2" t="s">
        <v>11</v>
      </c>
      <c r="G154" s="3" t="s">
        <v>124</v>
      </c>
    </row>
    <row r="155" customFormat="false" ht="15" hidden="false" customHeight="false" outlineLevel="0" collapsed="false">
      <c r="A155" s="2" t="n">
        <v>154</v>
      </c>
      <c r="B155" s="3" t="s">
        <v>265</v>
      </c>
      <c r="C155" s="2" t="s">
        <v>15</v>
      </c>
      <c r="D155" s="3" t="s">
        <v>268</v>
      </c>
      <c r="E155" s="2" t="s">
        <v>10</v>
      </c>
      <c r="F155" s="2" t="s">
        <v>11</v>
      </c>
      <c r="G155" s="3" t="s">
        <v>124</v>
      </c>
    </row>
    <row r="156" customFormat="false" ht="15" hidden="false" customHeight="false" outlineLevel="0" collapsed="false">
      <c r="A156" s="2" t="n">
        <v>155</v>
      </c>
      <c r="B156" s="3" t="s">
        <v>265</v>
      </c>
      <c r="C156" s="2" t="s">
        <v>18</v>
      </c>
      <c r="D156" s="3" t="s">
        <v>269</v>
      </c>
      <c r="E156" s="2" t="s">
        <v>10</v>
      </c>
      <c r="F156" s="2" t="s">
        <v>11</v>
      </c>
      <c r="G156" s="3" t="s">
        <v>124</v>
      </c>
    </row>
    <row r="157" customFormat="false" ht="15" hidden="false" customHeight="false" outlineLevel="0" collapsed="false">
      <c r="A157" s="2" t="n">
        <v>156</v>
      </c>
      <c r="B157" s="3" t="s">
        <v>265</v>
      </c>
      <c r="C157" s="2" t="s">
        <v>20</v>
      </c>
      <c r="D157" s="3" t="s">
        <v>270</v>
      </c>
      <c r="E157" s="2" t="s">
        <v>10</v>
      </c>
      <c r="F157" s="2" t="s">
        <v>11</v>
      </c>
      <c r="G157" s="3" t="s">
        <v>124</v>
      </c>
    </row>
    <row r="158" customFormat="false" ht="15" hidden="false" customHeight="false" outlineLevel="0" collapsed="false">
      <c r="A158" s="2" t="n">
        <v>157</v>
      </c>
      <c r="B158" s="3" t="s">
        <v>265</v>
      </c>
      <c r="C158" s="2" t="s">
        <v>22</v>
      </c>
      <c r="D158" s="3" t="s">
        <v>271</v>
      </c>
      <c r="E158" s="2" t="s">
        <v>10</v>
      </c>
      <c r="F158" s="2" t="s">
        <v>11</v>
      </c>
      <c r="G158" s="3" t="s">
        <v>124</v>
      </c>
    </row>
    <row r="159" customFormat="false" ht="15" hidden="false" customHeight="false" outlineLevel="0" collapsed="false">
      <c r="A159" s="2" t="n">
        <v>158</v>
      </c>
      <c r="B159" s="3" t="s">
        <v>265</v>
      </c>
      <c r="C159" s="2" t="s">
        <v>24</v>
      </c>
      <c r="D159" s="3" t="s">
        <v>272</v>
      </c>
      <c r="E159" s="2" t="s">
        <v>10</v>
      </c>
      <c r="F159" s="2" t="s">
        <v>11</v>
      </c>
      <c r="G159" s="3" t="s">
        <v>124</v>
      </c>
    </row>
    <row r="160" customFormat="false" ht="15" hidden="false" customHeight="false" outlineLevel="0" collapsed="false">
      <c r="A160" s="2" t="n">
        <v>159</v>
      </c>
      <c r="B160" s="3" t="s">
        <v>265</v>
      </c>
      <c r="C160" s="2" t="s">
        <v>60</v>
      </c>
      <c r="D160" s="3" t="s">
        <v>273</v>
      </c>
      <c r="E160" s="2" t="s">
        <v>10</v>
      </c>
      <c r="F160" s="2" t="s">
        <v>11</v>
      </c>
      <c r="G160" s="3" t="s">
        <v>124</v>
      </c>
    </row>
    <row r="161" customFormat="false" ht="15" hidden="false" customHeight="false" outlineLevel="0" collapsed="false">
      <c r="A161" s="2" t="n">
        <v>160</v>
      </c>
      <c r="B161" s="3" t="s">
        <v>265</v>
      </c>
      <c r="C161" s="2" t="s">
        <v>62</v>
      </c>
      <c r="D161" s="3" t="s">
        <v>274</v>
      </c>
      <c r="E161" s="2" t="s">
        <v>10</v>
      </c>
      <c r="F161" s="2" t="s">
        <v>11</v>
      </c>
      <c r="G161" s="3" t="s">
        <v>124</v>
      </c>
    </row>
    <row r="162" customFormat="false" ht="15" hidden="false" customHeight="false" outlineLevel="0" collapsed="false">
      <c r="A162" s="2" t="n">
        <v>161</v>
      </c>
      <c r="B162" s="3" t="s">
        <v>265</v>
      </c>
      <c r="C162" s="2" t="s">
        <v>64</v>
      </c>
      <c r="D162" s="3" t="s">
        <v>275</v>
      </c>
      <c r="E162" s="2" t="s">
        <v>10</v>
      </c>
      <c r="F162" s="2" t="s">
        <v>11</v>
      </c>
      <c r="G162" s="3" t="s">
        <v>124</v>
      </c>
    </row>
    <row r="163" customFormat="false" ht="15" hidden="false" customHeight="false" outlineLevel="0" collapsed="false">
      <c r="A163" s="2" t="n">
        <v>162</v>
      </c>
      <c r="B163" s="3" t="s">
        <v>265</v>
      </c>
      <c r="C163" s="2" t="s">
        <v>66</v>
      </c>
      <c r="D163" s="3" t="s">
        <v>276</v>
      </c>
      <c r="E163" s="2" t="s">
        <v>10</v>
      </c>
      <c r="F163" s="2" t="s">
        <v>11</v>
      </c>
      <c r="G163" s="3" t="s">
        <v>124</v>
      </c>
    </row>
    <row r="164" customFormat="false" ht="15" hidden="false" customHeight="false" outlineLevel="0" collapsed="false">
      <c r="A164" s="2" t="n">
        <v>163</v>
      </c>
      <c r="B164" s="3" t="s">
        <v>265</v>
      </c>
      <c r="C164" s="2" t="s">
        <v>68</v>
      </c>
      <c r="D164" s="3" t="s">
        <v>277</v>
      </c>
      <c r="E164" s="2" t="s">
        <v>10</v>
      </c>
      <c r="F164" s="2" t="s">
        <v>11</v>
      </c>
      <c r="G164" s="3" t="s">
        <v>124</v>
      </c>
    </row>
    <row r="165" customFormat="false" ht="15" hidden="false" customHeight="false" outlineLevel="0" collapsed="false">
      <c r="A165" s="4" t="n">
        <v>164</v>
      </c>
      <c r="B165" s="5" t="s">
        <v>278</v>
      </c>
      <c r="C165" s="4" t="s">
        <v>279</v>
      </c>
      <c r="D165" s="5" t="s">
        <v>237</v>
      </c>
      <c r="E165" s="4" t="s">
        <v>10</v>
      </c>
      <c r="F165" s="4" t="s">
        <v>11</v>
      </c>
      <c r="G165" s="5" t="s">
        <v>29</v>
      </c>
    </row>
    <row r="166" customFormat="false" ht="15" hidden="false" customHeight="false" outlineLevel="0" collapsed="false">
      <c r="A166" s="4" t="n">
        <v>165</v>
      </c>
      <c r="B166" s="5" t="s">
        <v>278</v>
      </c>
      <c r="C166" s="4" t="s">
        <v>280</v>
      </c>
      <c r="D166" s="5" t="s">
        <v>262</v>
      </c>
      <c r="E166" s="4" t="s">
        <v>10</v>
      </c>
      <c r="F166" s="4" t="s">
        <v>11</v>
      </c>
      <c r="G166" s="5" t="s">
        <v>29</v>
      </c>
    </row>
    <row r="167" customFormat="false" ht="15" hidden="false" customHeight="false" outlineLevel="0" collapsed="false">
      <c r="A167" s="4" t="n">
        <v>166</v>
      </c>
      <c r="B167" s="5" t="s">
        <v>278</v>
      </c>
      <c r="C167" s="4" t="s">
        <v>281</v>
      </c>
      <c r="D167" s="5" t="s">
        <v>243</v>
      </c>
      <c r="E167" s="4" t="s">
        <v>10</v>
      </c>
      <c r="F167" s="4" t="s">
        <v>11</v>
      </c>
      <c r="G167" s="5" t="s">
        <v>29</v>
      </c>
    </row>
    <row r="168" customFormat="false" ht="15" hidden="false" customHeight="false" outlineLevel="0" collapsed="false">
      <c r="A168" s="4" t="n">
        <v>167</v>
      </c>
      <c r="B168" s="5" t="s">
        <v>278</v>
      </c>
      <c r="C168" s="4" t="s">
        <v>282</v>
      </c>
      <c r="D168" s="5" t="s">
        <v>88</v>
      </c>
      <c r="E168" s="4" t="s">
        <v>10</v>
      </c>
      <c r="F168" s="4" t="s">
        <v>11</v>
      </c>
      <c r="G168" s="5" t="s">
        <v>29</v>
      </c>
    </row>
    <row r="169" customFormat="false" ht="15" hidden="false" customHeight="false" outlineLevel="0" collapsed="false">
      <c r="A169" s="4" t="n">
        <v>168</v>
      </c>
      <c r="B169" s="5" t="s">
        <v>278</v>
      </c>
      <c r="C169" s="4" t="s">
        <v>283</v>
      </c>
      <c r="D169" s="5" t="s">
        <v>242</v>
      </c>
      <c r="E169" s="4" t="s">
        <v>10</v>
      </c>
      <c r="F169" s="4" t="s">
        <v>11</v>
      </c>
      <c r="G169" s="5" t="s">
        <v>29</v>
      </c>
    </row>
    <row r="170" customFormat="false" ht="15" hidden="false" customHeight="false" outlineLevel="0" collapsed="false">
      <c r="A170" s="4" t="n">
        <v>169</v>
      </c>
      <c r="B170" s="5" t="s">
        <v>278</v>
      </c>
      <c r="C170" s="4" t="s">
        <v>284</v>
      </c>
      <c r="D170" s="5" t="s">
        <v>285</v>
      </c>
      <c r="E170" s="4" t="s">
        <v>10</v>
      </c>
      <c r="F170" s="4" t="s">
        <v>11</v>
      </c>
      <c r="G170" s="5" t="s">
        <v>29</v>
      </c>
    </row>
    <row r="171" customFormat="false" ht="15" hidden="false" customHeight="false" outlineLevel="0" collapsed="false">
      <c r="A171" s="4" t="n">
        <v>170</v>
      </c>
      <c r="B171" s="5" t="s">
        <v>278</v>
      </c>
      <c r="C171" s="4" t="s">
        <v>152</v>
      </c>
      <c r="D171" s="5" t="s">
        <v>286</v>
      </c>
      <c r="E171" s="4" t="s">
        <v>10</v>
      </c>
      <c r="F171" s="4" t="s">
        <v>11</v>
      </c>
      <c r="G171" s="5" t="s">
        <v>29</v>
      </c>
    </row>
    <row r="172" customFormat="false" ht="15" hidden="false" customHeight="false" outlineLevel="0" collapsed="false">
      <c r="A172" s="2" t="n">
        <v>171</v>
      </c>
      <c r="B172" s="3" t="s">
        <v>287</v>
      </c>
      <c r="C172" s="2" t="s">
        <v>288</v>
      </c>
      <c r="D172" s="3" t="s">
        <v>237</v>
      </c>
      <c r="E172" s="2" t="s">
        <v>10</v>
      </c>
      <c r="F172" s="2" t="s">
        <v>11</v>
      </c>
      <c r="G172" s="3" t="s">
        <v>29</v>
      </c>
    </row>
    <row r="173" customFormat="false" ht="15" hidden="false" customHeight="false" outlineLevel="0" collapsed="false">
      <c r="A173" s="2" t="n">
        <v>172</v>
      </c>
      <c r="B173" s="3" t="s">
        <v>287</v>
      </c>
      <c r="C173" s="2" t="s">
        <v>289</v>
      </c>
      <c r="D173" s="3" t="s">
        <v>31</v>
      </c>
      <c r="E173" s="2" t="s">
        <v>10</v>
      </c>
      <c r="F173" s="2" t="s">
        <v>11</v>
      </c>
      <c r="G173" s="3" t="s">
        <v>29</v>
      </c>
    </row>
    <row r="174" customFormat="false" ht="15" hidden="false" customHeight="false" outlineLevel="0" collapsed="false">
      <c r="A174" s="2" t="n">
        <v>173</v>
      </c>
      <c r="B174" s="3" t="s">
        <v>287</v>
      </c>
      <c r="C174" s="2" t="s">
        <v>290</v>
      </c>
      <c r="D174" s="3" t="s">
        <v>291</v>
      </c>
      <c r="E174" s="2" t="s">
        <v>10</v>
      </c>
      <c r="F174" s="2" t="s">
        <v>11</v>
      </c>
      <c r="G174" s="3" t="s">
        <v>29</v>
      </c>
    </row>
    <row r="175" customFormat="false" ht="15" hidden="false" customHeight="false" outlineLevel="0" collapsed="false">
      <c r="A175" s="2" t="n">
        <v>174</v>
      </c>
      <c r="B175" s="3" t="s">
        <v>287</v>
      </c>
      <c r="C175" s="2" t="s">
        <v>292</v>
      </c>
      <c r="D175" s="3" t="s">
        <v>243</v>
      </c>
      <c r="E175" s="2" t="s">
        <v>10</v>
      </c>
      <c r="F175" s="2" t="s">
        <v>11</v>
      </c>
      <c r="G175" s="3" t="s">
        <v>29</v>
      </c>
    </row>
    <row r="176" customFormat="false" ht="15" hidden="false" customHeight="false" outlineLevel="0" collapsed="false">
      <c r="A176" s="2" t="n">
        <v>175</v>
      </c>
      <c r="B176" s="3" t="s">
        <v>287</v>
      </c>
      <c r="C176" s="2" t="s">
        <v>293</v>
      </c>
      <c r="D176" s="3" t="s">
        <v>88</v>
      </c>
      <c r="E176" s="2" t="s">
        <v>10</v>
      </c>
      <c r="F176" s="2" t="s">
        <v>11</v>
      </c>
      <c r="G176" s="3" t="s">
        <v>29</v>
      </c>
    </row>
    <row r="177" customFormat="false" ht="15" hidden="false" customHeight="false" outlineLevel="0" collapsed="false">
      <c r="A177" s="2" t="n">
        <v>176</v>
      </c>
      <c r="B177" s="3" t="s">
        <v>287</v>
      </c>
      <c r="C177" s="2" t="s">
        <v>294</v>
      </c>
      <c r="D177" s="3" t="s">
        <v>242</v>
      </c>
      <c r="E177" s="2" t="s">
        <v>10</v>
      </c>
      <c r="F177" s="2" t="s">
        <v>11</v>
      </c>
      <c r="G177" s="3" t="s">
        <v>29</v>
      </c>
    </row>
    <row r="178" customFormat="false" ht="15" hidden="false" customHeight="false" outlineLevel="0" collapsed="false">
      <c r="A178" s="2" t="n">
        <v>177</v>
      </c>
      <c r="B178" s="3" t="s">
        <v>287</v>
      </c>
      <c r="C178" s="2" t="s">
        <v>295</v>
      </c>
      <c r="D178" s="3" t="s">
        <v>285</v>
      </c>
      <c r="E178" s="2" t="s">
        <v>10</v>
      </c>
      <c r="F178" s="2" t="s">
        <v>11</v>
      </c>
      <c r="G178" s="3" t="s">
        <v>29</v>
      </c>
    </row>
    <row r="179" customFormat="false" ht="15" hidden="false" customHeight="false" outlineLevel="0" collapsed="false">
      <c r="A179" s="2" t="n">
        <v>178</v>
      </c>
      <c r="B179" s="3" t="s">
        <v>287</v>
      </c>
      <c r="C179" s="2" t="s">
        <v>296</v>
      </c>
      <c r="D179" s="3" t="s">
        <v>297</v>
      </c>
      <c r="E179" s="2" t="s">
        <v>10</v>
      </c>
      <c r="F179" s="2" t="s">
        <v>11</v>
      </c>
      <c r="G179" s="3" t="s">
        <v>29</v>
      </c>
    </row>
    <row r="180" customFormat="false" ht="15" hidden="false" customHeight="false" outlineLevel="0" collapsed="false">
      <c r="A180" s="2" t="n">
        <v>179</v>
      </c>
      <c r="B180" s="3" t="s">
        <v>287</v>
      </c>
      <c r="C180" s="2" t="s">
        <v>298</v>
      </c>
      <c r="D180" s="3" t="s">
        <v>299</v>
      </c>
      <c r="E180" s="2" t="s">
        <v>10</v>
      </c>
      <c r="F180" s="2" t="s">
        <v>11</v>
      </c>
      <c r="G180" s="3" t="s">
        <v>29</v>
      </c>
    </row>
    <row r="181" customFormat="false" ht="15" hidden="false" customHeight="false" outlineLevel="0" collapsed="false">
      <c r="A181" s="2" t="n">
        <v>180</v>
      </c>
      <c r="B181" s="3" t="s">
        <v>287</v>
      </c>
      <c r="C181" s="2" t="s">
        <v>300</v>
      </c>
      <c r="D181" s="3" t="s">
        <v>50</v>
      </c>
      <c r="E181" s="2" t="s">
        <v>10</v>
      </c>
      <c r="F181" s="2" t="s">
        <v>11</v>
      </c>
      <c r="G181" s="3" t="s">
        <v>29</v>
      </c>
    </row>
    <row r="182" customFormat="false" ht="15" hidden="false" customHeight="false" outlineLevel="0" collapsed="false">
      <c r="A182" s="2" t="n">
        <v>181</v>
      </c>
      <c r="B182" s="3" t="s">
        <v>287</v>
      </c>
      <c r="C182" s="2" t="s">
        <v>301</v>
      </c>
      <c r="D182" s="3" t="s">
        <v>302</v>
      </c>
      <c r="E182" s="2" t="s">
        <v>10</v>
      </c>
      <c r="F182" s="7" t="s">
        <v>48</v>
      </c>
      <c r="G182" s="3" t="s">
        <v>29</v>
      </c>
    </row>
    <row r="183" customFormat="false" ht="15" hidden="false" customHeight="false" outlineLevel="0" collapsed="false">
      <c r="A183" s="4" t="n">
        <v>182</v>
      </c>
      <c r="B183" s="5" t="s">
        <v>303</v>
      </c>
      <c r="C183" s="4" t="s">
        <v>304</v>
      </c>
      <c r="D183" s="5" t="s">
        <v>305</v>
      </c>
      <c r="E183" s="4" t="s">
        <v>10</v>
      </c>
      <c r="F183" s="4" t="s">
        <v>11</v>
      </c>
      <c r="G183" s="5" t="s">
        <v>29</v>
      </c>
    </row>
    <row r="184" customFormat="false" ht="15" hidden="false" customHeight="false" outlineLevel="0" collapsed="false">
      <c r="A184" s="4" t="n">
        <v>183</v>
      </c>
      <c r="B184" s="5" t="s">
        <v>303</v>
      </c>
      <c r="C184" s="4" t="s">
        <v>306</v>
      </c>
      <c r="D184" s="5" t="s">
        <v>307</v>
      </c>
      <c r="E184" s="4" t="s">
        <v>10</v>
      </c>
      <c r="F184" s="4" t="s">
        <v>11</v>
      </c>
      <c r="G184" s="5" t="s">
        <v>29</v>
      </c>
    </row>
    <row r="185" customFormat="false" ht="15" hidden="false" customHeight="false" outlineLevel="0" collapsed="false">
      <c r="A185" s="4" t="n">
        <v>184</v>
      </c>
      <c r="B185" s="5" t="s">
        <v>303</v>
      </c>
      <c r="C185" s="4" t="s">
        <v>308</v>
      </c>
      <c r="D185" s="5" t="s">
        <v>31</v>
      </c>
      <c r="E185" s="4" t="s">
        <v>10</v>
      </c>
      <c r="F185" s="4" t="s">
        <v>11</v>
      </c>
      <c r="G185" s="5" t="s">
        <v>29</v>
      </c>
    </row>
    <row r="186" customFormat="false" ht="15" hidden="false" customHeight="false" outlineLevel="0" collapsed="false">
      <c r="A186" s="4" t="n">
        <v>185</v>
      </c>
      <c r="B186" s="5" t="s">
        <v>303</v>
      </c>
      <c r="C186" s="4" t="s">
        <v>309</v>
      </c>
      <c r="D186" s="5" t="s">
        <v>291</v>
      </c>
      <c r="E186" s="4" t="s">
        <v>10</v>
      </c>
      <c r="F186" s="4" t="s">
        <v>11</v>
      </c>
      <c r="G186" s="5" t="s">
        <v>29</v>
      </c>
    </row>
    <row r="187" customFormat="false" ht="15" hidden="false" customHeight="false" outlineLevel="0" collapsed="false">
      <c r="A187" s="4" t="n">
        <v>186</v>
      </c>
      <c r="B187" s="5" t="s">
        <v>303</v>
      </c>
      <c r="C187" s="4" t="s">
        <v>310</v>
      </c>
      <c r="D187" s="5" t="s">
        <v>86</v>
      </c>
      <c r="E187" s="4" t="s">
        <v>10</v>
      </c>
      <c r="F187" s="4" t="s">
        <v>11</v>
      </c>
      <c r="G187" s="5" t="s">
        <v>29</v>
      </c>
    </row>
    <row r="188" customFormat="false" ht="15" hidden="false" customHeight="false" outlineLevel="0" collapsed="false">
      <c r="A188" s="4" t="n">
        <v>187</v>
      </c>
      <c r="B188" s="5" t="s">
        <v>303</v>
      </c>
      <c r="C188" s="4" t="s">
        <v>311</v>
      </c>
      <c r="D188" s="5" t="s">
        <v>241</v>
      </c>
      <c r="E188" s="4" t="s">
        <v>10</v>
      </c>
      <c r="F188" s="4" t="s">
        <v>11</v>
      </c>
      <c r="G188" s="5" t="s">
        <v>29</v>
      </c>
    </row>
    <row r="189" customFormat="false" ht="15" hidden="false" customHeight="false" outlineLevel="0" collapsed="false">
      <c r="A189" s="4" t="n">
        <v>188</v>
      </c>
      <c r="B189" s="5" t="s">
        <v>303</v>
      </c>
      <c r="C189" s="4" t="s">
        <v>312</v>
      </c>
      <c r="D189" s="5" t="s">
        <v>313</v>
      </c>
      <c r="E189" s="4" t="s">
        <v>10</v>
      </c>
      <c r="F189" s="4" t="s">
        <v>11</v>
      </c>
      <c r="G189" s="5" t="s">
        <v>29</v>
      </c>
    </row>
    <row r="190" customFormat="false" ht="15" hidden="false" customHeight="false" outlineLevel="0" collapsed="false">
      <c r="A190" s="2" t="n">
        <v>189</v>
      </c>
      <c r="B190" s="3" t="s">
        <v>314</v>
      </c>
      <c r="C190" s="2" t="s">
        <v>315</v>
      </c>
      <c r="D190" s="3" t="s">
        <v>316</v>
      </c>
      <c r="E190" s="2" t="s">
        <v>17</v>
      </c>
      <c r="F190" s="2" t="s">
        <v>11</v>
      </c>
      <c r="G190" s="3" t="s">
        <v>53</v>
      </c>
    </row>
    <row r="191" customFormat="false" ht="15" hidden="false" customHeight="false" outlineLevel="0" collapsed="false">
      <c r="A191" s="2" t="n">
        <v>190</v>
      </c>
      <c r="B191" s="3" t="s">
        <v>314</v>
      </c>
      <c r="C191" s="2" t="s">
        <v>317</v>
      </c>
      <c r="D191" s="3" t="s">
        <v>318</v>
      </c>
      <c r="E191" s="2" t="s">
        <v>17</v>
      </c>
      <c r="F191" s="2" t="s">
        <v>11</v>
      </c>
      <c r="G191" s="3" t="s">
        <v>53</v>
      </c>
    </row>
    <row r="192" customFormat="false" ht="15" hidden="false" customHeight="false" outlineLevel="0" collapsed="false">
      <c r="A192" s="2" t="n">
        <v>191</v>
      </c>
      <c r="B192" s="3" t="s">
        <v>314</v>
      </c>
      <c r="C192" s="2" t="s">
        <v>319</v>
      </c>
      <c r="D192" s="3" t="s">
        <v>320</v>
      </c>
      <c r="E192" s="2" t="s">
        <v>17</v>
      </c>
      <c r="F192" s="2" t="s">
        <v>11</v>
      </c>
      <c r="G192" s="3" t="s">
        <v>53</v>
      </c>
    </row>
    <row r="193" customFormat="false" ht="15" hidden="false" customHeight="false" outlineLevel="0" collapsed="false">
      <c r="A193" s="2" t="n">
        <v>192</v>
      </c>
      <c r="B193" s="3" t="s">
        <v>314</v>
      </c>
      <c r="C193" s="2" t="s">
        <v>321</v>
      </c>
      <c r="D193" s="3" t="s">
        <v>322</v>
      </c>
      <c r="E193" s="2" t="s">
        <v>10</v>
      </c>
      <c r="F193" s="2" t="s">
        <v>11</v>
      </c>
      <c r="G193" s="3" t="s">
        <v>53</v>
      </c>
    </row>
    <row r="194" customFormat="false" ht="15" hidden="false" customHeight="false" outlineLevel="0" collapsed="false">
      <c r="A194" s="2" t="n">
        <v>193</v>
      </c>
      <c r="B194" s="3" t="s">
        <v>314</v>
      </c>
      <c r="C194" s="2" t="s">
        <v>188</v>
      </c>
      <c r="D194" s="3" t="s">
        <v>323</v>
      </c>
      <c r="E194" s="2" t="s">
        <v>10</v>
      </c>
      <c r="F194" s="2" t="s">
        <v>11</v>
      </c>
      <c r="G194" s="3" t="s">
        <v>29</v>
      </c>
    </row>
    <row r="195" customFormat="false" ht="15" hidden="false" customHeight="false" outlineLevel="0" collapsed="false">
      <c r="A195" s="2" t="n">
        <v>194</v>
      </c>
      <c r="B195" s="3" t="s">
        <v>314</v>
      </c>
      <c r="C195" s="2" t="s">
        <v>190</v>
      </c>
      <c r="D195" s="3" t="s">
        <v>324</v>
      </c>
      <c r="E195" s="2" t="s">
        <v>10</v>
      </c>
      <c r="F195" s="2" t="s">
        <v>11</v>
      </c>
      <c r="G195" s="3" t="s">
        <v>29</v>
      </c>
    </row>
    <row r="196" customFormat="false" ht="15" hidden="false" customHeight="false" outlineLevel="0" collapsed="false">
      <c r="A196" s="2" t="n">
        <v>195</v>
      </c>
      <c r="B196" s="3" t="s">
        <v>314</v>
      </c>
      <c r="C196" s="2" t="s">
        <v>192</v>
      </c>
      <c r="D196" s="3" t="s">
        <v>325</v>
      </c>
      <c r="E196" s="2" t="s">
        <v>10</v>
      </c>
      <c r="F196" s="2" t="s">
        <v>11</v>
      </c>
      <c r="G196" s="3" t="s">
        <v>29</v>
      </c>
    </row>
    <row r="197" customFormat="false" ht="15" hidden="false" customHeight="false" outlineLevel="0" collapsed="false">
      <c r="A197" s="2" t="n">
        <v>196</v>
      </c>
      <c r="B197" s="3" t="s">
        <v>314</v>
      </c>
      <c r="C197" s="2" t="s">
        <v>194</v>
      </c>
      <c r="D197" s="3" t="s">
        <v>326</v>
      </c>
      <c r="E197" s="2" t="s">
        <v>10</v>
      </c>
      <c r="F197" s="2" t="s">
        <v>11</v>
      </c>
      <c r="G197" s="3" t="s">
        <v>29</v>
      </c>
    </row>
    <row r="198" customFormat="false" ht="15" hidden="false" customHeight="false" outlineLevel="0" collapsed="false">
      <c r="A198" s="2" t="n">
        <v>197</v>
      </c>
      <c r="B198" s="3" t="s">
        <v>314</v>
      </c>
      <c r="C198" s="2" t="s">
        <v>196</v>
      </c>
      <c r="D198" s="3" t="s">
        <v>327</v>
      </c>
      <c r="E198" s="2" t="s">
        <v>10</v>
      </c>
      <c r="F198" s="2" t="s">
        <v>11</v>
      </c>
      <c r="G198" s="3" t="s">
        <v>29</v>
      </c>
    </row>
    <row r="199" customFormat="false" ht="15" hidden="false" customHeight="false" outlineLevel="0" collapsed="false">
      <c r="A199" s="2" t="n">
        <v>198</v>
      </c>
      <c r="B199" s="3" t="s">
        <v>314</v>
      </c>
      <c r="C199" s="2" t="s">
        <v>198</v>
      </c>
      <c r="D199" s="3" t="s">
        <v>328</v>
      </c>
      <c r="E199" s="2" t="s">
        <v>10</v>
      </c>
      <c r="F199" s="2" t="s">
        <v>11</v>
      </c>
      <c r="G199" s="3" t="s">
        <v>29</v>
      </c>
    </row>
    <row r="200" customFormat="false" ht="15" hidden="false" customHeight="false" outlineLevel="0" collapsed="false">
      <c r="A200" s="2" t="n">
        <v>199</v>
      </c>
      <c r="B200" s="3" t="s">
        <v>314</v>
      </c>
      <c r="C200" s="2" t="s">
        <v>200</v>
      </c>
      <c r="D200" s="3" t="s">
        <v>86</v>
      </c>
      <c r="E200" s="2" t="s">
        <v>10</v>
      </c>
      <c r="F200" s="2" t="s">
        <v>11</v>
      </c>
      <c r="G200" s="3" t="s">
        <v>29</v>
      </c>
    </row>
    <row r="201" customFormat="false" ht="15" hidden="false" customHeight="false" outlineLevel="0" collapsed="false">
      <c r="A201" s="2" t="n">
        <v>200</v>
      </c>
      <c r="B201" s="3" t="s">
        <v>314</v>
      </c>
      <c r="C201" s="2" t="s">
        <v>202</v>
      </c>
      <c r="D201" s="3" t="s">
        <v>329</v>
      </c>
      <c r="E201" s="2" t="s">
        <v>10</v>
      </c>
      <c r="F201" s="2" t="s">
        <v>11</v>
      </c>
      <c r="G201" s="3" t="s">
        <v>29</v>
      </c>
    </row>
    <row r="202" customFormat="false" ht="15" hidden="false" customHeight="false" outlineLevel="0" collapsed="false">
      <c r="A202" s="2" t="n">
        <v>201</v>
      </c>
      <c r="B202" s="3" t="s">
        <v>314</v>
      </c>
      <c r="C202" s="2" t="s">
        <v>204</v>
      </c>
      <c r="D202" s="3" t="s">
        <v>241</v>
      </c>
      <c r="E202" s="2" t="s">
        <v>10</v>
      </c>
      <c r="F202" s="2" t="s">
        <v>11</v>
      </c>
      <c r="G202" s="3" t="s">
        <v>29</v>
      </c>
    </row>
    <row r="203" customFormat="false" ht="15" hidden="false" customHeight="false" outlineLevel="0" collapsed="false">
      <c r="A203" s="2" t="n">
        <v>202</v>
      </c>
      <c r="B203" s="3" t="s">
        <v>314</v>
      </c>
      <c r="C203" s="2" t="s">
        <v>206</v>
      </c>
      <c r="D203" s="3" t="s">
        <v>313</v>
      </c>
      <c r="E203" s="2" t="s">
        <v>10</v>
      </c>
      <c r="F203" s="2" t="s">
        <v>11</v>
      </c>
      <c r="G203" s="3" t="s">
        <v>29</v>
      </c>
    </row>
    <row r="204" customFormat="false" ht="15" hidden="false" customHeight="false" outlineLevel="0" collapsed="false">
      <c r="A204" s="2" t="n">
        <v>203</v>
      </c>
      <c r="B204" s="3" t="s">
        <v>314</v>
      </c>
      <c r="C204" s="2" t="s">
        <v>208</v>
      </c>
      <c r="D204" s="3" t="s">
        <v>330</v>
      </c>
      <c r="E204" s="2" t="s">
        <v>10</v>
      </c>
      <c r="F204" s="2" t="s">
        <v>11</v>
      </c>
      <c r="G204" s="3" t="s">
        <v>29</v>
      </c>
    </row>
    <row r="205" customFormat="false" ht="15" hidden="false" customHeight="false" outlineLevel="0" collapsed="false">
      <c r="A205" s="2" t="n">
        <v>204</v>
      </c>
      <c r="B205" s="3" t="s">
        <v>314</v>
      </c>
      <c r="C205" s="2" t="s">
        <v>210</v>
      </c>
      <c r="D205" s="3" t="s">
        <v>45</v>
      </c>
      <c r="E205" s="2" t="s">
        <v>10</v>
      </c>
      <c r="F205" s="2" t="s">
        <v>11</v>
      </c>
      <c r="G205" s="3" t="s">
        <v>29</v>
      </c>
    </row>
    <row r="206" customFormat="false" ht="15" hidden="false" customHeight="false" outlineLevel="0" collapsed="false">
      <c r="A206" s="2" t="n">
        <v>205</v>
      </c>
      <c r="B206" s="3" t="s">
        <v>314</v>
      </c>
      <c r="C206" s="2" t="s">
        <v>212</v>
      </c>
      <c r="D206" s="3" t="s">
        <v>47</v>
      </c>
      <c r="E206" s="2" t="s">
        <v>10</v>
      </c>
      <c r="F206" s="7" t="s">
        <v>48</v>
      </c>
      <c r="G206" s="3" t="s">
        <v>29</v>
      </c>
    </row>
    <row r="207" customFormat="false" ht="15" hidden="false" customHeight="false" outlineLevel="0" collapsed="false">
      <c r="A207" s="2" t="n">
        <v>206</v>
      </c>
      <c r="B207" s="3" t="s">
        <v>314</v>
      </c>
      <c r="C207" s="2" t="s">
        <v>214</v>
      </c>
      <c r="D207" s="3" t="s">
        <v>50</v>
      </c>
      <c r="E207" s="2" t="s">
        <v>10</v>
      </c>
      <c r="F207" s="2" t="s">
        <v>11</v>
      </c>
      <c r="G207" s="3" t="s">
        <v>29</v>
      </c>
    </row>
    <row r="208" customFormat="false" ht="15" hidden="false" customHeight="false" outlineLevel="0" collapsed="false">
      <c r="A208" s="4" t="n">
        <v>207</v>
      </c>
      <c r="B208" s="5" t="s">
        <v>331</v>
      </c>
      <c r="C208" s="4" t="s">
        <v>332</v>
      </c>
      <c r="D208" s="5" t="s">
        <v>333</v>
      </c>
      <c r="E208" s="4" t="s">
        <v>17</v>
      </c>
      <c r="F208" s="6" t="s">
        <v>48</v>
      </c>
      <c r="G208" s="5" t="s">
        <v>53</v>
      </c>
    </row>
    <row r="209" customFormat="false" ht="15" hidden="false" customHeight="false" outlineLevel="0" collapsed="false">
      <c r="A209" s="4" t="n">
        <v>208</v>
      </c>
      <c r="B209" s="5" t="s">
        <v>331</v>
      </c>
      <c r="C209" s="4" t="s">
        <v>334</v>
      </c>
      <c r="D209" s="5" t="s">
        <v>335</v>
      </c>
      <c r="E209" s="4" t="s">
        <v>10</v>
      </c>
      <c r="F209" s="6" t="s">
        <v>48</v>
      </c>
      <c r="G209" s="5" t="s">
        <v>53</v>
      </c>
    </row>
    <row r="210" customFormat="false" ht="15" hidden="false" customHeight="false" outlineLevel="0" collapsed="false">
      <c r="A210" s="4" t="n">
        <v>209</v>
      </c>
      <c r="B210" s="5" t="s">
        <v>331</v>
      </c>
      <c r="C210" s="4" t="s">
        <v>336</v>
      </c>
      <c r="D210" s="5" t="s">
        <v>337</v>
      </c>
      <c r="E210" s="4" t="s">
        <v>10</v>
      </c>
      <c r="F210" s="6" t="s">
        <v>48</v>
      </c>
      <c r="G210" s="5" t="s">
        <v>53</v>
      </c>
    </row>
    <row r="211" customFormat="false" ht="15" hidden="false" customHeight="false" outlineLevel="0" collapsed="false">
      <c r="A211" s="4" t="n">
        <v>210</v>
      </c>
      <c r="B211" s="5" t="s">
        <v>331</v>
      </c>
      <c r="C211" s="4" t="s">
        <v>338</v>
      </c>
      <c r="D211" s="5" t="s">
        <v>339</v>
      </c>
      <c r="E211" s="4" t="s">
        <v>17</v>
      </c>
      <c r="F211" s="4" t="s">
        <v>11</v>
      </c>
      <c r="G211" s="5" t="s">
        <v>53</v>
      </c>
    </row>
    <row r="212" customFormat="false" ht="15" hidden="false" customHeight="false" outlineLevel="0" collapsed="false">
      <c r="A212" s="4" t="n">
        <v>211</v>
      </c>
      <c r="B212" s="5" t="s">
        <v>331</v>
      </c>
      <c r="C212" s="4" t="s">
        <v>8</v>
      </c>
      <c r="D212" s="5" t="s">
        <v>340</v>
      </c>
      <c r="E212" s="4" t="s">
        <v>10</v>
      </c>
      <c r="F212" s="6" t="s">
        <v>48</v>
      </c>
      <c r="G212" s="5" t="s">
        <v>134</v>
      </c>
    </row>
    <row r="213" customFormat="false" ht="15" hidden="false" customHeight="false" outlineLevel="0" collapsed="false">
      <c r="A213" s="4" t="n">
        <v>212</v>
      </c>
      <c r="B213" s="5" t="s">
        <v>331</v>
      </c>
      <c r="C213" s="4" t="s">
        <v>13</v>
      </c>
      <c r="D213" s="5" t="s">
        <v>341</v>
      </c>
      <c r="E213" s="4" t="s">
        <v>10</v>
      </c>
      <c r="F213" s="6" t="s">
        <v>48</v>
      </c>
      <c r="G213" s="5" t="s">
        <v>134</v>
      </c>
    </row>
    <row r="214" customFormat="false" ht="15" hidden="false" customHeight="false" outlineLevel="0" collapsed="false">
      <c r="A214" s="4" t="n">
        <v>213</v>
      </c>
      <c r="B214" s="5" t="s">
        <v>331</v>
      </c>
      <c r="C214" s="4" t="s">
        <v>15</v>
      </c>
      <c r="D214" s="5" t="s">
        <v>342</v>
      </c>
      <c r="E214" s="4" t="s">
        <v>10</v>
      </c>
      <c r="F214" s="6" t="s">
        <v>48</v>
      </c>
      <c r="G214" s="5" t="s">
        <v>134</v>
      </c>
    </row>
    <row r="215" customFormat="false" ht="15" hidden="false" customHeight="false" outlineLevel="0" collapsed="false">
      <c r="A215" s="2" t="n">
        <v>214</v>
      </c>
      <c r="B215" s="3" t="s">
        <v>343</v>
      </c>
      <c r="C215" s="2" t="s">
        <v>116</v>
      </c>
      <c r="D215" s="3" t="s">
        <v>344</v>
      </c>
      <c r="E215" s="2" t="s">
        <v>17</v>
      </c>
      <c r="F215" s="7" t="s">
        <v>48</v>
      </c>
      <c r="G215" s="3" t="s">
        <v>53</v>
      </c>
    </row>
    <row r="216" customFormat="false" ht="15" hidden="false" customHeight="false" outlineLevel="0" collapsed="false">
      <c r="A216" s="2" t="n">
        <v>215</v>
      </c>
      <c r="B216" s="3" t="s">
        <v>343</v>
      </c>
      <c r="C216" s="2" t="s">
        <v>117</v>
      </c>
      <c r="D216" s="3" t="s">
        <v>345</v>
      </c>
      <c r="E216" s="2" t="s">
        <v>17</v>
      </c>
      <c r="F216" s="7" t="s">
        <v>48</v>
      </c>
      <c r="G216" s="3" t="s">
        <v>53</v>
      </c>
    </row>
    <row r="217" customFormat="false" ht="15" hidden="false" customHeight="false" outlineLevel="0" collapsed="false">
      <c r="A217" s="4" t="n">
        <v>216</v>
      </c>
      <c r="B217" s="5" t="s">
        <v>346</v>
      </c>
      <c r="C217" s="4" t="s">
        <v>347</v>
      </c>
      <c r="D217" s="5" t="s">
        <v>348</v>
      </c>
      <c r="E217" s="4" t="s">
        <v>10</v>
      </c>
      <c r="F217" s="4" t="s">
        <v>11</v>
      </c>
      <c r="G217" s="5" t="s">
        <v>29</v>
      </c>
    </row>
    <row r="218" customFormat="false" ht="15" hidden="false" customHeight="false" outlineLevel="0" collapsed="false">
      <c r="A218" s="4" t="n">
        <v>217</v>
      </c>
      <c r="B218" s="5" t="s">
        <v>346</v>
      </c>
      <c r="C218" s="4" t="s">
        <v>349</v>
      </c>
      <c r="D218" s="5" t="s">
        <v>31</v>
      </c>
      <c r="E218" s="4" t="s">
        <v>10</v>
      </c>
      <c r="F218" s="4" t="s">
        <v>11</v>
      </c>
      <c r="G218" s="5" t="s">
        <v>29</v>
      </c>
    </row>
    <row r="219" customFormat="false" ht="15" hidden="false" customHeight="false" outlineLevel="0" collapsed="false">
      <c r="A219" s="4" t="n">
        <v>218</v>
      </c>
      <c r="B219" s="5" t="s">
        <v>346</v>
      </c>
      <c r="C219" s="4" t="s">
        <v>350</v>
      </c>
      <c r="D219" s="5" t="s">
        <v>351</v>
      </c>
      <c r="E219" s="4" t="s">
        <v>10</v>
      </c>
      <c r="F219" s="4" t="s">
        <v>11</v>
      </c>
      <c r="G219" s="5" t="s">
        <v>29</v>
      </c>
    </row>
    <row r="220" customFormat="false" ht="15" hidden="false" customHeight="false" outlineLevel="0" collapsed="false">
      <c r="A220" s="4" t="n">
        <v>219</v>
      </c>
      <c r="B220" s="5" t="s">
        <v>346</v>
      </c>
      <c r="C220" s="4" t="s">
        <v>352</v>
      </c>
      <c r="D220" s="5" t="s">
        <v>353</v>
      </c>
      <c r="E220" s="4" t="s">
        <v>10</v>
      </c>
      <c r="F220" s="4" t="s">
        <v>11</v>
      </c>
      <c r="G220" s="5" t="s">
        <v>29</v>
      </c>
    </row>
    <row r="221" customFormat="false" ht="15" hidden="false" customHeight="false" outlineLevel="0" collapsed="false">
      <c r="A221" s="4" t="n">
        <v>220</v>
      </c>
      <c r="B221" s="5" t="s">
        <v>346</v>
      </c>
      <c r="C221" s="4" t="s">
        <v>354</v>
      </c>
      <c r="D221" s="5" t="s">
        <v>355</v>
      </c>
      <c r="E221" s="4" t="s">
        <v>10</v>
      </c>
      <c r="F221" s="4" t="s">
        <v>11</v>
      </c>
      <c r="G221" s="5" t="s">
        <v>29</v>
      </c>
    </row>
    <row r="222" customFormat="false" ht="15" hidden="false" customHeight="false" outlineLevel="0" collapsed="false">
      <c r="A222" s="4" t="n">
        <v>221</v>
      </c>
      <c r="B222" s="5" t="s">
        <v>346</v>
      </c>
      <c r="C222" s="4" t="s">
        <v>356</v>
      </c>
      <c r="D222" s="5" t="s">
        <v>88</v>
      </c>
      <c r="E222" s="4" t="s">
        <v>10</v>
      </c>
      <c r="F222" s="4" t="s">
        <v>11</v>
      </c>
      <c r="G222" s="5" t="s">
        <v>29</v>
      </c>
    </row>
    <row r="223" customFormat="false" ht="15" hidden="false" customHeight="false" outlineLevel="0" collapsed="false">
      <c r="A223" s="4" t="n">
        <v>222</v>
      </c>
      <c r="B223" s="5" t="s">
        <v>346</v>
      </c>
      <c r="C223" s="4" t="s">
        <v>357</v>
      </c>
      <c r="D223" s="5" t="s">
        <v>358</v>
      </c>
      <c r="E223" s="4" t="s">
        <v>10</v>
      </c>
      <c r="F223" s="4" t="s">
        <v>11</v>
      </c>
      <c r="G223" s="5" t="s">
        <v>29</v>
      </c>
    </row>
    <row r="224" customFormat="false" ht="15" hidden="false" customHeight="false" outlineLevel="0" collapsed="false">
      <c r="A224" s="4" t="n">
        <v>223</v>
      </c>
      <c r="B224" s="5" t="s">
        <v>346</v>
      </c>
      <c r="C224" s="4" t="s">
        <v>359</v>
      </c>
      <c r="D224" s="5" t="s">
        <v>285</v>
      </c>
      <c r="E224" s="4" t="s">
        <v>10</v>
      </c>
      <c r="F224" s="4" t="s">
        <v>11</v>
      </c>
      <c r="G224" s="5" t="s">
        <v>29</v>
      </c>
    </row>
    <row r="225" customFormat="false" ht="15" hidden="false" customHeight="false" outlineLevel="0" collapsed="false">
      <c r="A225" s="4" t="n">
        <v>224</v>
      </c>
      <c r="B225" s="5" t="s">
        <v>346</v>
      </c>
      <c r="C225" s="4" t="s">
        <v>360</v>
      </c>
      <c r="D225" s="5" t="s">
        <v>361</v>
      </c>
      <c r="E225" s="4" t="s">
        <v>10</v>
      </c>
      <c r="F225" s="4" t="s">
        <v>11</v>
      </c>
      <c r="G225" s="5" t="s">
        <v>29</v>
      </c>
    </row>
    <row r="226" customFormat="false" ht="15" hidden="false" customHeight="false" outlineLevel="0" collapsed="false">
      <c r="A226" s="4" t="n">
        <v>225</v>
      </c>
      <c r="B226" s="5" t="s">
        <v>346</v>
      </c>
      <c r="C226" s="4" t="s">
        <v>362</v>
      </c>
      <c r="D226" s="5" t="s">
        <v>363</v>
      </c>
      <c r="E226" s="4" t="s">
        <v>10</v>
      </c>
      <c r="F226" s="4" t="s">
        <v>11</v>
      </c>
      <c r="G226" s="5" t="s">
        <v>29</v>
      </c>
    </row>
    <row r="227" customFormat="false" ht="15" hidden="false" customHeight="false" outlineLevel="0" collapsed="false">
      <c r="A227" s="2" t="n">
        <v>226</v>
      </c>
      <c r="B227" s="3" t="s">
        <v>364</v>
      </c>
      <c r="C227" s="2" t="s">
        <v>114</v>
      </c>
      <c r="D227" s="3" t="s">
        <v>365</v>
      </c>
      <c r="E227" s="2" t="s">
        <v>17</v>
      </c>
      <c r="F227" s="7" t="s">
        <v>48</v>
      </c>
      <c r="G227" s="3" t="s">
        <v>53</v>
      </c>
    </row>
    <row r="228" customFormat="false" ht="15" hidden="false" customHeight="false" outlineLevel="0" collapsed="false">
      <c r="A228" s="2" t="n">
        <v>227</v>
      </c>
      <c r="B228" s="3" t="s">
        <v>364</v>
      </c>
      <c r="C228" s="2" t="s">
        <v>280</v>
      </c>
      <c r="D228" s="3" t="s">
        <v>366</v>
      </c>
      <c r="E228" s="2" t="s">
        <v>17</v>
      </c>
      <c r="F228" s="2" t="s">
        <v>11</v>
      </c>
      <c r="G228" s="3" t="s">
        <v>53</v>
      </c>
    </row>
    <row r="229" customFormat="false" ht="15" hidden="false" customHeight="false" outlineLevel="0" collapsed="false">
      <c r="A229" s="2" t="n">
        <v>228</v>
      </c>
      <c r="B229" s="3" t="s">
        <v>364</v>
      </c>
      <c r="C229" s="2" t="s">
        <v>281</v>
      </c>
      <c r="D229" s="3" t="s">
        <v>367</v>
      </c>
      <c r="E229" s="2" t="s">
        <v>17</v>
      </c>
      <c r="F229" s="2" t="s">
        <v>11</v>
      </c>
      <c r="G229" s="3" t="s">
        <v>53</v>
      </c>
    </row>
    <row r="230" customFormat="false" ht="15" hidden="false" customHeight="false" outlineLevel="0" collapsed="false">
      <c r="A230" s="2" t="n">
        <v>229</v>
      </c>
      <c r="B230" s="3" t="s">
        <v>364</v>
      </c>
      <c r="C230" s="2" t="s">
        <v>282</v>
      </c>
      <c r="D230" s="3" t="s">
        <v>368</v>
      </c>
      <c r="E230" s="2" t="s">
        <v>17</v>
      </c>
      <c r="F230" s="2" t="s">
        <v>11</v>
      </c>
      <c r="G230" s="3" t="s">
        <v>53</v>
      </c>
    </row>
    <row r="231" customFormat="false" ht="15" hidden="false" customHeight="false" outlineLevel="0" collapsed="false">
      <c r="A231" s="2" t="n">
        <v>230</v>
      </c>
      <c r="B231" s="3" t="s">
        <v>364</v>
      </c>
      <c r="C231" s="2" t="s">
        <v>283</v>
      </c>
      <c r="D231" s="3" t="s">
        <v>369</v>
      </c>
      <c r="E231" s="2" t="s">
        <v>17</v>
      </c>
      <c r="F231" s="7" t="s">
        <v>48</v>
      </c>
      <c r="G231" s="3" t="s">
        <v>53</v>
      </c>
    </row>
    <row r="232" customFormat="false" ht="15" hidden="false" customHeight="false" outlineLevel="0" collapsed="false">
      <c r="A232" s="2" t="n">
        <v>231</v>
      </c>
      <c r="B232" s="3" t="s">
        <v>364</v>
      </c>
      <c r="C232" s="2" t="s">
        <v>284</v>
      </c>
      <c r="D232" s="3" t="s">
        <v>370</v>
      </c>
      <c r="E232" s="2" t="s">
        <v>10</v>
      </c>
      <c r="F232" s="7" t="s">
        <v>48</v>
      </c>
      <c r="G232" s="3" t="s">
        <v>53</v>
      </c>
    </row>
    <row r="233" customFormat="false" ht="15" hidden="false" customHeight="false" outlineLevel="0" collapsed="false">
      <c r="A233" s="2" t="n">
        <v>232</v>
      </c>
      <c r="B233" s="3" t="s">
        <v>364</v>
      </c>
      <c r="C233" s="2" t="s">
        <v>371</v>
      </c>
      <c r="D233" s="3" t="s">
        <v>372</v>
      </c>
      <c r="E233" s="2" t="s">
        <v>10</v>
      </c>
      <c r="F233" s="7" t="s">
        <v>48</v>
      </c>
      <c r="G233" s="3" t="s">
        <v>53</v>
      </c>
    </row>
    <row r="234" customFormat="false" ht="15" hidden="false" customHeight="false" outlineLevel="0" collapsed="false">
      <c r="A234" s="4" t="n">
        <v>233</v>
      </c>
      <c r="B234" s="5" t="s">
        <v>373</v>
      </c>
      <c r="C234" s="4" t="s">
        <v>102</v>
      </c>
      <c r="D234" s="5" t="s">
        <v>374</v>
      </c>
      <c r="E234" s="4" t="s">
        <v>17</v>
      </c>
      <c r="F234" s="4" t="s">
        <v>11</v>
      </c>
      <c r="G234" s="5" t="s">
        <v>12</v>
      </c>
    </row>
    <row r="235" customFormat="false" ht="15" hidden="false" customHeight="false" outlineLevel="0" collapsed="false">
      <c r="A235" s="4" t="n">
        <v>234</v>
      </c>
      <c r="B235" s="5" t="s">
        <v>373</v>
      </c>
      <c r="C235" s="4" t="s">
        <v>104</v>
      </c>
      <c r="D235" s="5" t="s">
        <v>375</v>
      </c>
      <c r="E235" s="4" t="s">
        <v>10</v>
      </c>
      <c r="F235" s="6" t="s">
        <v>48</v>
      </c>
      <c r="G235" s="5" t="s">
        <v>12</v>
      </c>
    </row>
    <row r="236" customFormat="false" ht="15" hidden="false" customHeight="false" outlineLevel="0" collapsed="false">
      <c r="A236" s="4" t="n">
        <v>235</v>
      </c>
      <c r="B236" s="5" t="s">
        <v>373</v>
      </c>
      <c r="C236" s="4" t="s">
        <v>106</v>
      </c>
      <c r="D236" s="5" t="s">
        <v>376</v>
      </c>
      <c r="E236" s="4" t="s">
        <v>10</v>
      </c>
      <c r="F236" s="4" t="s">
        <v>11</v>
      </c>
      <c r="G236" s="5" t="s">
        <v>12</v>
      </c>
    </row>
    <row r="237" customFormat="false" ht="15" hidden="false" customHeight="false" outlineLevel="0" collapsed="false">
      <c r="A237" s="4" t="n">
        <v>236</v>
      </c>
      <c r="B237" s="5" t="s">
        <v>373</v>
      </c>
      <c r="C237" s="4" t="s">
        <v>108</v>
      </c>
      <c r="D237" s="5" t="s">
        <v>377</v>
      </c>
      <c r="E237" s="4" t="s">
        <v>10</v>
      </c>
      <c r="F237" s="4" t="s">
        <v>11</v>
      </c>
      <c r="G237" s="5" t="s">
        <v>12</v>
      </c>
    </row>
    <row r="238" customFormat="false" ht="15" hidden="false" customHeight="false" outlineLevel="0" collapsed="false">
      <c r="A238" s="4" t="n">
        <v>237</v>
      </c>
      <c r="B238" s="5" t="s">
        <v>373</v>
      </c>
      <c r="C238" s="4" t="s">
        <v>110</v>
      </c>
      <c r="D238" s="5" t="s">
        <v>378</v>
      </c>
      <c r="E238" s="4" t="s">
        <v>10</v>
      </c>
      <c r="F238" s="4" t="s">
        <v>11</v>
      </c>
      <c r="G238" s="5" t="s">
        <v>12</v>
      </c>
    </row>
    <row r="239" customFormat="false" ht="15" hidden="false" customHeight="false" outlineLevel="0" collapsed="false">
      <c r="A239" s="4" t="n">
        <v>238</v>
      </c>
      <c r="B239" s="5" t="s">
        <v>373</v>
      </c>
      <c r="C239" s="4" t="s">
        <v>112</v>
      </c>
      <c r="D239" s="5" t="s">
        <v>379</v>
      </c>
      <c r="E239" s="4" t="s">
        <v>10</v>
      </c>
      <c r="F239" s="4" t="s">
        <v>11</v>
      </c>
      <c r="G239" s="5" t="s">
        <v>12</v>
      </c>
    </row>
    <row r="240" customFormat="false" ht="15" hidden="false" customHeight="false" outlineLevel="0" collapsed="false">
      <c r="A240" s="4" t="n">
        <v>239</v>
      </c>
      <c r="B240" s="5" t="s">
        <v>373</v>
      </c>
      <c r="C240" s="4" t="s">
        <v>114</v>
      </c>
      <c r="D240" s="5" t="s">
        <v>380</v>
      </c>
      <c r="E240" s="4" t="s">
        <v>10</v>
      </c>
      <c r="F240" s="4" t="s">
        <v>11</v>
      </c>
      <c r="G240" s="5" t="s">
        <v>12</v>
      </c>
    </row>
    <row r="241" customFormat="false" ht="15" hidden="false" customHeight="false" outlineLevel="0" collapsed="false">
      <c r="A241" s="4" t="n">
        <v>240</v>
      </c>
      <c r="B241" s="5" t="s">
        <v>373</v>
      </c>
      <c r="C241" s="4" t="s">
        <v>116</v>
      </c>
      <c r="D241" s="5" t="s">
        <v>381</v>
      </c>
      <c r="E241" s="4" t="s">
        <v>10</v>
      </c>
      <c r="F241" s="4" t="s">
        <v>11</v>
      </c>
      <c r="G241" s="5" t="s">
        <v>12</v>
      </c>
    </row>
    <row r="242" customFormat="false" ht="15" hidden="false" customHeight="false" outlineLevel="0" collapsed="false">
      <c r="A242" s="2" t="n">
        <v>241</v>
      </c>
      <c r="B242" s="3" t="s">
        <v>382</v>
      </c>
      <c r="C242" s="2" t="s">
        <v>27</v>
      </c>
      <c r="D242" s="3" t="s">
        <v>383</v>
      </c>
      <c r="E242" s="2" t="s">
        <v>10</v>
      </c>
      <c r="F242" s="2" t="s">
        <v>11</v>
      </c>
      <c r="G242" s="3" t="s">
        <v>12</v>
      </c>
    </row>
    <row r="243" customFormat="false" ht="15" hidden="false" customHeight="false" outlineLevel="0" collapsed="false">
      <c r="A243" s="2" t="n">
        <v>242</v>
      </c>
      <c r="B243" s="3" t="s">
        <v>382</v>
      </c>
      <c r="C243" s="2" t="s">
        <v>30</v>
      </c>
      <c r="D243" s="3" t="s">
        <v>384</v>
      </c>
      <c r="E243" s="2" t="s">
        <v>10</v>
      </c>
      <c r="F243" s="7" t="s">
        <v>48</v>
      </c>
      <c r="G243" s="3" t="s">
        <v>12</v>
      </c>
    </row>
    <row r="244" customFormat="false" ht="15" hidden="false" customHeight="false" outlineLevel="0" collapsed="false">
      <c r="A244" s="2" t="n">
        <v>243</v>
      </c>
      <c r="B244" s="3" t="s">
        <v>382</v>
      </c>
      <c r="C244" s="2" t="s">
        <v>32</v>
      </c>
      <c r="D244" s="3" t="s">
        <v>385</v>
      </c>
      <c r="E244" s="2" t="s">
        <v>17</v>
      </c>
      <c r="F244" s="2" t="s">
        <v>11</v>
      </c>
      <c r="G244" s="3" t="s">
        <v>12</v>
      </c>
    </row>
    <row r="245" customFormat="false" ht="15" hidden="false" customHeight="false" outlineLevel="0" collapsed="false">
      <c r="A245" s="2" t="n">
        <v>244</v>
      </c>
      <c r="B245" s="3" t="s">
        <v>382</v>
      </c>
      <c r="C245" s="2" t="s">
        <v>34</v>
      </c>
      <c r="D245" s="3" t="s">
        <v>386</v>
      </c>
      <c r="E245" s="2" t="s">
        <v>10</v>
      </c>
      <c r="F245" s="2" t="s">
        <v>11</v>
      </c>
      <c r="G245" s="3" t="s">
        <v>12</v>
      </c>
    </row>
    <row r="246" customFormat="false" ht="15" hidden="false" customHeight="false" outlineLevel="0" collapsed="false">
      <c r="A246" s="2" t="n">
        <v>245</v>
      </c>
      <c r="B246" s="3" t="s">
        <v>382</v>
      </c>
      <c r="C246" s="2" t="s">
        <v>36</v>
      </c>
      <c r="D246" s="3" t="s">
        <v>387</v>
      </c>
      <c r="E246" s="2" t="s">
        <v>10</v>
      </c>
      <c r="F246" s="2" t="s">
        <v>11</v>
      </c>
      <c r="G246" s="3" t="s">
        <v>12</v>
      </c>
    </row>
    <row r="247" customFormat="false" ht="15" hidden="false" customHeight="false" outlineLevel="0" collapsed="false">
      <c r="A247" s="2" t="n">
        <v>246</v>
      </c>
      <c r="B247" s="3" t="s">
        <v>382</v>
      </c>
      <c r="C247" s="2" t="s">
        <v>38</v>
      </c>
      <c r="D247" s="3" t="s">
        <v>388</v>
      </c>
      <c r="E247" s="2" t="s">
        <v>17</v>
      </c>
      <c r="F247" s="2" t="s">
        <v>11</v>
      </c>
      <c r="G247" s="3" t="s">
        <v>12</v>
      </c>
    </row>
    <row r="248" customFormat="false" ht="15" hidden="false" customHeight="false" outlineLevel="0" collapsed="false">
      <c r="A248" s="2" t="n">
        <v>247</v>
      </c>
      <c r="B248" s="3" t="s">
        <v>382</v>
      </c>
      <c r="C248" s="2" t="s">
        <v>40</v>
      </c>
      <c r="D248" s="3" t="s">
        <v>389</v>
      </c>
      <c r="E248" s="2" t="s">
        <v>10</v>
      </c>
      <c r="F248" s="7" t="s">
        <v>48</v>
      </c>
      <c r="G248" s="3" t="s">
        <v>12</v>
      </c>
    </row>
    <row r="249" customFormat="false" ht="15" hidden="false" customHeight="false" outlineLevel="0" collapsed="false">
      <c r="A249" s="2" t="n">
        <v>248</v>
      </c>
      <c r="B249" s="3" t="s">
        <v>382</v>
      </c>
      <c r="C249" s="2" t="s">
        <v>42</v>
      </c>
      <c r="D249" s="3" t="s">
        <v>390</v>
      </c>
      <c r="E249" s="2" t="s">
        <v>17</v>
      </c>
      <c r="F249" s="2" t="s">
        <v>11</v>
      </c>
      <c r="G249" s="3" t="s">
        <v>12</v>
      </c>
    </row>
    <row r="250" customFormat="false" ht="15" hidden="false" customHeight="false" outlineLevel="0" collapsed="false">
      <c r="A250" s="2" t="n">
        <v>249</v>
      </c>
      <c r="B250" s="3" t="s">
        <v>382</v>
      </c>
      <c r="C250" s="2" t="s">
        <v>44</v>
      </c>
      <c r="D250" s="3" t="s">
        <v>391</v>
      </c>
      <c r="E250" s="2" t="s">
        <v>10</v>
      </c>
      <c r="F250" s="2" t="s">
        <v>11</v>
      </c>
      <c r="G250" s="3" t="s">
        <v>12</v>
      </c>
    </row>
    <row r="251" customFormat="false" ht="15" hidden="false" customHeight="false" outlineLevel="0" collapsed="false">
      <c r="A251" s="2" t="n">
        <v>250</v>
      </c>
      <c r="B251" s="3" t="s">
        <v>382</v>
      </c>
      <c r="C251" s="2" t="s">
        <v>46</v>
      </c>
      <c r="D251" s="3" t="s">
        <v>392</v>
      </c>
      <c r="E251" s="2" t="s">
        <v>17</v>
      </c>
      <c r="F251" s="2" t="s">
        <v>11</v>
      </c>
      <c r="G251" s="3" t="s">
        <v>12</v>
      </c>
    </row>
    <row r="252" customFormat="false" ht="15" hidden="false" customHeight="false" outlineLevel="0" collapsed="false">
      <c r="A252" s="2" t="n">
        <v>251</v>
      </c>
      <c r="B252" s="3" t="s">
        <v>382</v>
      </c>
      <c r="C252" s="2" t="s">
        <v>49</v>
      </c>
      <c r="D252" s="3" t="s">
        <v>393</v>
      </c>
      <c r="E252" s="2" t="s">
        <v>10</v>
      </c>
      <c r="F252" s="2" t="s">
        <v>11</v>
      </c>
      <c r="G252" s="3" t="s">
        <v>12</v>
      </c>
    </row>
    <row r="253" customFormat="false" ht="15" hidden="false" customHeight="false" outlineLevel="0" collapsed="false">
      <c r="A253" s="2" t="n">
        <v>252</v>
      </c>
      <c r="B253" s="3" t="s">
        <v>382</v>
      </c>
      <c r="C253" s="2" t="s">
        <v>145</v>
      </c>
      <c r="D253" s="3" t="s">
        <v>394</v>
      </c>
      <c r="E253" s="2" t="s">
        <v>10</v>
      </c>
      <c r="F253" s="2" t="s">
        <v>11</v>
      </c>
      <c r="G253" s="3" t="s">
        <v>12</v>
      </c>
    </row>
    <row r="254" customFormat="false" ht="15" hidden="false" customHeight="false" outlineLevel="0" collapsed="false">
      <c r="A254" s="2" t="n">
        <v>253</v>
      </c>
      <c r="B254" s="3" t="s">
        <v>382</v>
      </c>
      <c r="C254" s="2" t="s">
        <v>147</v>
      </c>
      <c r="D254" s="3" t="s">
        <v>395</v>
      </c>
      <c r="E254" s="2" t="s">
        <v>10</v>
      </c>
      <c r="F254" s="2" t="s">
        <v>11</v>
      </c>
      <c r="G254" s="3" t="s">
        <v>12</v>
      </c>
    </row>
    <row r="255" customFormat="false" ht="15" hidden="false" customHeight="false" outlineLevel="0" collapsed="false">
      <c r="A255" s="2" t="n">
        <v>254</v>
      </c>
      <c r="B255" s="3" t="s">
        <v>382</v>
      </c>
      <c r="C255" s="2" t="s">
        <v>165</v>
      </c>
      <c r="D255" s="3" t="s">
        <v>396</v>
      </c>
      <c r="E255" s="2" t="s">
        <v>17</v>
      </c>
      <c r="F255" s="2" t="s">
        <v>11</v>
      </c>
      <c r="G255" s="3" t="s">
        <v>12</v>
      </c>
    </row>
    <row r="256" customFormat="false" ht="15" hidden="false" customHeight="false" outlineLevel="0" collapsed="false">
      <c r="A256" s="2" t="n">
        <v>255</v>
      </c>
      <c r="B256" s="3" t="s">
        <v>382</v>
      </c>
      <c r="C256" s="2" t="s">
        <v>397</v>
      </c>
      <c r="D256" s="3" t="s">
        <v>398</v>
      </c>
      <c r="E256" s="2" t="s">
        <v>17</v>
      </c>
      <c r="F256" s="2" t="s">
        <v>11</v>
      </c>
      <c r="G256" s="3" t="s">
        <v>12</v>
      </c>
    </row>
    <row r="257" customFormat="false" ht="15" hidden="false" customHeight="false" outlineLevel="0" collapsed="false">
      <c r="A257" s="2" t="n">
        <v>256</v>
      </c>
      <c r="B257" s="3" t="s">
        <v>382</v>
      </c>
      <c r="C257" s="2" t="s">
        <v>399</v>
      </c>
      <c r="D257" s="3" t="s">
        <v>400</v>
      </c>
      <c r="E257" s="2" t="s">
        <v>10</v>
      </c>
      <c r="F257" s="7" t="s">
        <v>48</v>
      </c>
      <c r="G257" s="3" t="s">
        <v>12</v>
      </c>
    </row>
    <row r="258" customFormat="false" ht="15" hidden="false" customHeight="false" outlineLevel="0" collapsed="false">
      <c r="A258" s="2" t="n">
        <v>257</v>
      </c>
      <c r="B258" s="3" t="s">
        <v>382</v>
      </c>
      <c r="C258" s="2" t="s">
        <v>401</v>
      </c>
      <c r="D258" s="3" t="s">
        <v>402</v>
      </c>
      <c r="E258" s="2" t="s">
        <v>17</v>
      </c>
      <c r="F258" s="2" t="s">
        <v>11</v>
      </c>
      <c r="G258" s="3" t="s">
        <v>12</v>
      </c>
    </row>
    <row r="259" customFormat="false" ht="15" hidden="false" customHeight="false" outlineLevel="0" collapsed="false">
      <c r="A259" s="2" t="n">
        <v>258</v>
      </c>
      <c r="B259" s="3" t="s">
        <v>382</v>
      </c>
      <c r="C259" s="2" t="s">
        <v>403</v>
      </c>
      <c r="D259" s="3" t="s">
        <v>404</v>
      </c>
      <c r="E259" s="2" t="s">
        <v>17</v>
      </c>
      <c r="F259" s="7" t="s">
        <v>48</v>
      </c>
      <c r="G259" s="3" t="s">
        <v>12</v>
      </c>
    </row>
    <row r="260" customFormat="false" ht="23.85" hidden="false" customHeight="false" outlineLevel="0" collapsed="false">
      <c r="A260" s="4" t="n">
        <v>259</v>
      </c>
      <c r="B260" s="5" t="s">
        <v>405</v>
      </c>
      <c r="C260" s="4" t="s">
        <v>188</v>
      </c>
      <c r="D260" s="5" t="s">
        <v>406</v>
      </c>
      <c r="E260" s="4" t="s">
        <v>10</v>
      </c>
      <c r="F260" s="4" t="s">
        <v>11</v>
      </c>
      <c r="G260" s="5" t="s">
        <v>12</v>
      </c>
    </row>
    <row r="261" customFormat="false" ht="15" hidden="false" customHeight="false" outlineLevel="0" collapsed="false">
      <c r="A261" s="2" t="n">
        <v>260</v>
      </c>
      <c r="B261" s="3" t="s">
        <v>407</v>
      </c>
      <c r="C261" s="2" t="s">
        <v>30</v>
      </c>
      <c r="D261" s="3" t="s">
        <v>408</v>
      </c>
      <c r="E261" s="2" t="s">
        <v>10</v>
      </c>
      <c r="F261" s="2" t="s">
        <v>11</v>
      </c>
      <c r="G261" s="3" t="s">
        <v>53</v>
      </c>
    </row>
    <row r="262" customFormat="false" ht="15" hidden="false" customHeight="false" outlineLevel="0" collapsed="false">
      <c r="A262" s="2" t="n">
        <v>261</v>
      </c>
      <c r="B262" s="3" t="s">
        <v>407</v>
      </c>
      <c r="C262" s="2" t="s">
        <v>32</v>
      </c>
      <c r="D262" s="3" t="s">
        <v>409</v>
      </c>
      <c r="E262" s="2" t="s">
        <v>10</v>
      </c>
      <c r="F262" s="2" t="s">
        <v>11</v>
      </c>
      <c r="G262" s="3" t="s">
        <v>53</v>
      </c>
    </row>
    <row r="263" customFormat="false" ht="15" hidden="false" customHeight="false" outlineLevel="0" collapsed="false">
      <c r="A263" s="4" t="n">
        <v>262</v>
      </c>
      <c r="B263" s="5" t="s">
        <v>410</v>
      </c>
      <c r="C263" s="4" t="s">
        <v>279</v>
      </c>
      <c r="D263" s="5" t="s">
        <v>411</v>
      </c>
      <c r="E263" s="4" t="s">
        <v>10</v>
      </c>
      <c r="F263" s="4" t="s">
        <v>11</v>
      </c>
      <c r="G263" s="5" t="s">
        <v>124</v>
      </c>
    </row>
    <row r="264" customFormat="false" ht="15" hidden="false" customHeight="false" outlineLevel="0" collapsed="false">
      <c r="A264" s="2" t="n">
        <v>263</v>
      </c>
      <c r="B264" s="3" t="s">
        <v>412</v>
      </c>
      <c r="C264" s="2" t="s">
        <v>413</v>
      </c>
      <c r="D264" s="3" t="s">
        <v>414</v>
      </c>
      <c r="E264" s="2" t="s">
        <v>10</v>
      </c>
      <c r="F264" s="7" t="s">
        <v>48</v>
      </c>
      <c r="G264" s="3" t="s">
        <v>134</v>
      </c>
    </row>
    <row r="265" customFormat="false" ht="15" hidden="false" customHeight="false" outlineLevel="0" collapsed="false">
      <c r="A265" s="2" t="n">
        <v>264</v>
      </c>
      <c r="B265" s="3" t="s">
        <v>412</v>
      </c>
      <c r="C265" s="2" t="s">
        <v>415</v>
      </c>
      <c r="D265" s="3" t="s">
        <v>416</v>
      </c>
      <c r="E265" s="2" t="s">
        <v>10</v>
      </c>
      <c r="F265" s="7" t="s">
        <v>48</v>
      </c>
      <c r="G265" s="3" t="s">
        <v>134</v>
      </c>
    </row>
    <row r="266" customFormat="false" ht="15" hidden="false" customHeight="false" outlineLevel="0" collapsed="false">
      <c r="A266" s="2" t="n">
        <v>265</v>
      </c>
      <c r="B266" s="3" t="s">
        <v>412</v>
      </c>
      <c r="C266" s="2" t="s">
        <v>417</v>
      </c>
      <c r="D266" s="3" t="s">
        <v>418</v>
      </c>
      <c r="E266" s="2" t="s">
        <v>10</v>
      </c>
      <c r="F266" s="7" t="s">
        <v>48</v>
      </c>
      <c r="G266" s="3" t="s">
        <v>134</v>
      </c>
    </row>
    <row r="267" customFormat="false" ht="15" hidden="false" customHeight="false" outlineLevel="0" collapsed="false">
      <c r="A267" s="2" t="n">
        <v>266</v>
      </c>
      <c r="B267" s="3" t="s">
        <v>412</v>
      </c>
      <c r="C267" s="2" t="s">
        <v>419</v>
      </c>
      <c r="D267" s="3" t="s">
        <v>420</v>
      </c>
      <c r="E267" s="2" t="s">
        <v>10</v>
      </c>
      <c r="F267" s="7" t="s">
        <v>48</v>
      </c>
      <c r="G267" s="3" t="s">
        <v>134</v>
      </c>
    </row>
    <row r="268" customFormat="false" ht="15" hidden="false" customHeight="false" outlineLevel="0" collapsed="false">
      <c r="A268" s="2" t="n">
        <v>267</v>
      </c>
      <c r="B268" s="3" t="s">
        <v>412</v>
      </c>
      <c r="C268" s="2" t="s">
        <v>421</v>
      </c>
      <c r="D268" s="3" t="s">
        <v>422</v>
      </c>
      <c r="E268" s="2" t="s">
        <v>10</v>
      </c>
      <c r="F268" s="7" t="s">
        <v>48</v>
      </c>
      <c r="G268" s="3" t="s">
        <v>134</v>
      </c>
    </row>
    <row r="269" customFormat="false" ht="15" hidden="false" customHeight="false" outlineLevel="0" collapsed="false">
      <c r="A269" s="2" t="n">
        <v>268</v>
      </c>
      <c r="B269" s="3" t="s">
        <v>412</v>
      </c>
      <c r="C269" s="2" t="s">
        <v>423</v>
      </c>
      <c r="D269" s="3" t="s">
        <v>424</v>
      </c>
      <c r="E269" s="2" t="s">
        <v>10</v>
      </c>
      <c r="F269" s="7" t="s">
        <v>48</v>
      </c>
      <c r="G269" s="3" t="s">
        <v>134</v>
      </c>
    </row>
    <row r="270" customFormat="false" ht="15" hidden="false" customHeight="false" outlineLevel="0" collapsed="false">
      <c r="A270" s="4" t="n">
        <v>269</v>
      </c>
      <c r="B270" s="5" t="s">
        <v>425</v>
      </c>
      <c r="C270" s="4" t="s">
        <v>258</v>
      </c>
      <c r="D270" s="5" t="s">
        <v>426</v>
      </c>
      <c r="E270" s="4" t="s">
        <v>10</v>
      </c>
      <c r="F270" s="4" t="s">
        <v>11</v>
      </c>
      <c r="G270" s="5" t="s">
        <v>124</v>
      </c>
    </row>
    <row r="271" customFormat="false" ht="15" hidden="false" customHeight="false" outlineLevel="0" collapsed="false">
      <c r="A271" s="4" t="n">
        <v>270</v>
      </c>
      <c r="B271" s="5" t="s">
        <v>425</v>
      </c>
      <c r="C271" s="4" t="s">
        <v>260</v>
      </c>
      <c r="D271" s="5" t="s">
        <v>427</v>
      </c>
      <c r="E271" s="4" t="s">
        <v>10</v>
      </c>
      <c r="F271" s="4" t="s">
        <v>11</v>
      </c>
      <c r="G271" s="5" t="s">
        <v>124</v>
      </c>
    </row>
    <row r="272" customFormat="false" ht="15" hidden="false" customHeight="false" outlineLevel="0" collapsed="false">
      <c r="A272" s="2" t="n">
        <v>271</v>
      </c>
      <c r="B272" s="3" t="s">
        <v>428</v>
      </c>
      <c r="C272" s="2" t="s">
        <v>429</v>
      </c>
      <c r="D272" s="3" t="s">
        <v>430</v>
      </c>
      <c r="E272" s="2" t="s">
        <v>10</v>
      </c>
      <c r="F272" s="2" t="s">
        <v>11</v>
      </c>
      <c r="G272" s="3" t="s">
        <v>53</v>
      </c>
    </row>
    <row r="273" customFormat="false" ht="15" hidden="false" customHeight="false" outlineLevel="0" collapsed="false">
      <c r="A273" s="4" t="n">
        <v>272</v>
      </c>
      <c r="B273" s="5" t="s">
        <v>431</v>
      </c>
      <c r="C273" s="4" t="s">
        <v>102</v>
      </c>
      <c r="D273" s="5" t="s">
        <v>432</v>
      </c>
      <c r="E273" s="4" t="s">
        <v>10</v>
      </c>
      <c r="F273" s="4" t="s">
        <v>11</v>
      </c>
      <c r="G273" s="5" t="s">
        <v>53</v>
      </c>
    </row>
    <row r="274" customFormat="false" ht="15" hidden="false" customHeight="false" outlineLevel="0" collapsed="false">
      <c r="A274" s="4" t="n">
        <v>273</v>
      </c>
      <c r="B274" s="5" t="s">
        <v>431</v>
      </c>
      <c r="C274" s="4" t="s">
        <v>104</v>
      </c>
      <c r="D274" s="5" t="s">
        <v>433</v>
      </c>
      <c r="E274" s="4" t="s">
        <v>17</v>
      </c>
      <c r="F274" s="6" t="s">
        <v>48</v>
      </c>
      <c r="G274" s="5" t="s">
        <v>53</v>
      </c>
    </row>
    <row r="275" customFormat="false" ht="15" hidden="false" customHeight="false" outlineLevel="0" collapsed="false">
      <c r="A275" s="4" t="n">
        <v>274</v>
      </c>
      <c r="B275" s="5" t="s">
        <v>431</v>
      </c>
      <c r="C275" s="4" t="s">
        <v>108</v>
      </c>
      <c r="D275" s="5" t="s">
        <v>434</v>
      </c>
      <c r="E275" s="4" t="s">
        <v>10</v>
      </c>
      <c r="F275" s="4" t="s">
        <v>11</v>
      </c>
      <c r="G275" s="5" t="s">
        <v>53</v>
      </c>
    </row>
    <row r="276" customFormat="false" ht="15" hidden="false" customHeight="false" outlineLevel="0" collapsed="false">
      <c r="A276" s="4" t="n">
        <v>275</v>
      </c>
      <c r="B276" s="5" t="s">
        <v>431</v>
      </c>
      <c r="C276" s="4" t="s">
        <v>110</v>
      </c>
      <c r="D276" s="5" t="s">
        <v>435</v>
      </c>
      <c r="E276" s="4" t="s">
        <v>17</v>
      </c>
      <c r="F276" s="6" t="s">
        <v>48</v>
      </c>
      <c r="G276" s="5" t="s">
        <v>53</v>
      </c>
    </row>
    <row r="277" customFormat="false" ht="15" hidden="false" customHeight="false" outlineLevel="0" collapsed="false">
      <c r="A277" s="2" t="n">
        <v>276</v>
      </c>
      <c r="B277" s="3" t="s">
        <v>436</v>
      </c>
      <c r="C277" s="2" t="s">
        <v>106</v>
      </c>
      <c r="D277" s="3" t="s">
        <v>437</v>
      </c>
      <c r="E277" s="2" t="s">
        <v>17</v>
      </c>
      <c r="F277" s="7" t="s">
        <v>48</v>
      </c>
      <c r="G277" s="3" t="s">
        <v>53</v>
      </c>
    </row>
    <row r="278" customFormat="false" ht="15" hidden="false" customHeight="false" outlineLevel="0" collapsed="false">
      <c r="A278" s="4" t="n">
        <v>277</v>
      </c>
      <c r="B278" s="5" t="s">
        <v>438</v>
      </c>
      <c r="C278" s="4" t="s">
        <v>347</v>
      </c>
      <c r="D278" s="5" t="s">
        <v>439</v>
      </c>
      <c r="E278" s="4" t="s">
        <v>10</v>
      </c>
      <c r="F278" s="4" t="s">
        <v>11</v>
      </c>
      <c r="G278" s="5" t="s">
        <v>124</v>
      </c>
    </row>
    <row r="279" customFormat="false" ht="15" hidden="false" customHeight="false" outlineLevel="0" collapsed="false">
      <c r="A279" s="4" t="n">
        <v>278</v>
      </c>
      <c r="B279" s="5" t="s">
        <v>438</v>
      </c>
      <c r="C279" s="4" t="s">
        <v>349</v>
      </c>
      <c r="D279" s="5" t="s">
        <v>440</v>
      </c>
      <c r="E279" s="4" t="s">
        <v>10</v>
      </c>
      <c r="F279" s="4" t="s">
        <v>11</v>
      </c>
      <c r="G279" s="5" t="s">
        <v>124</v>
      </c>
    </row>
    <row r="280" customFormat="false" ht="15" hidden="false" customHeight="false" outlineLevel="0" collapsed="false">
      <c r="A280" s="4" t="n">
        <v>279</v>
      </c>
      <c r="B280" s="5" t="s">
        <v>438</v>
      </c>
      <c r="C280" s="4" t="s">
        <v>350</v>
      </c>
      <c r="D280" s="5" t="s">
        <v>441</v>
      </c>
      <c r="E280" s="4" t="s">
        <v>10</v>
      </c>
      <c r="F280" s="4" t="s">
        <v>11</v>
      </c>
      <c r="G280" s="5" t="s">
        <v>124</v>
      </c>
    </row>
    <row r="281" customFormat="false" ht="15" hidden="false" customHeight="false" outlineLevel="0" collapsed="false">
      <c r="A281" s="4" t="n">
        <v>280</v>
      </c>
      <c r="B281" s="5" t="s">
        <v>438</v>
      </c>
      <c r="C281" s="4" t="s">
        <v>352</v>
      </c>
      <c r="D281" s="5" t="s">
        <v>442</v>
      </c>
      <c r="E281" s="4" t="s">
        <v>10</v>
      </c>
      <c r="F281" s="4" t="s">
        <v>11</v>
      </c>
      <c r="G281" s="5" t="s">
        <v>124</v>
      </c>
    </row>
    <row r="282" customFormat="false" ht="15" hidden="false" customHeight="false" outlineLevel="0" collapsed="false">
      <c r="A282" s="2" t="n">
        <v>281</v>
      </c>
      <c r="B282" s="3" t="s">
        <v>443</v>
      </c>
      <c r="C282" s="2" t="s">
        <v>279</v>
      </c>
      <c r="D282" s="3" t="s">
        <v>444</v>
      </c>
      <c r="E282" s="2" t="s">
        <v>10</v>
      </c>
      <c r="F282" s="7" t="s">
        <v>48</v>
      </c>
      <c r="G282" s="3" t="s">
        <v>134</v>
      </c>
    </row>
    <row r="283" customFormat="false" ht="15" hidden="false" customHeight="false" outlineLevel="0" collapsed="false">
      <c r="A283" s="2" t="n">
        <v>282</v>
      </c>
      <c r="B283" s="3" t="s">
        <v>443</v>
      </c>
      <c r="C283" s="2" t="s">
        <v>280</v>
      </c>
      <c r="D283" s="3" t="s">
        <v>445</v>
      </c>
      <c r="E283" s="2" t="s">
        <v>10</v>
      </c>
      <c r="F283" s="7" t="s">
        <v>48</v>
      </c>
      <c r="G283" s="3" t="s">
        <v>134</v>
      </c>
    </row>
    <row r="284" customFormat="false" ht="15" hidden="false" customHeight="false" outlineLevel="0" collapsed="false">
      <c r="A284" s="2" t="n">
        <v>283</v>
      </c>
      <c r="B284" s="3" t="s">
        <v>443</v>
      </c>
      <c r="C284" s="2" t="s">
        <v>281</v>
      </c>
      <c r="D284" s="3" t="s">
        <v>446</v>
      </c>
      <c r="E284" s="2" t="s">
        <v>10</v>
      </c>
      <c r="F284" s="7" t="s">
        <v>48</v>
      </c>
      <c r="G284" s="3" t="s">
        <v>134</v>
      </c>
    </row>
    <row r="285" customFormat="false" ht="15" hidden="false" customHeight="false" outlineLevel="0" collapsed="false">
      <c r="A285" s="2" t="n">
        <v>284</v>
      </c>
      <c r="B285" s="3" t="s">
        <v>443</v>
      </c>
      <c r="C285" s="2" t="s">
        <v>282</v>
      </c>
      <c r="D285" s="3" t="s">
        <v>447</v>
      </c>
      <c r="E285" s="2" t="s">
        <v>10</v>
      </c>
      <c r="F285" s="7" t="s">
        <v>48</v>
      </c>
      <c r="G285" s="3" t="s">
        <v>134</v>
      </c>
    </row>
    <row r="286" customFormat="false" ht="15" hidden="false" customHeight="false" outlineLevel="0" collapsed="false">
      <c r="A286" s="2" t="n">
        <v>285</v>
      </c>
      <c r="B286" s="3" t="s">
        <v>443</v>
      </c>
      <c r="C286" s="2" t="s">
        <v>283</v>
      </c>
      <c r="D286" s="3" t="s">
        <v>448</v>
      </c>
      <c r="E286" s="2" t="s">
        <v>10</v>
      </c>
      <c r="F286" s="7" t="s">
        <v>48</v>
      </c>
      <c r="G286" s="3" t="s">
        <v>134</v>
      </c>
    </row>
    <row r="287" customFormat="false" ht="15" hidden="false" customHeight="false" outlineLevel="0" collapsed="false">
      <c r="A287" s="2" t="n">
        <v>286</v>
      </c>
      <c r="B287" s="3" t="s">
        <v>443</v>
      </c>
      <c r="C287" s="2" t="s">
        <v>284</v>
      </c>
      <c r="D287" s="3" t="s">
        <v>449</v>
      </c>
      <c r="E287" s="2" t="s">
        <v>10</v>
      </c>
      <c r="F287" s="7" t="s">
        <v>48</v>
      </c>
      <c r="G287" s="3" t="s">
        <v>134</v>
      </c>
    </row>
    <row r="288" customFormat="false" ht="15" hidden="false" customHeight="false" outlineLevel="0" collapsed="false">
      <c r="A288" s="2" t="n">
        <v>287</v>
      </c>
      <c r="B288" s="3" t="s">
        <v>443</v>
      </c>
      <c r="C288" s="2" t="s">
        <v>152</v>
      </c>
      <c r="D288" s="3" t="s">
        <v>450</v>
      </c>
      <c r="E288" s="2" t="s">
        <v>10</v>
      </c>
      <c r="F288" s="7" t="s">
        <v>48</v>
      </c>
      <c r="G288" s="3" t="s">
        <v>134</v>
      </c>
    </row>
    <row r="289" customFormat="false" ht="15" hidden="false" customHeight="false" outlineLevel="0" collapsed="false">
      <c r="A289" s="2" t="n">
        <v>288</v>
      </c>
      <c r="B289" s="3" t="s">
        <v>443</v>
      </c>
      <c r="C289" s="2" t="s">
        <v>371</v>
      </c>
      <c r="D289" s="3" t="s">
        <v>451</v>
      </c>
      <c r="E289" s="2" t="s">
        <v>10</v>
      </c>
      <c r="F289" s="7" t="s">
        <v>48</v>
      </c>
      <c r="G289" s="3" t="s">
        <v>134</v>
      </c>
    </row>
    <row r="290" customFormat="false" ht="15" hidden="false" customHeight="false" outlineLevel="0" collapsed="false">
      <c r="A290" s="2" t="n">
        <v>289</v>
      </c>
      <c r="B290" s="3" t="s">
        <v>443</v>
      </c>
      <c r="C290" s="2" t="s">
        <v>452</v>
      </c>
      <c r="D290" s="3" t="s">
        <v>453</v>
      </c>
      <c r="E290" s="2" t="s">
        <v>10</v>
      </c>
      <c r="F290" s="7" t="s">
        <v>48</v>
      </c>
      <c r="G290" s="3" t="s">
        <v>134</v>
      </c>
    </row>
    <row r="291" customFormat="false" ht="15" hidden="false" customHeight="false" outlineLevel="0" collapsed="false">
      <c r="A291" s="2" t="n">
        <v>290</v>
      </c>
      <c r="B291" s="3" t="s">
        <v>443</v>
      </c>
      <c r="C291" s="2" t="s">
        <v>454</v>
      </c>
      <c r="D291" s="3" t="s">
        <v>455</v>
      </c>
      <c r="E291" s="2" t="s">
        <v>10</v>
      </c>
      <c r="F291" s="7" t="s">
        <v>48</v>
      </c>
      <c r="G291" s="3" t="s">
        <v>134</v>
      </c>
    </row>
    <row r="292" customFormat="false" ht="15" hidden="false" customHeight="false" outlineLevel="0" collapsed="false">
      <c r="A292" s="2" t="n">
        <v>291</v>
      </c>
      <c r="B292" s="3" t="s">
        <v>443</v>
      </c>
      <c r="C292" s="2" t="s">
        <v>456</v>
      </c>
      <c r="D292" s="3" t="s">
        <v>457</v>
      </c>
      <c r="E292" s="2" t="s">
        <v>10</v>
      </c>
      <c r="F292" s="7" t="s">
        <v>48</v>
      </c>
      <c r="G292" s="3" t="s">
        <v>134</v>
      </c>
    </row>
    <row r="293" customFormat="false" ht="15" hidden="false" customHeight="false" outlineLevel="0" collapsed="false">
      <c r="A293" s="2" t="n">
        <v>292</v>
      </c>
      <c r="B293" s="3" t="s">
        <v>443</v>
      </c>
      <c r="C293" s="2" t="s">
        <v>458</v>
      </c>
      <c r="D293" s="3" t="s">
        <v>459</v>
      </c>
      <c r="E293" s="2" t="s">
        <v>10</v>
      </c>
      <c r="F293" s="7" t="s">
        <v>48</v>
      </c>
      <c r="G293" s="3" t="s">
        <v>134</v>
      </c>
    </row>
    <row r="294" customFormat="false" ht="15" hidden="false" customHeight="false" outlineLevel="0" collapsed="false">
      <c r="A294" s="2" t="n">
        <v>293</v>
      </c>
      <c r="B294" s="3" t="s">
        <v>443</v>
      </c>
      <c r="C294" s="2" t="s">
        <v>460</v>
      </c>
      <c r="D294" s="3" t="s">
        <v>461</v>
      </c>
      <c r="E294" s="2" t="s">
        <v>10</v>
      </c>
      <c r="F294" s="7" t="s">
        <v>48</v>
      </c>
      <c r="G294" s="3" t="s">
        <v>134</v>
      </c>
    </row>
    <row r="295" customFormat="false" ht="23.85" hidden="false" customHeight="false" outlineLevel="0" collapsed="false">
      <c r="A295" s="4" t="n">
        <v>294</v>
      </c>
      <c r="B295" s="5" t="s">
        <v>462</v>
      </c>
      <c r="C295" s="4" t="s">
        <v>304</v>
      </c>
      <c r="D295" s="5" t="s">
        <v>463</v>
      </c>
      <c r="E295" s="4" t="s">
        <v>17</v>
      </c>
      <c r="F295" s="6" t="s">
        <v>48</v>
      </c>
      <c r="G295" s="5" t="s">
        <v>124</v>
      </c>
    </row>
    <row r="296" customFormat="false" ht="15" hidden="false" customHeight="false" outlineLevel="0" collapsed="false">
      <c r="A296" s="2" t="n">
        <v>295</v>
      </c>
      <c r="B296" s="3" t="s">
        <v>464</v>
      </c>
      <c r="C296" s="2" t="s">
        <v>34</v>
      </c>
      <c r="D296" s="3" t="s">
        <v>465</v>
      </c>
      <c r="E296" s="2" t="s">
        <v>17</v>
      </c>
      <c r="F296" s="2" t="s">
        <v>11</v>
      </c>
      <c r="G296" s="3" t="s">
        <v>53</v>
      </c>
    </row>
    <row r="297" customFormat="false" ht="15" hidden="false" customHeight="false" outlineLevel="0" collapsed="false">
      <c r="A297" s="2" t="n">
        <v>296</v>
      </c>
      <c r="B297" s="3" t="s">
        <v>464</v>
      </c>
      <c r="C297" s="2" t="s">
        <v>36</v>
      </c>
      <c r="D297" s="3" t="s">
        <v>466</v>
      </c>
      <c r="E297" s="2" t="s">
        <v>17</v>
      </c>
      <c r="F297" s="2" t="s">
        <v>11</v>
      </c>
      <c r="G297" s="3" t="s">
        <v>53</v>
      </c>
    </row>
    <row r="298" customFormat="false" ht="15" hidden="false" customHeight="false" outlineLevel="0" collapsed="false">
      <c r="A298" s="2" t="n">
        <v>297</v>
      </c>
      <c r="B298" s="3" t="s">
        <v>464</v>
      </c>
      <c r="C298" s="2" t="s">
        <v>38</v>
      </c>
      <c r="D298" s="3" t="s">
        <v>467</v>
      </c>
      <c r="E298" s="2" t="s">
        <v>10</v>
      </c>
      <c r="F298" s="7" t="s">
        <v>48</v>
      </c>
      <c r="G298" s="3" t="s">
        <v>53</v>
      </c>
    </row>
    <row r="299" customFormat="false" ht="15" hidden="false" customHeight="false" outlineLevel="0" collapsed="false">
      <c r="A299" s="2" t="n">
        <v>298</v>
      </c>
      <c r="B299" s="3" t="s">
        <v>464</v>
      </c>
      <c r="C299" s="2" t="s">
        <v>40</v>
      </c>
      <c r="D299" s="3" t="s">
        <v>468</v>
      </c>
      <c r="E299" s="2" t="s">
        <v>10</v>
      </c>
      <c r="F299" s="2" t="s">
        <v>11</v>
      </c>
      <c r="G299" s="3" t="s">
        <v>53</v>
      </c>
    </row>
    <row r="300" customFormat="false" ht="15" hidden="false" customHeight="false" outlineLevel="0" collapsed="false">
      <c r="A300" s="2" t="n">
        <v>299</v>
      </c>
      <c r="B300" s="3" t="s">
        <v>464</v>
      </c>
      <c r="C300" s="2" t="s">
        <v>42</v>
      </c>
      <c r="D300" s="3" t="s">
        <v>469</v>
      </c>
      <c r="E300" s="2" t="s">
        <v>17</v>
      </c>
      <c r="F300" s="2" t="s">
        <v>11</v>
      </c>
      <c r="G300" s="3" t="s">
        <v>53</v>
      </c>
    </row>
    <row r="301" customFormat="false" ht="15" hidden="false" customHeight="false" outlineLevel="0" collapsed="false">
      <c r="A301" s="2" t="n">
        <v>300</v>
      </c>
      <c r="B301" s="3" t="s">
        <v>464</v>
      </c>
      <c r="C301" s="2" t="s">
        <v>44</v>
      </c>
      <c r="D301" s="3" t="s">
        <v>470</v>
      </c>
      <c r="E301" s="2" t="s">
        <v>17</v>
      </c>
      <c r="F301" s="2" t="s">
        <v>11</v>
      </c>
      <c r="G301" s="3" t="s">
        <v>53</v>
      </c>
    </row>
    <row r="302" customFormat="false" ht="15" hidden="false" customHeight="false" outlineLevel="0" collapsed="false">
      <c r="A302" s="2" t="n">
        <v>301</v>
      </c>
      <c r="B302" s="3" t="s">
        <v>464</v>
      </c>
      <c r="C302" s="2" t="s">
        <v>46</v>
      </c>
      <c r="D302" s="3" t="s">
        <v>471</v>
      </c>
      <c r="E302" s="2" t="s">
        <v>17</v>
      </c>
      <c r="F302" s="2" t="s">
        <v>11</v>
      </c>
      <c r="G302" s="3" t="s">
        <v>53</v>
      </c>
    </row>
    <row r="303" customFormat="false" ht="15" hidden="false" customHeight="false" outlineLevel="0" collapsed="false">
      <c r="A303" s="2" t="n">
        <v>302</v>
      </c>
      <c r="B303" s="3" t="s">
        <v>464</v>
      </c>
      <c r="C303" s="2" t="s">
        <v>49</v>
      </c>
      <c r="D303" s="3" t="s">
        <v>472</v>
      </c>
      <c r="E303" s="2" t="s">
        <v>17</v>
      </c>
      <c r="F303" s="2" t="s">
        <v>11</v>
      </c>
      <c r="G303" s="3" t="s">
        <v>53</v>
      </c>
    </row>
    <row r="304" customFormat="false" ht="15" hidden="false" customHeight="false" outlineLevel="0" collapsed="false">
      <c r="A304" s="2" t="n">
        <v>303</v>
      </c>
      <c r="B304" s="3" t="s">
        <v>464</v>
      </c>
      <c r="C304" s="2" t="s">
        <v>145</v>
      </c>
      <c r="D304" s="3" t="s">
        <v>473</v>
      </c>
      <c r="E304" s="2" t="s">
        <v>17</v>
      </c>
      <c r="F304" s="2" t="s">
        <v>11</v>
      </c>
      <c r="G304" s="3" t="s">
        <v>53</v>
      </c>
    </row>
    <row r="305" customFormat="false" ht="15" hidden="false" customHeight="false" outlineLevel="0" collapsed="false">
      <c r="A305" s="2" t="n">
        <v>304</v>
      </c>
      <c r="B305" s="3" t="s">
        <v>464</v>
      </c>
      <c r="C305" s="2" t="s">
        <v>147</v>
      </c>
      <c r="D305" s="3" t="s">
        <v>474</v>
      </c>
      <c r="E305" s="2" t="s">
        <v>17</v>
      </c>
      <c r="F305" s="2" t="s">
        <v>11</v>
      </c>
      <c r="G305" s="3" t="s">
        <v>53</v>
      </c>
    </row>
    <row r="306" customFormat="false" ht="15" hidden="false" customHeight="false" outlineLevel="0" collapsed="false">
      <c r="A306" s="2" t="n">
        <v>305</v>
      </c>
      <c r="B306" s="3" t="s">
        <v>464</v>
      </c>
      <c r="C306" s="2" t="s">
        <v>165</v>
      </c>
      <c r="D306" s="3" t="s">
        <v>475</v>
      </c>
      <c r="E306" s="2" t="s">
        <v>17</v>
      </c>
      <c r="F306" s="2" t="s">
        <v>11</v>
      </c>
      <c r="G306" s="3" t="s">
        <v>53</v>
      </c>
    </row>
    <row r="307" customFormat="false" ht="15" hidden="false" customHeight="false" outlineLevel="0" collapsed="false">
      <c r="A307" s="2" t="n">
        <v>306</v>
      </c>
      <c r="B307" s="3" t="s">
        <v>464</v>
      </c>
      <c r="C307" s="2" t="s">
        <v>397</v>
      </c>
      <c r="D307" s="3" t="s">
        <v>476</v>
      </c>
      <c r="E307" s="2" t="s">
        <v>17</v>
      </c>
      <c r="F307" s="2" t="s">
        <v>11</v>
      </c>
      <c r="G307" s="3" t="s">
        <v>53</v>
      </c>
    </row>
    <row r="308" customFormat="false" ht="15" hidden="false" customHeight="false" outlineLevel="0" collapsed="false">
      <c r="A308" s="2" t="n">
        <v>307</v>
      </c>
      <c r="B308" s="3" t="s">
        <v>464</v>
      </c>
      <c r="C308" s="2" t="s">
        <v>399</v>
      </c>
      <c r="D308" s="3" t="s">
        <v>477</v>
      </c>
      <c r="E308" s="2" t="s">
        <v>17</v>
      </c>
      <c r="F308" s="7" t="s">
        <v>48</v>
      </c>
      <c r="G308" s="3" t="s">
        <v>53</v>
      </c>
    </row>
    <row r="309" customFormat="false" ht="15" hidden="false" customHeight="false" outlineLevel="0" collapsed="false">
      <c r="A309" s="2" t="n">
        <v>308</v>
      </c>
      <c r="B309" s="3" t="s">
        <v>464</v>
      </c>
      <c r="C309" s="2" t="s">
        <v>401</v>
      </c>
      <c r="D309" s="3" t="s">
        <v>478</v>
      </c>
      <c r="E309" s="2" t="s">
        <v>17</v>
      </c>
      <c r="F309" s="2" t="s">
        <v>11</v>
      </c>
      <c r="G309" s="3" t="s">
        <v>53</v>
      </c>
    </row>
    <row r="310" customFormat="false" ht="23.85" hidden="false" customHeight="false" outlineLevel="0" collapsed="false">
      <c r="A310" s="2" t="n">
        <v>309</v>
      </c>
      <c r="B310" s="3" t="s">
        <v>464</v>
      </c>
      <c r="C310" s="2" t="s">
        <v>479</v>
      </c>
      <c r="D310" s="3" t="s">
        <v>480</v>
      </c>
      <c r="E310" s="2" t="s">
        <v>10</v>
      </c>
      <c r="F310" s="7" t="s">
        <v>48</v>
      </c>
      <c r="G310" s="3" t="s">
        <v>53</v>
      </c>
    </row>
    <row r="311" customFormat="false" ht="15" hidden="false" customHeight="false" outlineLevel="0" collapsed="false">
      <c r="A311" s="2" t="n">
        <v>310</v>
      </c>
      <c r="B311" s="3" t="s">
        <v>464</v>
      </c>
      <c r="C311" s="2" t="s">
        <v>481</v>
      </c>
      <c r="D311" s="3" t="s">
        <v>482</v>
      </c>
      <c r="E311" s="2" t="s">
        <v>10</v>
      </c>
      <c r="F311" s="2" t="s">
        <v>11</v>
      </c>
      <c r="G311" s="3" t="s">
        <v>53</v>
      </c>
    </row>
    <row r="312" customFormat="false" ht="15" hidden="false" customHeight="false" outlineLevel="0" collapsed="false">
      <c r="A312" s="4" t="n">
        <v>311</v>
      </c>
      <c r="B312" s="5" t="s">
        <v>483</v>
      </c>
      <c r="C312" s="4" t="s">
        <v>112</v>
      </c>
      <c r="D312" s="5" t="s">
        <v>484</v>
      </c>
      <c r="E312" s="4" t="s">
        <v>17</v>
      </c>
      <c r="F312" s="6" t="s">
        <v>48</v>
      </c>
      <c r="G312" s="5" t="s">
        <v>53</v>
      </c>
    </row>
    <row r="313" customFormat="false" ht="15" hidden="false" customHeight="false" outlineLevel="0" collapsed="false">
      <c r="A313" s="2" t="n">
        <v>312</v>
      </c>
      <c r="B313" s="3" t="s">
        <v>485</v>
      </c>
      <c r="C313" s="2" t="s">
        <v>486</v>
      </c>
      <c r="D313" s="3" t="s">
        <v>487</v>
      </c>
      <c r="E313" s="2" t="s">
        <v>10</v>
      </c>
      <c r="F313" s="7" t="s">
        <v>48</v>
      </c>
      <c r="G313" s="3" t="s">
        <v>124</v>
      </c>
    </row>
    <row r="314" customFormat="false" ht="15" hidden="false" customHeight="false" outlineLevel="0" collapsed="false">
      <c r="A314" s="2" t="n">
        <v>313</v>
      </c>
      <c r="B314" s="3" t="s">
        <v>485</v>
      </c>
      <c r="C314" s="2" t="s">
        <v>488</v>
      </c>
      <c r="D314" s="3" t="s">
        <v>489</v>
      </c>
      <c r="E314" s="2" t="s">
        <v>10</v>
      </c>
      <c r="F314" s="2" t="s">
        <v>11</v>
      </c>
      <c r="G314" s="3" t="s">
        <v>124</v>
      </c>
    </row>
    <row r="315" customFormat="false" ht="15" hidden="false" customHeight="false" outlineLevel="0" collapsed="false">
      <c r="A315" s="2" t="n">
        <v>314</v>
      </c>
      <c r="B315" s="3" t="s">
        <v>485</v>
      </c>
      <c r="C315" s="2" t="s">
        <v>490</v>
      </c>
      <c r="D315" s="3" t="s">
        <v>491</v>
      </c>
      <c r="E315" s="2" t="s">
        <v>10</v>
      </c>
      <c r="F315" s="2" t="s">
        <v>11</v>
      </c>
      <c r="G315" s="3" t="s">
        <v>124</v>
      </c>
    </row>
    <row r="316" customFormat="false" ht="15" hidden="false" customHeight="false" outlineLevel="0" collapsed="false">
      <c r="A316" s="2" t="n">
        <v>315</v>
      </c>
      <c r="B316" s="3" t="s">
        <v>485</v>
      </c>
      <c r="C316" s="2" t="s">
        <v>492</v>
      </c>
      <c r="D316" s="3" t="s">
        <v>493</v>
      </c>
      <c r="E316" s="2" t="s">
        <v>10</v>
      </c>
      <c r="F316" s="2" t="s">
        <v>11</v>
      </c>
      <c r="G316" s="3" t="s">
        <v>124</v>
      </c>
    </row>
    <row r="317" customFormat="false" ht="15" hidden="false" customHeight="false" outlineLevel="0" collapsed="false">
      <c r="A317" s="2" t="n">
        <v>316</v>
      </c>
      <c r="B317" s="3" t="s">
        <v>485</v>
      </c>
      <c r="C317" s="2" t="s">
        <v>494</v>
      </c>
      <c r="D317" s="3" t="s">
        <v>495</v>
      </c>
      <c r="E317" s="2" t="s">
        <v>10</v>
      </c>
      <c r="F317" s="2" t="s">
        <v>11</v>
      </c>
      <c r="G317" s="3" t="s">
        <v>124</v>
      </c>
    </row>
    <row r="318" customFormat="false" ht="15" hidden="false" customHeight="false" outlineLevel="0" collapsed="false">
      <c r="A318" s="2" t="n">
        <v>317</v>
      </c>
      <c r="B318" s="3" t="s">
        <v>485</v>
      </c>
      <c r="C318" s="2" t="s">
        <v>496</v>
      </c>
      <c r="D318" s="3" t="s">
        <v>497</v>
      </c>
      <c r="E318" s="2" t="s">
        <v>10</v>
      </c>
      <c r="F318" s="2" t="s">
        <v>11</v>
      </c>
      <c r="G318" s="3" t="s">
        <v>124</v>
      </c>
    </row>
    <row r="319" customFormat="false" ht="15" hidden="false" customHeight="false" outlineLevel="0" collapsed="false">
      <c r="A319" s="2" t="n">
        <v>318</v>
      </c>
      <c r="B319" s="3" t="s">
        <v>485</v>
      </c>
      <c r="C319" s="2" t="s">
        <v>498</v>
      </c>
      <c r="D319" s="3" t="s">
        <v>499</v>
      </c>
      <c r="E319" s="2" t="s">
        <v>10</v>
      </c>
      <c r="F319" s="2" t="s">
        <v>11</v>
      </c>
      <c r="G319" s="3" t="s">
        <v>124</v>
      </c>
    </row>
    <row r="320" customFormat="false" ht="15" hidden="false" customHeight="false" outlineLevel="0" collapsed="false">
      <c r="A320" s="2" t="n">
        <v>319</v>
      </c>
      <c r="B320" s="3" t="s">
        <v>485</v>
      </c>
      <c r="C320" s="2" t="s">
        <v>500</v>
      </c>
      <c r="D320" s="3" t="s">
        <v>501</v>
      </c>
      <c r="E320" s="2" t="s">
        <v>10</v>
      </c>
      <c r="F320" s="2" t="s">
        <v>11</v>
      </c>
      <c r="G320" s="3" t="s">
        <v>124</v>
      </c>
    </row>
    <row r="321" customFormat="false" ht="15" hidden="false" customHeight="false" outlineLevel="0" collapsed="false">
      <c r="A321" s="2" t="n">
        <v>320</v>
      </c>
      <c r="B321" s="3" t="s">
        <v>485</v>
      </c>
      <c r="C321" s="2" t="s">
        <v>502</v>
      </c>
      <c r="D321" s="3" t="s">
        <v>503</v>
      </c>
      <c r="E321" s="2" t="s">
        <v>10</v>
      </c>
      <c r="F321" s="2" t="s">
        <v>11</v>
      </c>
      <c r="G321" s="3" t="s">
        <v>124</v>
      </c>
    </row>
    <row r="322" customFormat="false" ht="15" hidden="false" customHeight="false" outlineLevel="0" collapsed="false">
      <c r="A322" s="2" t="n">
        <v>321</v>
      </c>
      <c r="B322" s="3" t="s">
        <v>485</v>
      </c>
      <c r="C322" s="2" t="s">
        <v>504</v>
      </c>
      <c r="D322" s="3" t="s">
        <v>505</v>
      </c>
      <c r="E322" s="2" t="s">
        <v>10</v>
      </c>
      <c r="F322" s="2" t="s">
        <v>11</v>
      </c>
      <c r="G322" s="3" t="s">
        <v>124</v>
      </c>
    </row>
    <row r="323" customFormat="false" ht="23.85" hidden="false" customHeight="false" outlineLevel="0" collapsed="false">
      <c r="A323" s="2" t="n">
        <v>322</v>
      </c>
      <c r="B323" s="3" t="s">
        <v>485</v>
      </c>
      <c r="C323" s="2" t="s">
        <v>506</v>
      </c>
      <c r="D323" s="3" t="s">
        <v>507</v>
      </c>
      <c r="E323" s="2" t="s">
        <v>10</v>
      </c>
      <c r="F323" s="2" t="s">
        <v>11</v>
      </c>
      <c r="G323" s="3" t="s">
        <v>124</v>
      </c>
    </row>
    <row r="324" customFormat="false" ht="15" hidden="false" customHeight="false" outlineLevel="0" collapsed="false">
      <c r="A324" s="2" t="n">
        <v>323</v>
      </c>
      <c r="B324" s="3" t="s">
        <v>485</v>
      </c>
      <c r="C324" s="2" t="s">
        <v>508</v>
      </c>
      <c r="D324" s="3" t="s">
        <v>509</v>
      </c>
      <c r="E324" s="2" t="s">
        <v>10</v>
      </c>
      <c r="F324" s="2" t="s">
        <v>11</v>
      </c>
      <c r="G324" s="3" t="s">
        <v>124</v>
      </c>
    </row>
    <row r="325" customFormat="false" ht="15" hidden="false" customHeight="false" outlineLevel="0" collapsed="false">
      <c r="A325" s="2" t="n">
        <v>324</v>
      </c>
      <c r="B325" s="3" t="s">
        <v>485</v>
      </c>
      <c r="C325" s="2" t="s">
        <v>510</v>
      </c>
      <c r="D325" s="3" t="s">
        <v>511</v>
      </c>
      <c r="E325" s="2" t="s">
        <v>10</v>
      </c>
      <c r="F325" s="2" t="s">
        <v>11</v>
      </c>
      <c r="G325" s="3" t="s">
        <v>124</v>
      </c>
    </row>
    <row r="326" customFormat="false" ht="15" hidden="false" customHeight="false" outlineLevel="0" collapsed="false">
      <c r="A326" s="2" t="n">
        <v>325</v>
      </c>
      <c r="B326" s="3" t="s">
        <v>485</v>
      </c>
      <c r="C326" s="2" t="s">
        <v>512</v>
      </c>
      <c r="D326" s="3" t="s">
        <v>513</v>
      </c>
      <c r="E326" s="2" t="s">
        <v>10</v>
      </c>
      <c r="F326" s="2" t="s">
        <v>11</v>
      </c>
      <c r="G326" s="3" t="s">
        <v>124</v>
      </c>
    </row>
    <row r="327" customFormat="false" ht="15" hidden="false" customHeight="false" outlineLevel="0" collapsed="false">
      <c r="A327" s="2" t="n">
        <v>326</v>
      </c>
      <c r="B327" s="3" t="s">
        <v>485</v>
      </c>
      <c r="C327" s="2" t="s">
        <v>514</v>
      </c>
      <c r="D327" s="3" t="s">
        <v>515</v>
      </c>
      <c r="E327" s="2" t="s">
        <v>10</v>
      </c>
      <c r="F327" s="2" t="s">
        <v>11</v>
      </c>
      <c r="G327" s="3" t="s">
        <v>124</v>
      </c>
    </row>
    <row r="328" customFormat="false" ht="15" hidden="false" customHeight="false" outlineLevel="0" collapsed="false">
      <c r="A328" s="2" t="n">
        <v>327</v>
      </c>
      <c r="B328" s="3" t="s">
        <v>485</v>
      </c>
      <c r="C328" s="2" t="s">
        <v>516</v>
      </c>
      <c r="D328" s="3" t="s">
        <v>517</v>
      </c>
      <c r="E328" s="2" t="s">
        <v>17</v>
      </c>
      <c r="F328" s="2" t="s">
        <v>11</v>
      </c>
      <c r="G328" s="3" t="s">
        <v>124</v>
      </c>
    </row>
    <row r="329" customFormat="false" ht="23.85" hidden="false" customHeight="false" outlineLevel="0" collapsed="false">
      <c r="A329" s="2" t="n">
        <v>328</v>
      </c>
      <c r="B329" s="3" t="s">
        <v>485</v>
      </c>
      <c r="C329" s="2" t="s">
        <v>518</v>
      </c>
      <c r="D329" s="3" t="s">
        <v>519</v>
      </c>
      <c r="E329" s="2" t="s">
        <v>10</v>
      </c>
      <c r="F329" s="7" t="s">
        <v>48</v>
      </c>
      <c r="G329" s="3" t="s">
        <v>124</v>
      </c>
    </row>
    <row r="330" customFormat="false" ht="15" hidden="false" customHeight="false" outlineLevel="0" collapsed="false">
      <c r="A330" s="4" t="n">
        <v>329</v>
      </c>
      <c r="B330" s="5" t="s">
        <v>520</v>
      </c>
      <c r="C330" s="4" t="s">
        <v>168</v>
      </c>
      <c r="D330" s="5" t="s">
        <v>521</v>
      </c>
      <c r="E330" s="4" t="s">
        <v>10</v>
      </c>
      <c r="F330" s="6" t="s">
        <v>48</v>
      </c>
      <c r="G330" s="5" t="s">
        <v>53</v>
      </c>
    </row>
    <row r="331" customFormat="false" ht="15" hidden="false" customHeight="false" outlineLevel="0" collapsed="false">
      <c r="A331" s="4" t="n">
        <v>330</v>
      </c>
      <c r="B331" s="5" t="s">
        <v>520</v>
      </c>
      <c r="C331" s="4" t="s">
        <v>170</v>
      </c>
      <c r="D331" s="5" t="s">
        <v>522</v>
      </c>
      <c r="E331" s="4" t="s">
        <v>10</v>
      </c>
      <c r="F331" s="6" t="s">
        <v>48</v>
      </c>
      <c r="G331" s="5" t="s">
        <v>53</v>
      </c>
    </row>
    <row r="332" customFormat="false" ht="15" hidden="false" customHeight="false" outlineLevel="0" collapsed="false">
      <c r="A332" s="4" t="n">
        <v>331</v>
      </c>
      <c r="B332" s="5" t="s">
        <v>520</v>
      </c>
      <c r="C332" s="4" t="s">
        <v>172</v>
      </c>
      <c r="D332" s="5" t="s">
        <v>523</v>
      </c>
      <c r="E332" s="4" t="s">
        <v>10</v>
      </c>
      <c r="F332" s="6" t="s">
        <v>48</v>
      </c>
      <c r="G332" s="5" t="s">
        <v>53</v>
      </c>
    </row>
    <row r="333" customFormat="false" ht="15" hidden="false" customHeight="false" outlineLevel="0" collapsed="false">
      <c r="A333" s="4" t="n">
        <v>332</v>
      </c>
      <c r="B333" s="5" t="s">
        <v>520</v>
      </c>
      <c r="C333" s="4" t="s">
        <v>174</v>
      </c>
      <c r="D333" s="5" t="s">
        <v>524</v>
      </c>
      <c r="E333" s="4" t="s">
        <v>10</v>
      </c>
      <c r="F333" s="6" t="s">
        <v>48</v>
      </c>
      <c r="G333" s="5" t="s">
        <v>53</v>
      </c>
    </row>
    <row r="334" customFormat="false" ht="15" hidden="false" customHeight="false" outlineLevel="0" collapsed="false">
      <c r="A334" s="4" t="n">
        <v>333</v>
      </c>
      <c r="B334" s="5" t="s">
        <v>520</v>
      </c>
      <c r="C334" s="4" t="s">
        <v>176</v>
      </c>
      <c r="D334" s="5" t="s">
        <v>525</v>
      </c>
      <c r="E334" s="4" t="s">
        <v>10</v>
      </c>
      <c r="F334" s="6" t="s">
        <v>48</v>
      </c>
      <c r="G334" s="5" t="s">
        <v>53</v>
      </c>
    </row>
    <row r="335" customFormat="false" ht="15" hidden="false" customHeight="false" outlineLevel="0" collapsed="false">
      <c r="A335" s="4" t="n">
        <v>334</v>
      </c>
      <c r="B335" s="5" t="s">
        <v>520</v>
      </c>
      <c r="C335" s="4" t="s">
        <v>526</v>
      </c>
      <c r="D335" s="5" t="s">
        <v>527</v>
      </c>
      <c r="E335" s="4" t="s">
        <v>10</v>
      </c>
      <c r="F335" s="6" t="s">
        <v>48</v>
      </c>
      <c r="G335" s="5" t="s">
        <v>53</v>
      </c>
    </row>
    <row r="336" customFormat="false" ht="15" hidden="false" customHeight="false" outlineLevel="0" collapsed="false">
      <c r="A336" s="2" t="n">
        <v>335</v>
      </c>
      <c r="B336" s="3" t="s">
        <v>528</v>
      </c>
      <c r="C336" s="2" t="s">
        <v>529</v>
      </c>
      <c r="D336" s="3" t="s">
        <v>530</v>
      </c>
      <c r="E336" s="2" t="s">
        <v>17</v>
      </c>
      <c r="F336" s="7" t="s">
        <v>48</v>
      </c>
      <c r="G336" s="3" t="s">
        <v>53</v>
      </c>
    </row>
    <row r="337" customFormat="false" ht="15" hidden="false" customHeight="false" outlineLevel="0" collapsed="false">
      <c r="A337" s="4" t="n">
        <v>336</v>
      </c>
      <c r="B337" s="5" t="s">
        <v>531</v>
      </c>
      <c r="C337" s="4" t="s">
        <v>532</v>
      </c>
      <c r="D337" s="5" t="s">
        <v>533</v>
      </c>
      <c r="E337" s="4" t="s">
        <v>10</v>
      </c>
      <c r="F337" s="4" t="s">
        <v>11</v>
      </c>
      <c r="G337" s="5" t="s">
        <v>124</v>
      </c>
    </row>
    <row r="338" customFormat="false" ht="15" hidden="false" customHeight="false" outlineLevel="0" collapsed="false">
      <c r="A338" s="2" t="n">
        <v>337</v>
      </c>
      <c r="B338" s="3" t="s">
        <v>534</v>
      </c>
      <c r="C338" s="2" t="s">
        <v>535</v>
      </c>
      <c r="D338" s="3" t="s">
        <v>536</v>
      </c>
      <c r="E338" s="2" t="s">
        <v>10</v>
      </c>
      <c r="F338" s="2" t="s">
        <v>11</v>
      </c>
      <c r="G338" s="3" t="s">
        <v>124</v>
      </c>
    </row>
    <row r="339" customFormat="false" ht="15" hidden="false" customHeight="false" outlineLevel="0" collapsed="false">
      <c r="A339" s="2" t="n">
        <v>338</v>
      </c>
      <c r="B339" s="3" t="s">
        <v>534</v>
      </c>
      <c r="C339" s="2" t="s">
        <v>537</v>
      </c>
      <c r="D339" s="3" t="s">
        <v>538</v>
      </c>
      <c r="E339" s="2" t="s">
        <v>10</v>
      </c>
      <c r="F339" s="7" t="s">
        <v>48</v>
      </c>
      <c r="G339" s="3" t="s">
        <v>124</v>
      </c>
    </row>
    <row r="340" customFormat="false" ht="23.85" hidden="false" customHeight="false" outlineLevel="0" collapsed="false">
      <c r="A340" s="4" t="n">
        <v>339</v>
      </c>
      <c r="B340" s="5" t="s">
        <v>539</v>
      </c>
      <c r="C340" s="4" t="s">
        <v>540</v>
      </c>
      <c r="D340" s="5" t="s">
        <v>541</v>
      </c>
      <c r="E340" s="4" t="s">
        <v>10</v>
      </c>
      <c r="F340" s="4" t="s">
        <v>11</v>
      </c>
      <c r="G340" s="5" t="s">
        <v>53</v>
      </c>
    </row>
    <row r="341" customFormat="false" ht="15" hidden="false" customHeight="false" outlineLevel="0" collapsed="false">
      <c r="A341" s="2" t="n">
        <v>340</v>
      </c>
      <c r="B341" s="3" t="s">
        <v>542</v>
      </c>
      <c r="C341" s="2" t="s">
        <v>403</v>
      </c>
      <c r="D341" s="3" t="s">
        <v>543</v>
      </c>
      <c r="E341" s="2" t="s">
        <v>17</v>
      </c>
      <c r="F341" s="2" t="s">
        <v>11</v>
      </c>
      <c r="G341" s="3" t="s">
        <v>53</v>
      </c>
    </row>
  </sheetData>
  <autoFilter ref="A1:G3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8" t="s">
        <v>1</v>
      </c>
      <c r="B1" s="9" t="s">
        <v>544</v>
      </c>
      <c r="C1" s="9" t="s">
        <v>11</v>
      </c>
      <c r="D1" s="9" t="s">
        <v>48</v>
      </c>
      <c r="E1" s="9" t="s">
        <v>17</v>
      </c>
      <c r="F1" s="9" t="s">
        <v>10</v>
      </c>
      <c r="G1" s="10" t="s">
        <v>545</v>
      </c>
    </row>
    <row r="2" customFormat="false" ht="15" hidden="false" customHeight="false" outlineLevel="0" collapsed="false">
      <c r="A2" s="11" t="s">
        <v>7</v>
      </c>
      <c r="B2" s="4" t="n">
        <f aca="false">COUNTIF('Control List'!$B$2:$B$341,A2)</f>
        <v>7</v>
      </c>
      <c r="C2" s="4" t="n">
        <f aca="false">COUNTIFS('Control List'!$B$2:$B$341,A2,'Control List'!$F$2:$F$341,"Level 1")</f>
        <v>7</v>
      </c>
      <c r="D2" s="4" t="n">
        <f aca="false">COUNTIFS('Control List'!$B$2:$B$341,A2,'Control List'!$F$2:$F$341,"Level 2")</f>
        <v>0</v>
      </c>
      <c r="E2" s="4" t="n">
        <f aca="false">COUNTIFS('Control List'!$B$2:$B$341,A2,'Control List'!$E$2:$E$341,"Automated")</f>
        <v>4</v>
      </c>
      <c r="F2" s="4" t="n">
        <f aca="false">COUNTIFS('Control List'!$B$2:$B$341,A2,'Control List'!$E$2:$E$341,"Manual")</f>
        <v>3</v>
      </c>
      <c r="G2" s="12" t="s">
        <v>12</v>
      </c>
    </row>
    <row r="3" customFormat="false" ht="15" hidden="false" customHeight="false" outlineLevel="0" collapsed="false">
      <c r="A3" s="11" t="s">
        <v>26</v>
      </c>
      <c r="B3" s="4" t="n">
        <f aca="false">COUNTIF('Control List'!$B$2:$B$341,A3)</f>
        <v>11</v>
      </c>
      <c r="C3" s="4" t="n">
        <f aca="false">COUNTIFS('Control List'!$B$2:$B$341,A3,'Control List'!$F$2:$F$341,"Level 1")</f>
        <v>10</v>
      </c>
      <c r="D3" s="4" t="n">
        <f aca="false">COUNTIFS('Control List'!$B$2:$B$341,A3,'Control List'!$F$2:$F$341,"Level 2")</f>
        <v>1</v>
      </c>
      <c r="E3" s="4" t="n">
        <f aca="false">COUNTIFS('Control List'!$B$2:$B$341,A3,'Control List'!$E$2:$E$341,"Automated")</f>
        <v>0</v>
      </c>
      <c r="F3" s="4" t="n">
        <f aca="false">COUNTIFS('Control List'!$B$2:$B$341,A3,'Control List'!$E$2:$E$341,"Manual")</f>
        <v>11</v>
      </c>
      <c r="G3" s="12" t="s">
        <v>29</v>
      </c>
    </row>
    <row r="4" customFormat="false" ht="15" hidden="false" customHeight="false" outlineLevel="0" collapsed="false">
      <c r="A4" s="11" t="s">
        <v>51</v>
      </c>
      <c r="B4" s="4" t="n">
        <f aca="false">COUNTIF('Control List'!$B$2:$B$341,A4)</f>
        <v>15</v>
      </c>
      <c r="C4" s="4" t="n">
        <f aca="false">COUNTIFS('Control List'!$B$2:$B$341,A4,'Control List'!$F$2:$F$341,"Level 1")</f>
        <v>9</v>
      </c>
      <c r="D4" s="4" t="n">
        <f aca="false">COUNTIFS('Control List'!$B$2:$B$341,A4,'Control List'!$F$2:$F$341,"Level 2")</f>
        <v>6</v>
      </c>
      <c r="E4" s="4" t="n">
        <f aca="false">COUNTIFS('Control List'!$B$2:$B$341,A4,'Control List'!$E$2:$E$341,"Automated")</f>
        <v>0</v>
      </c>
      <c r="F4" s="4" t="n">
        <f aca="false">COUNTIFS('Control List'!$B$2:$B$341,A4,'Control List'!$E$2:$E$341,"Manual")</f>
        <v>15</v>
      </c>
      <c r="G4" s="12" t="s">
        <v>53</v>
      </c>
    </row>
    <row r="5" customFormat="false" ht="15" hidden="false" customHeight="false" outlineLevel="0" collapsed="false">
      <c r="A5" s="11" t="s">
        <v>76</v>
      </c>
      <c r="B5" s="4" t="n">
        <f aca="false">COUNTIF('Control List'!$B$2:$B$341,A5)</f>
        <v>12</v>
      </c>
      <c r="C5" s="4" t="n">
        <f aca="false">COUNTIFS('Control List'!$B$2:$B$341,A5,'Control List'!$F$2:$F$341,"Level 1")</f>
        <v>12</v>
      </c>
      <c r="D5" s="4" t="n">
        <f aca="false">COUNTIFS('Control List'!$B$2:$B$341,A5,'Control List'!$F$2:$F$341,"Level 2")</f>
        <v>0</v>
      </c>
      <c r="E5" s="4" t="n">
        <f aca="false">COUNTIFS('Control List'!$B$2:$B$341,A5,'Control List'!$E$2:$E$341,"Automated")</f>
        <v>0</v>
      </c>
      <c r="F5" s="4" t="n">
        <f aca="false">COUNTIFS('Control List'!$B$2:$B$341,A5,'Control List'!$E$2:$E$341,"Manual")</f>
        <v>12</v>
      </c>
      <c r="G5" s="12" t="s">
        <v>29</v>
      </c>
    </row>
    <row r="6" customFormat="false" ht="15" hidden="false" customHeight="false" outlineLevel="0" collapsed="false">
      <c r="A6" s="11" t="s">
        <v>101</v>
      </c>
      <c r="B6" s="4" t="n">
        <f aca="false">COUNTIF('Control List'!$B$2:$B$341,A6)</f>
        <v>9</v>
      </c>
      <c r="C6" s="4" t="n">
        <f aca="false">COUNTIFS('Control List'!$B$2:$B$341,A6,'Control List'!$F$2:$F$341,"Level 1")</f>
        <v>9</v>
      </c>
      <c r="D6" s="4" t="n">
        <f aca="false">COUNTIFS('Control List'!$B$2:$B$341,A6,'Control List'!$F$2:$F$341,"Level 2")</f>
        <v>0</v>
      </c>
      <c r="E6" s="4" t="n">
        <f aca="false">COUNTIFS('Control List'!$B$2:$B$341,A6,'Control List'!$E$2:$E$341,"Automated")</f>
        <v>0</v>
      </c>
      <c r="F6" s="4" t="n">
        <f aca="false">COUNTIFS('Control List'!$B$2:$B$341,A6,'Control List'!$E$2:$E$341,"Manual")</f>
        <v>9</v>
      </c>
      <c r="G6" s="12" t="s">
        <v>29</v>
      </c>
    </row>
    <row r="7" customFormat="false" ht="23.85" hidden="false" customHeight="false" outlineLevel="0" collapsed="false">
      <c r="A7" s="11" t="s">
        <v>119</v>
      </c>
      <c r="B7" s="4" t="n">
        <f aca="false">COUNTIF('Control List'!$B$2:$B$341,A7)</f>
        <v>19</v>
      </c>
      <c r="C7" s="4" t="n">
        <f aca="false">COUNTIFS('Control List'!$B$2:$B$341,A7,'Control List'!$F$2:$F$341,"Level 1")</f>
        <v>6</v>
      </c>
      <c r="D7" s="4" t="n">
        <f aca="false">COUNTIFS('Control List'!$B$2:$B$341,A7,'Control List'!$F$2:$F$341,"Level 2")</f>
        <v>13</v>
      </c>
      <c r="E7" s="4" t="n">
        <f aca="false">COUNTIFS('Control List'!$B$2:$B$341,A7,'Control List'!$E$2:$E$341,"Automated")</f>
        <v>4</v>
      </c>
      <c r="F7" s="4" t="n">
        <f aca="false">COUNTIFS('Control List'!$B$2:$B$341,A7,'Control List'!$E$2:$E$341,"Manual")</f>
        <v>15</v>
      </c>
      <c r="G7" s="12" t="s">
        <v>546</v>
      </c>
    </row>
    <row r="8" customFormat="false" ht="15" hidden="false" customHeight="false" outlineLevel="0" collapsed="false">
      <c r="A8" s="11" t="s">
        <v>149</v>
      </c>
      <c r="B8" s="4" t="n">
        <f aca="false">COUNTIF('Control List'!$B$2:$B$341,A8)</f>
        <v>14</v>
      </c>
      <c r="C8" s="4" t="n">
        <f aca="false">COUNTIFS('Control List'!$B$2:$B$341,A8,'Control List'!$F$2:$F$341,"Level 1")</f>
        <v>11</v>
      </c>
      <c r="D8" s="4" t="n">
        <f aca="false">COUNTIFS('Control List'!$B$2:$B$341,A8,'Control List'!$F$2:$F$341,"Level 2")</f>
        <v>3</v>
      </c>
      <c r="E8" s="4" t="n">
        <f aca="false">COUNTIFS('Control List'!$B$2:$B$341,A8,'Control List'!$E$2:$E$341,"Automated")</f>
        <v>3</v>
      </c>
      <c r="F8" s="4" t="n">
        <f aca="false">COUNTIFS('Control List'!$B$2:$B$341,A8,'Control List'!$E$2:$E$341,"Manual")</f>
        <v>11</v>
      </c>
      <c r="G8" s="12" t="s">
        <v>547</v>
      </c>
    </row>
    <row r="9" customFormat="false" ht="15" hidden="false" customHeight="false" outlineLevel="0" collapsed="false">
      <c r="A9" s="11" t="s">
        <v>167</v>
      </c>
      <c r="B9" s="4" t="n">
        <f aca="false">COUNTIF('Control List'!$B$2:$B$341,A9)</f>
        <v>5</v>
      </c>
      <c r="C9" s="4" t="n">
        <f aca="false">COUNTIFS('Control List'!$B$2:$B$341,A9,'Control List'!$F$2:$F$341,"Level 1")</f>
        <v>5</v>
      </c>
      <c r="D9" s="4" t="n">
        <f aca="false">COUNTIFS('Control List'!$B$2:$B$341,A9,'Control List'!$F$2:$F$341,"Level 2")</f>
        <v>0</v>
      </c>
      <c r="E9" s="4" t="n">
        <f aca="false">COUNTIFS('Control List'!$B$2:$B$341,A9,'Control List'!$E$2:$E$341,"Automated")</f>
        <v>2</v>
      </c>
      <c r="F9" s="4" t="n">
        <f aca="false">COUNTIFS('Control List'!$B$2:$B$341,A9,'Control List'!$E$2:$E$341,"Manual")</f>
        <v>3</v>
      </c>
      <c r="G9" s="12" t="s">
        <v>124</v>
      </c>
    </row>
    <row r="10" customFormat="false" ht="15" hidden="false" customHeight="false" outlineLevel="0" collapsed="false">
      <c r="A10" s="11" t="s">
        <v>178</v>
      </c>
      <c r="B10" s="4" t="n">
        <f aca="false">COUNTIF('Control List'!$B$2:$B$341,A10)</f>
        <v>4</v>
      </c>
      <c r="C10" s="4" t="n">
        <f aca="false">COUNTIFS('Control List'!$B$2:$B$341,A10,'Control List'!$F$2:$F$341,"Level 1")</f>
        <v>3</v>
      </c>
      <c r="D10" s="4" t="n">
        <f aca="false">COUNTIFS('Control List'!$B$2:$B$341,A10,'Control List'!$F$2:$F$341,"Level 2")</f>
        <v>1</v>
      </c>
      <c r="E10" s="4" t="n">
        <f aca="false">COUNTIFS('Control List'!$B$2:$B$341,A10,'Control List'!$E$2:$E$341,"Automated")</f>
        <v>0</v>
      </c>
      <c r="F10" s="4" t="n">
        <f aca="false">COUNTIFS('Control List'!$B$2:$B$341,A10,'Control List'!$E$2:$E$341,"Manual")</f>
        <v>4</v>
      </c>
      <c r="G10" s="12" t="s">
        <v>124</v>
      </c>
    </row>
    <row r="11" customFormat="false" ht="15" hidden="false" customHeight="false" outlineLevel="0" collapsed="false">
      <c r="A11" s="11" t="s">
        <v>187</v>
      </c>
      <c r="B11" s="4" t="n">
        <f aca="false">COUNTIF('Control List'!$B$2:$B$341,A11)</f>
        <v>16</v>
      </c>
      <c r="C11" s="4" t="n">
        <f aca="false">COUNTIFS('Control List'!$B$2:$B$341,A11,'Control List'!$F$2:$F$341,"Level 1")</f>
        <v>14</v>
      </c>
      <c r="D11" s="4" t="n">
        <f aca="false">COUNTIFS('Control List'!$B$2:$B$341,A11,'Control List'!$F$2:$F$341,"Level 2")</f>
        <v>2</v>
      </c>
      <c r="E11" s="4" t="n">
        <f aca="false">COUNTIFS('Control List'!$B$2:$B$341,A11,'Control List'!$E$2:$E$341,"Automated")</f>
        <v>14</v>
      </c>
      <c r="F11" s="4" t="n">
        <f aca="false">COUNTIFS('Control List'!$B$2:$B$341,A11,'Control List'!$E$2:$E$341,"Manual")</f>
        <v>2</v>
      </c>
      <c r="G11" s="12" t="s">
        <v>124</v>
      </c>
    </row>
    <row r="12" customFormat="false" ht="15" hidden="false" customHeight="false" outlineLevel="0" collapsed="false">
      <c r="A12" s="11" t="s">
        <v>220</v>
      </c>
      <c r="B12" s="4" t="n">
        <f aca="false">COUNTIF('Control List'!$B$2:$B$341,A12)</f>
        <v>13</v>
      </c>
      <c r="C12" s="4" t="n">
        <f aca="false">COUNTIFS('Control List'!$B$2:$B$341,A12,'Control List'!$F$2:$F$341,"Level 1")</f>
        <v>1</v>
      </c>
      <c r="D12" s="4" t="n">
        <f aca="false">COUNTIFS('Control List'!$B$2:$B$341,A12,'Control List'!$F$2:$F$341,"Level 2")</f>
        <v>12</v>
      </c>
      <c r="E12" s="4" t="n">
        <f aca="false">COUNTIFS('Control List'!$B$2:$B$341,A12,'Control List'!$E$2:$E$341,"Automated")</f>
        <v>1</v>
      </c>
      <c r="F12" s="4" t="n">
        <f aca="false">COUNTIFS('Control List'!$B$2:$B$341,A12,'Control List'!$E$2:$E$341,"Manual")</f>
        <v>12</v>
      </c>
      <c r="G12" s="12" t="s">
        <v>548</v>
      </c>
    </row>
    <row r="13" customFormat="false" ht="15" hidden="false" customHeight="false" outlineLevel="0" collapsed="false">
      <c r="A13" s="11" t="s">
        <v>235</v>
      </c>
      <c r="B13" s="4" t="n">
        <f aca="false">COUNTIF('Control List'!$B$2:$B$341,A13)</f>
        <v>13</v>
      </c>
      <c r="C13" s="4" t="n">
        <f aca="false">COUNTIFS('Control List'!$B$2:$B$341,A13,'Control List'!$F$2:$F$341,"Level 1")</f>
        <v>11</v>
      </c>
      <c r="D13" s="4" t="n">
        <f aca="false">COUNTIFS('Control List'!$B$2:$B$341,A13,'Control List'!$F$2:$F$341,"Level 2")</f>
        <v>2</v>
      </c>
      <c r="E13" s="4" t="n">
        <f aca="false">COUNTIFS('Control List'!$B$2:$B$341,A13,'Control List'!$E$2:$E$341,"Automated")</f>
        <v>0</v>
      </c>
      <c r="F13" s="4" t="n">
        <f aca="false">COUNTIFS('Control List'!$B$2:$B$341,A13,'Control List'!$E$2:$E$341,"Manual")</f>
        <v>13</v>
      </c>
      <c r="G13" s="12" t="s">
        <v>29</v>
      </c>
    </row>
    <row r="14" customFormat="false" ht="15" hidden="false" customHeight="false" outlineLevel="0" collapsed="false">
      <c r="A14" s="11" t="s">
        <v>247</v>
      </c>
      <c r="B14" s="4" t="n">
        <f aca="false">COUNTIF('Control List'!$B$2:$B$341,A14)</f>
        <v>9</v>
      </c>
      <c r="C14" s="4" t="n">
        <f aca="false">COUNTIFS('Control List'!$B$2:$B$341,A14,'Control List'!$F$2:$F$341,"Level 1")</f>
        <v>0</v>
      </c>
      <c r="D14" s="4" t="n">
        <f aca="false">COUNTIFS('Control List'!$B$2:$B$341,A14,'Control List'!$F$2:$F$341,"Level 2")</f>
        <v>9</v>
      </c>
      <c r="E14" s="4" t="n">
        <f aca="false">COUNTIFS('Control List'!$B$2:$B$341,A14,'Control List'!$E$2:$E$341,"Automated")</f>
        <v>0</v>
      </c>
      <c r="F14" s="4" t="n">
        <f aca="false">COUNTIFS('Control List'!$B$2:$B$341,A14,'Control List'!$E$2:$E$341,"Manual")</f>
        <v>9</v>
      </c>
      <c r="G14" s="12" t="s">
        <v>134</v>
      </c>
    </row>
    <row r="15" customFormat="false" ht="15" hidden="false" customHeight="false" outlineLevel="0" collapsed="false">
      <c r="A15" s="11" t="s">
        <v>257</v>
      </c>
      <c r="B15" s="4" t="n">
        <f aca="false">COUNTIF('Control List'!$B$2:$B$341,A15)</f>
        <v>4</v>
      </c>
      <c r="C15" s="4" t="n">
        <f aca="false">COUNTIFS('Control List'!$B$2:$B$341,A15,'Control List'!$F$2:$F$341,"Level 1")</f>
        <v>4</v>
      </c>
      <c r="D15" s="4" t="n">
        <f aca="false">COUNTIFS('Control List'!$B$2:$B$341,A15,'Control List'!$F$2:$F$341,"Level 2")</f>
        <v>0</v>
      </c>
      <c r="E15" s="4" t="n">
        <f aca="false">COUNTIFS('Control List'!$B$2:$B$341,A15,'Control List'!$E$2:$E$341,"Automated")</f>
        <v>0</v>
      </c>
      <c r="F15" s="4" t="n">
        <f aca="false">COUNTIFS('Control List'!$B$2:$B$341,A15,'Control List'!$E$2:$E$341,"Manual")</f>
        <v>4</v>
      </c>
      <c r="G15" s="12" t="s">
        <v>29</v>
      </c>
    </row>
    <row r="16" customFormat="false" ht="15" hidden="false" customHeight="false" outlineLevel="0" collapsed="false">
      <c r="A16" s="11" t="s">
        <v>265</v>
      </c>
      <c r="B16" s="4" t="n">
        <f aca="false">COUNTIF('Control List'!$B$2:$B$341,A16)</f>
        <v>12</v>
      </c>
      <c r="C16" s="4" t="n">
        <f aca="false">COUNTIFS('Control List'!$B$2:$B$341,A16,'Control List'!$F$2:$F$341,"Level 1")</f>
        <v>12</v>
      </c>
      <c r="D16" s="4" t="n">
        <f aca="false">COUNTIFS('Control List'!$B$2:$B$341,A16,'Control List'!$F$2:$F$341,"Level 2")</f>
        <v>0</v>
      </c>
      <c r="E16" s="4" t="n">
        <f aca="false">COUNTIFS('Control List'!$B$2:$B$341,A16,'Control List'!$E$2:$E$341,"Automated")</f>
        <v>0</v>
      </c>
      <c r="F16" s="4" t="n">
        <f aca="false">COUNTIFS('Control List'!$B$2:$B$341,A16,'Control List'!$E$2:$E$341,"Manual")</f>
        <v>12</v>
      </c>
      <c r="G16" s="12" t="s">
        <v>124</v>
      </c>
    </row>
    <row r="17" customFormat="false" ht="15" hidden="false" customHeight="false" outlineLevel="0" collapsed="false">
      <c r="A17" s="11" t="s">
        <v>278</v>
      </c>
      <c r="B17" s="4" t="n">
        <f aca="false">COUNTIF('Control List'!$B$2:$B$341,A17)</f>
        <v>7</v>
      </c>
      <c r="C17" s="4" t="n">
        <f aca="false">COUNTIFS('Control List'!$B$2:$B$341,A17,'Control List'!$F$2:$F$341,"Level 1")</f>
        <v>7</v>
      </c>
      <c r="D17" s="4" t="n">
        <f aca="false">COUNTIFS('Control List'!$B$2:$B$341,A17,'Control List'!$F$2:$F$341,"Level 2")</f>
        <v>0</v>
      </c>
      <c r="E17" s="4" t="n">
        <f aca="false">COUNTIFS('Control List'!$B$2:$B$341,A17,'Control List'!$E$2:$E$341,"Automated")</f>
        <v>0</v>
      </c>
      <c r="F17" s="4" t="n">
        <f aca="false">COUNTIFS('Control List'!$B$2:$B$341,A17,'Control List'!$E$2:$E$341,"Manual")</f>
        <v>7</v>
      </c>
      <c r="G17" s="12" t="s">
        <v>29</v>
      </c>
    </row>
    <row r="18" customFormat="false" ht="15" hidden="false" customHeight="false" outlineLevel="0" collapsed="false">
      <c r="A18" s="11" t="s">
        <v>287</v>
      </c>
      <c r="B18" s="4" t="n">
        <f aca="false">COUNTIF('Control List'!$B$2:$B$341,A18)</f>
        <v>11</v>
      </c>
      <c r="C18" s="4" t="n">
        <f aca="false">COUNTIFS('Control List'!$B$2:$B$341,A18,'Control List'!$F$2:$F$341,"Level 1")</f>
        <v>10</v>
      </c>
      <c r="D18" s="4" t="n">
        <f aca="false">COUNTIFS('Control List'!$B$2:$B$341,A18,'Control List'!$F$2:$F$341,"Level 2")</f>
        <v>1</v>
      </c>
      <c r="E18" s="4" t="n">
        <f aca="false">COUNTIFS('Control List'!$B$2:$B$341,A18,'Control List'!$E$2:$E$341,"Automated")</f>
        <v>0</v>
      </c>
      <c r="F18" s="4" t="n">
        <f aca="false">COUNTIFS('Control List'!$B$2:$B$341,A18,'Control List'!$E$2:$E$341,"Manual")</f>
        <v>11</v>
      </c>
      <c r="G18" s="12" t="s">
        <v>29</v>
      </c>
    </row>
    <row r="19" customFormat="false" ht="15" hidden="false" customHeight="false" outlineLevel="0" collapsed="false">
      <c r="A19" s="11" t="s">
        <v>303</v>
      </c>
      <c r="B19" s="4" t="n">
        <f aca="false">COUNTIF('Control List'!$B$2:$B$341,A19)</f>
        <v>7</v>
      </c>
      <c r="C19" s="4" t="n">
        <f aca="false">COUNTIFS('Control List'!$B$2:$B$341,A19,'Control List'!$F$2:$F$341,"Level 1")</f>
        <v>7</v>
      </c>
      <c r="D19" s="4" t="n">
        <f aca="false">COUNTIFS('Control List'!$B$2:$B$341,A19,'Control List'!$F$2:$F$341,"Level 2")</f>
        <v>0</v>
      </c>
      <c r="E19" s="4" t="n">
        <f aca="false">COUNTIFS('Control List'!$B$2:$B$341,A19,'Control List'!$E$2:$E$341,"Automated")</f>
        <v>0</v>
      </c>
      <c r="F19" s="4" t="n">
        <f aca="false">COUNTIFS('Control List'!$B$2:$B$341,A19,'Control List'!$E$2:$E$341,"Manual")</f>
        <v>7</v>
      </c>
      <c r="G19" s="12" t="s">
        <v>29</v>
      </c>
    </row>
    <row r="20" customFormat="false" ht="15" hidden="false" customHeight="false" outlineLevel="0" collapsed="false">
      <c r="A20" s="11" t="s">
        <v>314</v>
      </c>
      <c r="B20" s="4" t="n">
        <f aca="false">COUNTIF('Control List'!$B$2:$B$341,A20)</f>
        <v>18</v>
      </c>
      <c r="C20" s="4" t="n">
        <f aca="false">COUNTIFS('Control List'!$B$2:$B$341,A20,'Control List'!$F$2:$F$341,"Level 1")</f>
        <v>17</v>
      </c>
      <c r="D20" s="4" t="n">
        <f aca="false">COUNTIFS('Control List'!$B$2:$B$341,A20,'Control List'!$F$2:$F$341,"Level 2")</f>
        <v>1</v>
      </c>
      <c r="E20" s="4" t="n">
        <f aca="false">COUNTIFS('Control List'!$B$2:$B$341,A20,'Control List'!$E$2:$E$341,"Automated")</f>
        <v>3</v>
      </c>
      <c r="F20" s="4" t="n">
        <f aca="false">COUNTIFS('Control List'!$B$2:$B$341,A20,'Control List'!$E$2:$E$341,"Manual")</f>
        <v>15</v>
      </c>
      <c r="G20" s="12" t="s">
        <v>549</v>
      </c>
    </row>
    <row r="21" customFormat="false" ht="15" hidden="false" customHeight="false" outlineLevel="0" collapsed="false">
      <c r="A21" s="11" t="s">
        <v>331</v>
      </c>
      <c r="B21" s="4" t="n">
        <f aca="false">COUNTIF('Control List'!$B$2:$B$341,A21)</f>
        <v>7</v>
      </c>
      <c r="C21" s="4" t="n">
        <f aca="false">COUNTIFS('Control List'!$B$2:$B$341,A21,'Control List'!$F$2:$F$341,"Level 1")</f>
        <v>1</v>
      </c>
      <c r="D21" s="4" t="n">
        <f aca="false">COUNTIFS('Control List'!$B$2:$B$341,A21,'Control List'!$F$2:$F$341,"Level 2")</f>
        <v>6</v>
      </c>
      <c r="E21" s="4" t="n">
        <f aca="false">COUNTIFS('Control List'!$B$2:$B$341,A21,'Control List'!$E$2:$E$341,"Automated")</f>
        <v>2</v>
      </c>
      <c r="F21" s="4" t="n">
        <f aca="false">COUNTIFS('Control List'!$B$2:$B$341,A21,'Control List'!$E$2:$E$341,"Manual")</f>
        <v>5</v>
      </c>
      <c r="G21" s="12" t="s">
        <v>548</v>
      </c>
    </row>
    <row r="22" customFormat="false" ht="15" hidden="false" customHeight="false" outlineLevel="0" collapsed="false">
      <c r="A22" s="11" t="s">
        <v>343</v>
      </c>
      <c r="B22" s="4" t="n">
        <f aca="false">COUNTIF('Control List'!$B$2:$B$341,A22)</f>
        <v>2</v>
      </c>
      <c r="C22" s="4" t="n">
        <f aca="false">COUNTIFS('Control List'!$B$2:$B$341,A22,'Control List'!$F$2:$F$341,"Level 1")</f>
        <v>0</v>
      </c>
      <c r="D22" s="4" t="n">
        <f aca="false">COUNTIFS('Control List'!$B$2:$B$341,A22,'Control List'!$F$2:$F$341,"Level 2")</f>
        <v>2</v>
      </c>
      <c r="E22" s="4" t="n">
        <f aca="false">COUNTIFS('Control List'!$B$2:$B$341,A22,'Control List'!$E$2:$E$341,"Automated")</f>
        <v>2</v>
      </c>
      <c r="F22" s="4" t="n">
        <f aca="false">COUNTIFS('Control List'!$B$2:$B$341,A22,'Control List'!$E$2:$E$341,"Manual")</f>
        <v>0</v>
      </c>
      <c r="G22" s="12" t="s">
        <v>53</v>
      </c>
    </row>
    <row r="23" customFormat="false" ht="15" hidden="false" customHeight="false" outlineLevel="0" collapsed="false">
      <c r="A23" s="11" t="s">
        <v>346</v>
      </c>
      <c r="B23" s="4" t="n">
        <f aca="false">COUNTIF('Control List'!$B$2:$B$341,A23)</f>
        <v>10</v>
      </c>
      <c r="C23" s="4" t="n">
        <f aca="false">COUNTIFS('Control List'!$B$2:$B$341,A23,'Control List'!$F$2:$F$341,"Level 1")</f>
        <v>10</v>
      </c>
      <c r="D23" s="4" t="n">
        <f aca="false">COUNTIFS('Control List'!$B$2:$B$341,A23,'Control List'!$F$2:$F$341,"Level 2")</f>
        <v>0</v>
      </c>
      <c r="E23" s="4" t="n">
        <f aca="false">COUNTIFS('Control List'!$B$2:$B$341,A23,'Control List'!$E$2:$E$341,"Automated")</f>
        <v>0</v>
      </c>
      <c r="F23" s="4" t="n">
        <f aca="false">COUNTIFS('Control List'!$B$2:$B$341,A23,'Control List'!$E$2:$E$341,"Manual")</f>
        <v>10</v>
      </c>
      <c r="G23" s="12" t="s">
        <v>29</v>
      </c>
    </row>
    <row r="24" customFormat="false" ht="15" hidden="false" customHeight="false" outlineLevel="0" collapsed="false">
      <c r="A24" s="11" t="s">
        <v>364</v>
      </c>
      <c r="B24" s="4" t="n">
        <f aca="false">COUNTIF('Control List'!$B$2:$B$341,A24)</f>
        <v>7</v>
      </c>
      <c r="C24" s="4" t="n">
        <f aca="false">COUNTIFS('Control List'!$B$2:$B$341,A24,'Control List'!$F$2:$F$341,"Level 1")</f>
        <v>3</v>
      </c>
      <c r="D24" s="4" t="n">
        <f aca="false">COUNTIFS('Control List'!$B$2:$B$341,A24,'Control List'!$F$2:$F$341,"Level 2")</f>
        <v>4</v>
      </c>
      <c r="E24" s="4" t="n">
        <f aca="false">COUNTIFS('Control List'!$B$2:$B$341,A24,'Control List'!$E$2:$E$341,"Automated")</f>
        <v>5</v>
      </c>
      <c r="F24" s="4" t="n">
        <f aca="false">COUNTIFS('Control List'!$B$2:$B$341,A24,'Control List'!$E$2:$E$341,"Manual")</f>
        <v>2</v>
      </c>
      <c r="G24" s="12" t="s">
        <v>53</v>
      </c>
    </row>
    <row r="25" customFormat="false" ht="15" hidden="false" customHeight="false" outlineLevel="0" collapsed="false">
      <c r="A25" s="11" t="s">
        <v>373</v>
      </c>
      <c r="B25" s="4" t="n">
        <f aca="false">COUNTIF('Control List'!$B$2:$B$341,A25)</f>
        <v>8</v>
      </c>
      <c r="C25" s="4" t="n">
        <f aca="false">COUNTIFS('Control List'!$B$2:$B$341,A25,'Control List'!$F$2:$F$341,"Level 1")</f>
        <v>7</v>
      </c>
      <c r="D25" s="4" t="n">
        <f aca="false">COUNTIFS('Control List'!$B$2:$B$341,A25,'Control List'!$F$2:$F$341,"Level 2")</f>
        <v>1</v>
      </c>
      <c r="E25" s="4" t="n">
        <f aca="false">COUNTIFS('Control List'!$B$2:$B$341,A25,'Control List'!$E$2:$E$341,"Automated")</f>
        <v>1</v>
      </c>
      <c r="F25" s="4" t="n">
        <f aca="false">COUNTIFS('Control List'!$B$2:$B$341,A25,'Control List'!$E$2:$E$341,"Manual")</f>
        <v>7</v>
      </c>
      <c r="G25" s="12" t="s">
        <v>12</v>
      </c>
    </row>
    <row r="26" customFormat="false" ht="15" hidden="false" customHeight="false" outlineLevel="0" collapsed="false">
      <c r="A26" s="11" t="s">
        <v>382</v>
      </c>
      <c r="B26" s="4" t="n">
        <f aca="false">COUNTIF('Control List'!$B$2:$B$341,A26)</f>
        <v>18</v>
      </c>
      <c r="C26" s="4" t="n">
        <f aca="false">COUNTIFS('Control List'!$B$2:$B$341,A26,'Control List'!$F$2:$F$341,"Level 1")</f>
        <v>14</v>
      </c>
      <c r="D26" s="4" t="n">
        <f aca="false">COUNTIFS('Control List'!$B$2:$B$341,A26,'Control List'!$F$2:$F$341,"Level 2")</f>
        <v>4</v>
      </c>
      <c r="E26" s="4" t="n">
        <f aca="false">COUNTIFS('Control List'!$B$2:$B$341,A26,'Control List'!$E$2:$E$341,"Automated")</f>
        <v>8</v>
      </c>
      <c r="F26" s="4" t="n">
        <f aca="false">COUNTIFS('Control List'!$B$2:$B$341,A26,'Control List'!$E$2:$E$341,"Manual")</f>
        <v>10</v>
      </c>
      <c r="G26" s="12" t="s">
        <v>12</v>
      </c>
    </row>
    <row r="27" customFormat="false" ht="15" hidden="false" customHeight="false" outlineLevel="0" collapsed="false">
      <c r="A27" s="11" t="s">
        <v>405</v>
      </c>
      <c r="B27" s="4" t="n">
        <f aca="false">COUNTIF('Control List'!$B$2:$B$341,A27)</f>
        <v>1</v>
      </c>
      <c r="C27" s="4" t="n">
        <f aca="false">COUNTIFS('Control List'!$B$2:$B$341,A27,'Control List'!$F$2:$F$341,"Level 1")</f>
        <v>1</v>
      </c>
      <c r="D27" s="4" t="n">
        <f aca="false">COUNTIFS('Control List'!$B$2:$B$341,A27,'Control List'!$F$2:$F$341,"Level 2")</f>
        <v>0</v>
      </c>
      <c r="E27" s="4" t="n">
        <f aca="false">COUNTIFS('Control List'!$B$2:$B$341,A27,'Control List'!$E$2:$E$341,"Automated")</f>
        <v>0</v>
      </c>
      <c r="F27" s="4" t="n">
        <f aca="false">COUNTIFS('Control List'!$B$2:$B$341,A27,'Control List'!$E$2:$E$341,"Manual")</f>
        <v>1</v>
      </c>
      <c r="G27" s="12" t="s">
        <v>12</v>
      </c>
    </row>
    <row r="28" customFormat="false" ht="15" hidden="false" customHeight="false" outlineLevel="0" collapsed="false">
      <c r="A28" s="11" t="s">
        <v>407</v>
      </c>
      <c r="B28" s="4" t="n">
        <f aca="false">COUNTIF('Control List'!$B$2:$B$341,A28)</f>
        <v>2</v>
      </c>
      <c r="C28" s="4" t="n">
        <f aca="false">COUNTIFS('Control List'!$B$2:$B$341,A28,'Control List'!$F$2:$F$341,"Level 1")</f>
        <v>2</v>
      </c>
      <c r="D28" s="4" t="n">
        <f aca="false">COUNTIFS('Control List'!$B$2:$B$341,A28,'Control List'!$F$2:$F$341,"Level 2")</f>
        <v>0</v>
      </c>
      <c r="E28" s="4" t="n">
        <f aca="false">COUNTIFS('Control List'!$B$2:$B$341,A28,'Control List'!$E$2:$E$341,"Automated")</f>
        <v>0</v>
      </c>
      <c r="F28" s="4" t="n">
        <f aca="false">COUNTIFS('Control List'!$B$2:$B$341,A28,'Control List'!$E$2:$E$341,"Manual")</f>
        <v>2</v>
      </c>
      <c r="G28" s="12" t="s">
        <v>53</v>
      </c>
    </row>
    <row r="29" customFormat="false" ht="15" hidden="false" customHeight="false" outlineLevel="0" collapsed="false">
      <c r="A29" s="11" t="s">
        <v>410</v>
      </c>
      <c r="B29" s="4" t="n">
        <f aca="false">COUNTIF('Control List'!$B$2:$B$341,A29)</f>
        <v>1</v>
      </c>
      <c r="C29" s="4" t="n">
        <f aca="false">COUNTIFS('Control List'!$B$2:$B$341,A29,'Control List'!$F$2:$F$341,"Level 1")</f>
        <v>1</v>
      </c>
      <c r="D29" s="4" t="n">
        <f aca="false">COUNTIFS('Control List'!$B$2:$B$341,A29,'Control List'!$F$2:$F$341,"Level 2")</f>
        <v>0</v>
      </c>
      <c r="E29" s="4" t="n">
        <f aca="false">COUNTIFS('Control List'!$B$2:$B$341,A29,'Control List'!$E$2:$E$341,"Automated")</f>
        <v>0</v>
      </c>
      <c r="F29" s="4" t="n">
        <f aca="false">COUNTIFS('Control List'!$B$2:$B$341,A29,'Control List'!$E$2:$E$341,"Manual")</f>
        <v>1</v>
      </c>
      <c r="G29" s="12" t="s">
        <v>124</v>
      </c>
    </row>
    <row r="30" customFormat="false" ht="15" hidden="false" customHeight="false" outlineLevel="0" collapsed="false">
      <c r="A30" s="11" t="s">
        <v>412</v>
      </c>
      <c r="B30" s="4" t="n">
        <f aca="false">COUNTIF('Control List'!$B$2:$B$341,A30)</f>
        <v>6</v>
      </c>
      <c r="C30" s="4" t="n">
        <f aca="false">COUNTIFS('Control List'!$B$2:$B$341,A30,'Control List'!$F$2:$F$341,"Level 1")</f>
        <v>0</v>
      </c>
      <c r="D30" s="4" t="n">
        <f aca="false">COUNTIFS('Control List'!$B$2:$B$341,A30,'Control List'!$F$2:$F$341,"Level 2")</f>
        <v>6</v>
      </c>
      <c r="E30" s="4" t="n">
        <f aca="false">COUNTIFS('Control List'!$B$2:$B$341,A30,'Control List'!$E$2:$E$341,"Automated")</f>
        <v>0</v>
      </c>
      <c r="F30" s="4" t="n">
        <f aca="false">COUNTIFS('Control List'!$B$2:$B$341,A30,'Control List'!$E$2:$E$341,"Manual")</f>
        <v>6</v>
      </c>
      <c r="G30" s="12" t="s">
        <v>134</v>
      </c>
    </row>
    <row r="31" customFormat="false" ht="15" hidden="false" customHeight="false" outlineLevel="0" collapsed="false">
      <c r="A31" s="11" t="s">
        <v>425</v>
      </c>
      <c r="B31" s="4" t="n">
        <f aca="false">COUNTIF('Control List'!$B$2:$B$341,A31)</f>
        <v>2</v>
      </c>
      <c r="C31" s="4" t="n">
        <f aca="false">COUNTIFS('Control List'!$B$2:$B$341,A31,'Control List'!$F$2:$F$341,"Level 1")</f>
        <v>2</v>
      </c>
      <c r="D31" s="4" t="n">
        <f aca="false">COUNTIFS('Control List'!$B$2:$B$341,A31,'Control List'!$F$2:$F$341,"Level 2")</f>
        <v>0</v>
      </c>
      <c r="E31" s="4" t="n">
        <f aca="false">COUNTIFS('Control List'!$B$2:$B$341,A31,'Control List'!$E$2:$E$341,"Automated")</f>
        <v>0</v>
      </c>
      <c r="F31" s="4" t="n">
        <f aca="false">COUNTIFS('Control List'!$B$2:$B$341,A31,'Control List'!$E$2:$E$341,"Manual")</f>
        <v>2</v>
      </c>
      <c r="G31" s="12" t="s">
        <v>124</v>
      </c>
    </row>
    <row r="32" customFormat="false" ht="15" hidden="false" customHeight="false" outlineLevel="0" collapsed="false">
      <c r="A32" s="11" t="s">
        <v>428</v>
      </c>
      <c r="B32" s="4" t="n">
        <f aca="false">COUNTIF('Control List'!$B$2:$B$341,A32)</f>
        <v>1</v>
      </c>
      <c r="C32" s="4" t="n">
        <f aca="false">COUNTIFS('Control List'!$B$2:$B$341,A32,'Control List'!$F$2:$F$341,"Level 1")</f>
        <v>1</v>
      </c>
      <c r="D32" s="4" t="n">
        <f aca="false">COUNTIFS('Control List'!$B$2:$B$341,A32,'Control List'!$F$2:$F$341,"Level 2")</f>
        <v>0</v>
      </c>
      <c r="E32" s="4" t="n">
        <f aca="false">COUNTIFS('Control List'!$B$2:$B$341,A32,'Control List'!$E$2:$E$341,"Automated")</f>
        <v>0</v>
      </c>
      <c r="F32" s="4" t="n">
        <f aca="false">COUNTIFS('Control List'!$B$2:$B$341,A32,'Control List'!$E$2:$E$341,"Manual")</f>
        <v>1</v>
      </c>
      <c r="G32" s="12" t="s">
        <v>53</v>
      </c>
    </row>
    <row r="33" customFormat="false" ht="15" hidden="false" customHeight="false" outlineLevel="0" collapsed="false">
      <c r="A33" s="11" t="s">
        <v>431</v>
      </c>
      <c r="B33" s="4" t="n">
        <f aca="false">COUNTIF('Control List'!$B$2:$B$341,A33)</f>
        <v>4</v>
      </c>
      <c r="C33" s="4" t="n">
        <f aca="false">COUNTIFS('Control List'!$B$2:$B$341,A33,'Control List'!$F$2:$F$341,"Level 1")</f>
        <v>2</v>
      </c>
      <c r="D33" s="4" t="n">
        <f aca="false">COUNTIFS('Control List'!$B$2:$B$341,A33,'Control List'!$F$2:$F$341,"Level 2")</f>
        <v>2</v>
      </c>
      <c r="E33" s="4" t="n">
        <f aca="false">COUNTIFS('Control List'!$B$2:$B$341,A33,'Control List'!$E$2:$E$341,"Automated")</f>
        <v>2</v>
      </c>
      <c r="F33" s="4" t="n">
        <f aca="false">COUNTIFS('Control List'!$B$2:$B$341,A33,'Control List'!$E$2:$E$341,"Manual")</f>
        <v>2</v>
      </c>
      <c r="G33" s="12" t="s">
        <v>53</v>
      </c>
    </row>
    <row r="34" customFormat="false" ht="15" hidden="false" customHeight="false" outlineLevel="0" collapsed="false">
      <c r="A34" s="11" t="s">
        <v>436</v>
      </c>
      <c r="B34" s="4" t="n">
        <f aca="false">COUNTIF('Control List'!$B$2:$B$341,A34)</f>
        <v>1</v>
      </c>
      <c r="C34" s="4" t="n">
        <f aca="false">COUNTIFS('Control List'!$B$2:$B$341,A34,'Control List'!$F$2:$F$341,"Level 1")</f>
        <v>0</v>
      </c>
      <c r="D34" s="4" t="n">
        <f aca="false">COUNTIFS('Control List'!$B$2:$B$341,A34,'Control List'!$F$2:$F$341,"Level 2")</f>
        <v>1</v>
      </c>
      <c r="E34" s="4" t="n">
        <f aca="false">COUNTIFS('Control List'!$B$2:$B$341,A34,'Control List'!$E$2:$E$341,"Automated")</f>
        <v>1</v>
      </c>
      <c r="F34" s="4" t="n">
        <f aca="false">COUNTIFS('Control List'!$B$2:$B$341,A34,'Control List'!$E$2:$E$341,"Manual")</f>
        <v>0</v>
      </c>
      <c r="G34" s="12" t="s">
        <v>53</v>
      </c>
    </row>
    <row r="35" customFormat="false" ht="15" hidden="false" customHeight="false" outlineLevel="0" collapsed="false">
      <c r="A35" s="11" t="s">
        <v>438</v>
      </c>
      <c r="B35" s="4" t="n">
        <f aca="false">COUNTIF('Control List'!$B$2:$B$341,A35)</f>
        <v>4</v>
      </c>
      <c r="C35" s="4" t="n">
        <f aca="false">COUNTIFS('Control List'!$B$2:$B$341,A35,'Control List'!$F$2:$F$341,"Level 1")</f>
        <v>4</v>
      </c>
      <c r="D35" s="4" t="n">
        <f aca="false">COUNTIFS('Control List'!$B$2:$B$341,A35,'Control List'!$F$2:$F$341,"Level 2")</f>
        <v>0</v>
      </c>
      <c r="E35" s="4" t="n">
        <f aca="false">COUNTIFS('Control List'!$B$2:$B$341,A35,'Control List'!$E$2:$E$341,"Automated")</f>
        <v>0</v>
      </c>
      <c r="F35" s="4" t="n">
        <f aca="false">COUNTIFS('Control List'!$B$2:$B$341,A35,'Control List'!$E$2:$E$341,"Manual")</f>
        <v>4</v>
      </c>
      <c r="G35" s="12" t="s">
        <v>124</v>
      </c>
    </row>
    <row r="36" customFormat="false" ht="15" hidden="false" customHeight="false" outlineLevel="0" collapsed="false">
      <c r="A36" s="11" t="s">
        <v>443</v>
      </c>
      <c r="B36" s="4" t="n">
        <f aca="false">COUNTIF('Control List'!$B$2:$B$341,A36)</f>
        <v>13</v>
      </c>
      <c r="C36" s="4" t="n">
        <f aca="false">COUNTIFS('Control List'!$B$2:$B$341,A36,'Control List'!$F$2:$F$341,"Level 1")</f>
        <v>0</v>
      </c>
      <c r="D36" s="4" t="n">
        <f aca="false">COUNTIFS('Control List'!$B$2:$B$341,A36,'Control List'!$F$2:$F$341,"Level 2")</f>
        <v>13</v>
      </c>
      <c r="E36" s="4" t="n">
        <f aca="false">COUNTIFS('Control List'!$B$2:$B$341,A36,'Control List'!$E$2:$E$341,"Automated")</f>
        <v>0</v>
      </c>
      <c r="F36" s="4" t="n">
        <f aca="false">COUNTIFS('Control List'!$B$2:$B$341,A36,'Control List'!$E$2:$E$341,"Manual")</f>
        <v>13</v>
      </c>
      <c r="G36" s="12" t="s">
        <v>134</v>
      </c>
    </row>
    <row r="37" customFormat="false" ht="15" hidden="false" customHeight="false" outlineLevel="0" collapsed="false">
      <c r="A37" s="11" t="s">
        <v>462</v>
      </c>
      <c r="B37" s="4" t="n">
        <f aca="false">COUNTIF('Control List'!$B$2:$B$341,A37)</f>
        <v>1</v>
      </c>
      <c r="C37" s="4" t="n">
        <f aca="false">COUNTIFS('Control List'!$B$2:$B$341,A37,'Control List'!$F$2:$F$341,"Level 1")</f>
        <v>0</v>
      </c>
      <c r="D37" s="4" t="n">
        <f aca="false">COUNTIFS('Control List'!$B$2:$B$341,A37,'Control List'!$F$2:$F$341,"Level 2")</f>
        <v>1</v>
      </c>
      <c r="E37" s="4" t="n">
        <f aca="false">COUNTIFS('Control List'!$B$2:$B$341,A37,'Control List'!$E$2:$E$341,"Automated")</f>
        <v>1</v>
      </c>
      <c r="F37" s="4" t="n">
        <f aca="false">COUNTIFS('Control List'!$B$2:$B$341,A37,'Control List'!$E$2:$E$341,"Manual")</f>
        <v>0</v>
      </c>
      <c r="G37" s="12" t="s">
        <v>124</v>
      </c>
    </row>
    <row r="38" customFormat="false" ht="15" hidden="false" customHeight="false" outlineLevel="0" collapsed="false">
      <c r="A38" s="11" t="s">
        <v>464</v>
      </c>
      <c r="B38" s="4" t="n">
        <f aca="false">COUNTIF('Control List'!$B$2:$B$341,A38)</f>
        <v>16</v>
      </c>
      <c r="C38" s="4" t="n">
        <f aca="false">COUNTIFS('Control List'!$B$2:$B$341,A38,'Control List'!$F$2:$F$341,"Level 1")</f>
        <v>13</v>
      </c>
      <c r="D38" s="4" t="n">
        <f aca="false">COUNTIFS('Control List'!$B$2:$B$341,A38,'Control List'!$F$2:$F$341,"Level 2")</f>
        <v>3</v>
      </c>
      <c r="E38" s="4" t="n">
        <f aca="false">COUNTIFS('Control List'!$B$2:$B$341,A38,'Control List'!$E$2:$E$341,"Automated")</f>
        <v>12</v>
      </c>
      <c r="F38" s="4" t="n">
        <f aca="false">COUNTIFS('Control List'!$B$2:$B$341,A38,'Control List'!$E$2:$E$341,"Manual")</f>
        <v>4</v>
      </c>
      <c r="G38" s="12" t="s">
        <v>53</v>
      </c>
    </row>
    <row r="39" customFormat="false" ht="15" hidden="false" customHeight="false" outlineLevel="0" collapsed="false">
      <c r="A39" s="11" t="s">
        <v>483</v>
      </c>
      <c r="B39" s="4" t="n">
        <f aca="false">COUNTIF('Control List'!$B$2:$B$341,A39)</f>
        <v>1</v>
      </c>
      <c r="C39" s="4" t="n">
        <f aca="false">COUNTIFS('Control List'!$B$2:$B$341,A39,'Control List'!$F$2:$F$341,"Level 1")</f>
        <v>0</v>
      </c>
      <c r="D39" s="4" t="n">
        <f aca="false">COUNTIFS('Control List'!$B$2:$B$341,A39,'Control List'!$F$2:$F$341,"Level 2")</f>
        <v>1</v>
      </c>
      <c r="E39" s="4" t="n">
        <f aca="false">COUNTIFS('Control List'!$B$2:$B$341,A39,'Control List'!$E$2:$E$341,"Automated")</f>
        <v>1</v>
      </c>
      <c r="F39" s="4" t="n">
        <f aca="false">COUNTIFS('Control List'!$B$2:$B$341,A39,'Control List'!$E$2:$E$341,"Manual")</f>
        <v>0</v>
      </c>
      <c r="G39" s="12" t="s">
        <v>53</v>
      </c>
    </row>
    <row r="40" customFormat="false" ht="15" hidden="false" customHeight="false" outlineLevel="0" collapsed="false">
      <c r="A40" s="11" t="s">
        <v>485</v>
      </c>
      <c r="B40" s="4" t="n">
        <f aca="false">COUNTIF('Control List'!$B$2:$B$341,A40)</f>
        <v>17</v>
      </c>
      <c r="C40" s="4" t="n">
        <f aca="false">COUNTIFS('Control List'!$B$2:$B$341,A40,'Control List'!$F$2:$F$341,"Level 1")</f>
        <v>15</v>
      </c>
      <c r="D40" s="4" t="n">
        <f aca="false">COUNTIFS('Control List'!$B$2:$B$341,A40,'Control List'!$F$2:$F$341,"Level 2")</f>
        <v>2</v>
      </c>
      <c r="E40" s="4" t="n">
        <f aca="false">COUNTIFS('Control List'!$B$2:$B$341,A40,'Control List'!$E$2:$E$341,"Automated")</f>
        <v>1</v>
      </c>
      <c r="F40" s="4" t="n">
        <f aca="false">COUNTIFS('Control List'!$B$2:$B$341,A40,'Control List'!$E$2:$E$341,"Manual")</f>
        <v>16</v>
      </c>
      <c r="G40" s="12" t="s">
        <v>124</v>
      </c>
    </row>
    <row r="41" customFormat="false" ht="15" hidden="false" customHeight="false" outlineLevel="0" collapsed="false">
      <c r="A41" s="11" t="s">
        <v>520</v>
      </c>
      <c r="B41" s="4" t="n">
        <f aca="false">COUNTIF('Control List'!$B$2:$B$341,A41)</f>
        <v>6</v>
      </c>
      <c r="C41" s="4" t="n">
        <f aca="false">COUNTIFS('Control List'!$B$2:$B$341,A41,'Control List'!$F$2:$F$341,"Level 1")</f>
        <v>0</v>
      </c>
      <c r="D41" s="4" t="n">
        <f aca="false">COUNTIFS('Control List'!$B$2:$B$341,A41,'Control List'!$F$2:$F$341,"Level 2")</f>
        <v>6</v>
      </c>
      <c r="E41" s="4" t="n">
        <f aca="false">COUNTIFS('Control List'!$B$2:$B$341,A41,'Control List'!$E$2:$E$341,"Automated")</f>
        <v>0</v>
      </c>
      <c r="F41" s="4" t="n">
        <f aca="false">COUNTIFS('Control List'!$B$2:$B$341,A41,'Control List'!$E$2:$E$341,"Manual")</f>
        <v>6</v>
      </c>
      <c r="G41" s="12" t="s">
        <v>53</v>
      </c>
    </row>
    <row r="42" customFormat="false" ht="15" hidden="false" customHeight="false" outlineLevel="0" collapsed="false">
      <c r="A42" s="11" t="s">
        <v>528</v>
      </c>
      <c r="B42" s="4" t="n">
        <f aca="false">COUNTIF('Control List'!$B$2:$B$341,A42)</f>
        <v>1</v>
      </c>
      <c r="C42" s="4" t="n">
        <f aca="false">COUNTIFS('Control List'!$B$2:$B$341,A42,'Control List'!$F$2:$F$341,"Level 1")</f>
        <v>0</v>
      </c>
      <c r="D42" s="4" t="n">
        <f aca="false">COUNTIFS('Control List'!$B$2:$B$341,A42,'Control List'!$F$2:$F$341,"Level 2")</f>
        <v>1</v>
      </c>
      <c r="E42" s="4" t="n">
        <f aca="false">COUNTIFS('Control List'!$B$2:$B$341,A42,'Control List'!$E$2:$E$341,"Automated")</f>
        <v>1</v>
      </c>
      <c r="F42" s="4" t="n">
        <f aca="false">COUNTIFS('Control List'!$B$2:$B$341,A42,'Control List'!$E$2:$E$341,"Manual")</f>
        <v>0</v>
      </c>
      <c r="G42" s="12" t="s">
        <v>53</v>
      </c>
    </row>
    <row r="43" customFormat="false" ht="15" hidden="false" customHeight="false" outlineLevel="0" collapsed="false">
      <c r="A43" s="11" t="s">
        <v>531</v>
      </c>
      <c r="B43" s="4" t="n">
        <f aca="false">COUNTIF('Control List'!$B$2:$B$341,A43)</f>
        <v>1</v>
      </c>
      <c r="C43" s="4" t="n">
        <f aca="false">COUNTIFS('Control List'!$B$2:$B$341,A43,'Control List'!$F$2:$F$341,"Level 1")</f>
        <v>1</v>
      </c>
      <c r="D43" s="4" t="n">
        <f aca="false">COUNTIFS('Control List'!$B$2:$B$341,A43,'Control List'!$F$2:$F$341,"Level 2")</f>
        <v>0</v>
      </c>
      <c r="E43" s="4" t="n">
        <f aca="false">COUNTIFS('Control List'!$B$2:$B$341,A43,'Control List'!$E$2:$E$341,"Automated")</f>
        <v>0</v>
      </c>
      <c r="F43" s="4" t="n">
        <f aca="false">COUNTIFS('Control List'!$B$2:$B$341,A43,'Control List'!$E$2:$E$341,"Manual")</f>
        <v>1</v>
      </c>
      <c r="G43" s="12" t="s">
        <v>124</v>
      </c>
    </row>
    <row r="44" customFormat="false" ht="15" hidden="false" customHeight="false" outlineLevel="0" collapsed="false">
      <c r="A44" s="11" t="s">
        <v>534</v>
      </c>
      <c r="B44" s="4" t="n">
        <f aca="false">COUNTIF('Control List'!$B$2:$B$341,A44)</f>
        <v>2</v>
      </c>
      <c r="C44" s="4" t="n">
        <f aca="false">COUNTIFS('Control List'!$B$2:$B$341,A44,'Control List'!$F$2:$F$341,"Level 1")</f>
        <v>1</v>
      </c>
      <c r="D44" s="4" t="n">
        <f aca="false">COUNTIFS('Control List'!$B$2:$B$341,A44,'Control List'!$F$2:$F$341,"Level 2")</f>
        <v>1</v>
      </c>
      <c r="E44" s="4" t="n">
        <f aca="false">COUNTIFS('Control List'!$B$2:$B$341,A44,'Control List'!$E$2:$E$341,"Automated")</f>
        <v>0</v>
      </c>
      <c r="F44" s="4" t="n">
        <f aca="false">COUNTIFS('Control List'!$B$2:$B$341,A44,'Control List'!$E$2:$E$341,"Manual")</f>
        <v>2</v>
      </c>
      <c r="G44" s="12" t="s">
        <v>124</v>
      </c>
    </row>
    <row r="45" customFormat="false" ht="15" hidden="false" customHeight="false" outlineLevel="0" collapsed="false">
      <c r="A45" s="11" t="s">
        <v>539</v>
      </c>
      <c r="B45" s="4" t="n">
        <f aca="false">COUNTIF('Control List'!$B$2:$B$341,A45)</f>
        <v>1</v>
      </c>
      <c r="C45" s="4" t="n">
        <f aca="false">COUNTIFS('Control List'!$B$2:$B$341,A45,'Control List'!$F$2:$F$341,"Level 1")</f>
        <v>1</v>
      </c>
      <c r="D45" s="4" t="n">
        <f aca="false">COUNTIFS('Control List'!$B$2:$B$341,A45,'Control List'!$F$2:$F$341,"Level 2")</f>
        <v>0</v>
      </c>
      <c r="E45" s="4" t="n">
        <f aca="false">COUNTIFS('Control List'!$B$2:$B$341,A45,'Control List'!$E$2:$E$341,"Automated")</f>
        <v>0</v>
      </c>
      <c r="F45" s="4" t="n">
        <f aca="false">COUNTIFS('Control List'!$B$2:$B$341,A45,'Control List'!$E$2:$E$341,"Manual")</f>
        <v>1</v>
      </c>
      <c r="G45" s="12" t="s">
        <v>53</v>
      </c>
    </row>
    <row r="46" customFormat="false" ht="15" hidden="false" customHeight="false" outlineLevel="0" collapsed="false">
      <c r="A46" s="11" t="s">
        <v>542</v>
      </c>
      <c r="B46" s="4" t="n">
        <f aca="false">COUNTIF('Control List'!$B$2:$B$341,A46)</f>
        <v>1</v>
      </c>
      <c r="C46" s="4" t="n">
        <f aca="false">COUNTIFS('Control List'!$B$2:$B$341,A46,'Control List'!$F$2:$F$341,"Level 1")</f>
        <v>1</v>
      </c>
      <c r="D46" s="4" t="n">
        <f aca="false">COUNTIFS('Control List'!$B$2:$B$341,A46,'Control List'!$F$2:$F$341,"Level 2")</f>
        <v>0</v>
      </c>
      <c r="E46" s="4" t="n">
        <f aca="false">COUNTIFS('Control List'!$B$2:$B$341,A46,'Control List'!$E$2:$E$341,"Automated")</f>
        <v>1</v>
      </c>
      <c r="F46" s="4" t="n">
        <f aca="false">COUNTIFS('Control List'!$B$2:$B$341,A46,'Control List'!$E$2:$E$341,"Manual")</f>
        <v>0</v>
      </c>
      <c r="G46" s="12" t="s">
        <v>53</v>
      </c>
    </row>
    <row r="47" customFormat="false" ht="15" hidden="false" customHeight="false" outlineLevel="0" collapsed="false">
      <c r="A47" s="13" t="s">
        <v>550</v>
      </c>
      <c r="B47" s="14" t="n">
        <f aca="false">SUM(B2:B46)</f>
        <v>340</v>
      </c>
      <c r="C47" s="14" t="n">
        <f aca="false">SUM(C2:C46)</f>
        <v>235</v>
      </c>
      <c r="D47" s="14" t="n">
        <f aca="false">SUM(D2:D46)</f>
        <v>105</v>
      </c>
      <c r="E47" s="14" t="n">
        <f aca="false">SUM(E2:E46)</f>
        <v>69</v>
      </c>
      <c r="F47" s="14" t="n">
        <f aca="false">SUM(F2:F46)</f>
        <v>271</v>
      </c>
      <c r="G4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6" t="s">
        <v>551</v>
      </c>
      <c r="B1" s="17"/>
    </row>
    <row r="2" customFormat="false" ht="15" hidden="false" customHeight="false" outlineLevel="0" collapsed="false">
      <c r="A2" s="17" t="s">
        <v>53</v>
      </c>
      <c r="B2" s="17" t="s">
        <v>552</v>
      </c>
    </row>
    <row r="3" customFormat="false" ht="15" hidden="false" customHeight="false" outlineLevel="0" collapsed="false">
      <c r="A3" s="17" t="s">
        <v>124</v>
      </c>
      <c r="B3" s="17" t="s">
        <v>553</v>
      </c>
    </row>
    <row r="4" customFormat="false" ht="15" hidden="false" customHeight="false" outlineLevel="0" collapsed="false">
      <c r="A4" s="17" t="s">
        <v>134</v>
      </c>
      <c r="B4" s="17" t="s">
        <v>554</v>
      </c>
    </row>
    <row r="5" customFormat="false" ht="15" hidden="false" customHeight="false" outlineLevel="0" collapsed="false">
      <c r="A5" s="17" t="s">
        <v>29</v>
      </c>
      <c r="B5" s="17" t="s">
        <v>555</v>
      </c>
    </row>
    <row r="6" customFormat="false" ht="15" hidden="false" customHeight="false" outlineLevel="0" collapsed="false">
      <c r="A6" s="17" t="s">
        <v>12</v>
      </c>
      <c r="B6" s="17" t="s">
        <v>556</v>
      </c>
    </row>
    <row r="7" customFormat="false" ht="15" hidden="false" customHeight="false" outlineLevel="0" collapsed="false">
      <c r="A7" s="17" t="s">
        <v>557</v>
      </c>
      <c r="B7" s="17" t="s">
        <v>558</v>
      </c>
    </row>
    <row r="8" customFormat="false" ht="15" hidden="false" customHeight="false" outlineLevel="0" collapsed="false">
      <c r="A8" s="17"/>
      <c r="B8" s="17"/>
    </row>
    <row r="9" customFormat="false" ht="15" hidden="false" customHeight="false" outlineLevel="0" collapsed="false">
      <c r="A9" s="16" t="s">
        <v>559</v>
      </c>
      <c r="B9" s="17"/>
    </row>
    <row r="10" customFormat="false" ht="15" hidden="false" customHeight="false" outlineLevel="0" collapsed="false">
      <c r="A10" s="17" t="s">
        <v>560</v>
      </c>
      <c r="B10" s="17" t="s">
        <v>561</v>
      </c>
    </row>
    <row r="11" customFormat="false" ht="15" hidden="false" customHeight="false" outlineLevel="0" collapsed="false">
      <c r="A11" s="17" t="s">
        <v>562</v>
      </c>
      <c r="B11" s="17" t="s">
        <v>563</v>
      </c>
    </row>
    <row r="12" customFormat="false" ht="23.85" hidden="false" customHeight="false" outlineLevel="0" collapsed="false">
      <c r="A12" s="17" t="s">
        <v>564</v>
      </c>
      <c r="B12" s="17" t="s">
        <v>565</v>
      </c>
    </row>
    <row r="13" customFormat="false" ht="15" hidden="false" customHeight="false" outlineLevel="0" collapsed="false">
      <c r="A13" s="17"/>
      <c r="B13" s="17"/>
    </row>
    <row r="14" customFormat="false" ht="15" hidden="false" customHeight="false" outlineLevel="0" collapsed="false">
      <c r="A14" s="16" t="s">
        <v>566</v>
      </c>
      <c r="B14" s="17"/>
    </row>
    <row r="15" customFormat="false" ht="23.85" hidden="false" customHeight="false" outlineLevel="0" collapsed="false">
      <c r="A15" s="17" t="s">
        <v>567</v>
      </c>
      <c r="B15" s="17" t="s">
        <v>568</v>
      </c>
    </row>
    <row r="16" customFormat="false" ht="23.85" hidden="false" customHeight="false" outlineLevel="0" collapsed="false">
      <c r="A16" s="17" t="s">
        <v>569</v>
      </c>
      <c r="B16" s="17" t="s">
        <v>570</v>
      </c>
    </row>
    <row r="17" customFormat="false" ht="15" hidden="false" customHeight="false" outlineLevel="0" collapsed="false">
      <c r="A17" s="17" t="s">
        <v>571</v>
      </c>
      <c r="B17" s="17" t="s">
        <v>572</v>
      </c>
    </row>
    <row r="18" customFormat="false" ht="23.85" hidden="false" customHeight="false" outlineLevel="0" collapsed="false">
      <c r="A18" s="17" t="s">
        <v>573</v>
      </c>
      <c r="B18" s="17" t="s">
        <v>574</v>
      </c>
    </row>
    <row r="19" customFormat="false" ht="15" hidden="false" customHeight="false" outlineLevel="0" collapsed="false">
      <c r="A19" s="17"/>
      <c r="B19" s="17"/>
    </row>
    <row r="20" customFormat="false" ht="23.85" hidden="false" customHeight="false" outlineLevel="0" collapsed="false">
      <c r="A20" s="16" t="s">
        <v>575</v>
      </c>
      <c r="B20" s="17"/>
    </row>
    <row r="21" customFormat="false" ht="15" hidden="false" customHeight="false" outlineLevel="0" collapsed="false">
      <c r="A21" s="17" t="s">
        <v>576</v>
      </c>
      <c r="B21" s="17" t="s">
        <v>577</v>
      </c>
    </row>
    <row r="22" customFormat="false" ht="15" hidden="false" customHeight="false" outlineLevel="0" collapsed="false">
      <c r="A22" s="17" t="s">
        <v>578</v>
      </c>
      <c r="B22" s="17" t="s">
        <v>579</v>
      </c>
    </row>
    <row r="23" customFormat="false" ht="15" hidden="false" customHeight="false" outlineLevel="0" collapsed="false">
      <c r="A23" s="17" t="s">
        <v>580</v>
      </c>
      <c r="B23" s="17" t="s">
        <v>581</v>
      </c>
    </row>
    <row r="24" customFormat="false" ht="15" hidden="false" customHeight="false" outlineLevel="0" collapsed="false">
      <c r="A24" s="17" t="s">
        <v>582</v>
      </c>
      <c r="B24" s="17" t="s">
        <v>583</v>
      </c>
    </row>
    <row r="25" customFormat="false" ht="15" hidden="false" customHeight="false" outlineLevel="0" collapsed="false">
      <c r="A25" s="17" t="s">
        <v>584</v>
      </c>
      <c r="B25" s="17" t="s">
        <v>585</v>
      </c>
    </row>
    <row r="26" customFormat="false" ht="15" hidden="false" customHeight="false" outlineLevel="0" collapsed="false">
      <c r="A26" s="17" t="s">
        <v>586</v>
      </c>
      <c r="B26" s="17" t="s">
        <v>587</v>
      </c>
    </row>
    <row r="27" customFormat="false" ht="15" hidden="false" customHeight="false" outlineLevel="0" collapsed="false">
      <c r="A27" s="17" t="s">
        <v>588</v>
      </c>
      <c r="B27" s="17" t="s">
        <v>589</v>
      </c>
    </row>
    <row r="28" customFormat="false" ht="15" hidden="false" customHeight="false" outlineLevel="0" collapsed="false">
      <c r="A28" s="17"/>
      <c r="B28" s="17"/>
    </row>
    <row r="29" customFormat="false" ht="15" hidden="false" customHeight="false" outlineLevel="0" collapsed="false">
      <c r="A29" s="16" t="s">
        <v>590</v>
      </c>
      <c r="B29" s="17"/>
    </row>
    <row r="30" customFormat="false" ht="15" hidden="false" customHeight="false" outlineLevel="0" collapsed="false">
      <c r="A30" s="17" t="s">
        <v>591</v>
      </c>
      <c r="B30" s="17" t="s">
        <v>592</v>
      </c>
    </row>
    <row r="31" customFormat="false" ht="23.85" hidden="false" customHeight="false" outlineLevel="0" collapsed="false">
      <c r="A31" s="17" t="s">
        <v>593</v>
      </c>
      <c r="B31" s="17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2026-10-20T00:12:54Z</dcterms:created>
  <dc:creator>openpyxl</dc:creator>
  <dc:description/>
  <dc:language>en-US</dc:language>
  <cp:lastModifiedBy/>
  <dcterms:modified xsi:type="dcterms:W3CDTF">2026-10-20T00:12:54Z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