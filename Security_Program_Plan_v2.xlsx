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Project Plan" sheetId="2" state="visible" r:id="rId4"/>
    <sheet name="Roles &amp; Skills" sheetId="3" state="visible" r:id="rId5"/>
    <sheet name="RACI" sheetId="4" state="visible" r:id="rId6"/>
    <sheet name="Governance Model" sheetId="5" state="visible" r:id="rId7"/>
    <sheet name="KPIs" sheetId="6" state="visible" r:id="rId8"/>
    <sheet name="Risks and Decisions" sheetId="7" state="visible" r:id="rId9"/>
    <sheet name="Review Log" sheetId="8" state="visible" r:id="rId10"/>
    <sheet name="Sources" sheetId="9" state="visible" r:id="rId11"/>
  </sheets>
  <definedNames>
    <definedName function="false" hidden="true" localSheetId="1" name="_xlnm._FilterDatabase" vbProcedure="false">'Project Plan'!$A$6:$V$156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<sst xmlns="http://schemas.openxmlformats.org/spreadsheetml/2006/main" count="3902" uniqueCount="2207">
  <si>
    <t xml:space="preserve">Security Hardening &amp; Evergreen Governance Program - Plan v2</t>
  </si>
  <si>
    <t xml:space="preserve">Prepared 19 Oct 2026. Yellow cells are inputs. All dated/versioned facts are sourced on the Sources tab.</t>
  </si>
  <si>
    <t xml:space="preserve">Program Week 1 start (input)</t>
  </si>
  <si>
    <t xml:space="preserve">Program Week 26 end</t>
  </si>
  <si>
    <t xml:space="preserve">Week 0 (Immediate) start</t>
  </si>
  <si>
    <t xml:space="preserve">Goal</t>
  </si>
  <si>
    <t xml:space="preserve">Deliver a decision-ready, staffed 26-week security program that (1) hardens OS and containers, (2) hardens security monitoring and response, and (3) installs an evergreen governance model, for an AWS-hosted Ethereum/Solana dApp business pursuing SOC 2.</t>
  </si>
  <si>
    <t xml:space="preserve">Timeline</t>
  </si>
  <si>
    <t xml:space="preserve">Week 0 = 19-25 Oct 2026 (Immediate actions). Week 1 starts Mon 26 Oct 2026; Week 26 ends Sun 25 Apr 2027. Weeks 9-10 (21 Dec 2026 - 3 Jan 2027) are reduced-capacity with a production change freeze (emergency changes only).</t>
  </si>
  <si>
    <t xml:space="preserve">In scope</t>
  </si>
  <si>
    <t xml:space="preserve">AWS multi-account org (Control Tower, Organizations, EC2 Linux, EKS, ECS/EC2 containers, data services, network, logging, backup); Microsoft Entra ID (workforce), Azure AD B2C (customers), IAM Identity Center; Splunk SIEM/SOAR, CrowdStrike EDR, MDR; Ethereum Solidity contracts and Solana Rust/Anchor programs, admin multisigs (Safe/Squads), MPC custody vendor oversight, staking-provider oversight; SOC 2 readiness and Type I; policies, TPRM, HR controls, training.</t>
  </si>
  <si>
    <t xml:space="preserve">Out of scope</t>
  </si>
  <si>
    <t xml:space="preserve">MiCA/DORA/PCI DSS build-out (go/no-go only, D-01); AML/money-transmission programme (contingent on D-01); running own validators; executing the B2C -&gt; External ID migration (roadmap only); ISO 27001 certification (alignment only); Windows workloads; physical security; budget costing (envelope requested at Gate 1).</t>
  </si>
  <si>
    <t xml:space="preserve">Headline numbers (live)</t>
  </si>
  <si>
    <t xml:space="preserve">Total tasks</t>
  </si>
  <si>
    <t xml:space="preserve">Immediate actions (with owner + deadline)</t>
  </si>
  <si>
    <t xml:space="preserve">Workstreams</t>
  </si>
  <si>
    <t xml:space="preserve">Steering gates</t>
  </si>
  <si>
    <t xml:space="preserve">Internal program FTE</t>
  </si>
  <si>
    <t xml:space="preserve">Contractor FTE (peak concurrent)</t>
  </si>
  <si>
    <t xml:space="preserve">Contractor FTE-weeks</t>
  </si>
  <si>
    <t xml:space="preserve">Partner/firm engagements</t>
  </si>
  <si>
    <t xml:space="preserve">KPIs</t>
  </si>
  <si>
    <t xml:space="preserve">Decisions in log</t>
  </si>
  <si>
    <t xml:space="preserve">Risks in register</t>
  </si>
  <si>
    <t xml:space="preserve">Review findings logged</t>
  </si>
  <si>
    <t xml:space="preserve">Dependency violations (must be 0)</t>
  </si>
  <si>
    <t xml:space="preserve">Tasks ending after W26 (must be 0)</t>
  </si>
  <si>
    <t xml:space="preserve">Decision misalignments (must be 0)</t>
  </si>
  <si>
    <t xml:space="preserve">Role overloads (must be 0)</t>
  </si>
  <si>
    <t xml:space="preserve">Assumptions</t>
  </si>
  <si>
    <t xml:space="preserve">• Non-EU firm; no EU solicitation of customers; SOC 2 is the primary compliance driver (user-confirmed). Confirmed or overturned by D-01 in W4.</t>
  </si>
  <si>
    <t xml:space="preserve">• No cardholder data in scope (user-confirmed); any future card acceptance via hosted iframe/redirect would fall under PCI DSS v4.0.1 SAQ A.</t>
  </si>
  <si>
    <t xml:space="preserve">• Amazon Linux 2 workloads remain in the fleet alongside AL2023 (user-confirmed); exact count from HD-01.</t>
  </si>
  <si>
    <t xml:space="preserve">• Staking is delegated to a third-party staking provider (no self-run validators); treasury/hot wallets on a third-party MPC custody platform; admin keys in Safe (EVM) and Squads v4 (Solana) multisigs.</t>
  </si>
  <si>
    <t xml:space="preserve">• Splunk remains the SIEM (Enterprise Security 8.x, SOAR available); CrowdStrike Falcon covers EC2. Microsoft Sentinel is not adopted, so its Azure-portal retirement (31 Mar 2027) is noted but not actioned.</t>
  </si>
  <si>
    <t xml:space="preserve">• Security program team = 5.0 internal FTE plus contractors/partners; platform and application engineering teams implement changes (supporting role, outside program FTE).</t>
  </si>
  <si>
    <t xml:space="preserve">• Assumed US-headquartered entity for OFAC/state-law purposes (to be confirmed in D-01).</t>
  </si>
  <si>
    <t xml:space="preserve">• Whether the business is custodial for customer funds (withdrawal flows exist) is UNVERIFIED; D-01 answers custodial / FinCEN MSB / state licensing / FTC Safeguards Rule. Any 'yes' triggers a re-plan at Gate 1.</t>
  </si>
  <si>
    <t xml:space="preserve">• Weeks 9-10 (21 Dec 2026 - 3 Jan 2027) are a production change freeze; design and non-prod work continues at reduced capacity.</t>
  </si>
  <si>
    <t xml:space="preserve">• Capacity rule: each role leads at most round(3 x FTE) concurrent tasks and carries a weighted load (lead 1.0 + support 0.25 per task) of at most 4 x FTE in any week.</t>
  </si>
  <si>
    <t xml:space="preserve">• Budget is not costed in this plan; licence uplifts (Entra P2/ID Governance, Security Hub per-resource pricing, EKS extended support, Splunk ingest) are flagged as decisions/risks.</t>
  </si>
  <si>
    <t xml:space="preserve">Phases</t>
  </si>
  <si>
    <t xml:space="preserve">Phase</t>
  </si>
  <si>
    <t xml:space="preserve">Name</t>
  </si>
  <si>
    <t xml:space="preserve">Start wk</t>
  </si>
  <si>
    <t xml:space="preserve">End wk</t>
  </si>
  <si>
    <t xml:space="preserve">Start date</t>
  </si>
  <si>
    <t xml:space="preserve">Purpose</t>
  </si>
  <si>
    <t xml:space="preserve">P0</t>
  </si>
  <si>
    <t xml:space="preserve">Immediate (pre-program)</t>
  </si>
  <si>
    <t xml:space="preserve">Close exposures that land before or at the very start of the program</t>
  </si>
  <si>
    <t xml:space="preserve">P1</t>
  </si>
  <si>
    <t xml:space="preserve">Mobilize</t>
  </si>
  <si>
    <t xml:space="preserve">Charter, budget, partner bookings, scope, risk appetite, threat model, baseline</t>
  </si>
  <si>
    <t xml:space="preserve">P2</t>
  </si>
  <si>
    <t xml:space="preserve">Assess &amp; Design</t>
  </si>
  <si>
    <t xml:space="preserve">Gap assessment and ARB-approved designs per workstream</t>
  </si>
  <si>
    <t xml:space="preserve">P3</t>
  </si>
  <si>
    <t xml:space="preserve">Build &amp; Harden</t>
  </si>
  <si>
    <t xml:space="preserve">Guardrails, hardening, identity, telemetry, on-chain controls</t>
  </si>
  <si>
    <t xml:space="preserve">P4</t>
  </si>
  <si>
    <t xml:space="preserve">Monitor &amp; Validate</t>
  </si>
  <si>
    <t xml:space="preserve">Detections, pentest, audit, tabletop, DR test, SOC 2 readiness</t>
  </si>
  <si>
    <t xml:space="preserve">P5</t>
  </si>
  <si>
    <t xml:space="preserve">Operationalize &amp; Handover</t>
  </si>
  <si>
    <t xml:space="preserve">Evergreen model, runbooks, BAU handover, SOC 2 Type I / Type II start</t>
  </si>
  <si>
    <t xml:space="preserve">Steering Committee gates (signed)</t>
  </si>
  <si>
    <t xml:space="preserve">Gate</t>
  </si>
  <si>
    <t xml:space="preserve">Week</t>
  </si>
  <si>
    <t xml:space="preserve">Exit criteria</t>
  </si>
  <si>
    <t xml:space="preserve">Gate task</t>
  </si>
  <si>
    <t xml:space="preserve">Gate date (Fri)</t>
  </si>
  <si>
    <t xml:space="preserve">G1</t>
  </si>
  <si>
    <t xml:space="preserve">Mobilize exit</t>
  </si>
  <si>
    <t xml:space="preserve">Charter and interim budget approved; long-lead partners booked; D-01 regulatory scope signed (custodial/MSB answered); risk appetite approved; threat model and CSF 2.0 gap baseline issued; zero EKS 1.31 clusters; agentless AWS detection services in 100% of accounts/Regions; interim 24/7 on-call and paging live; break-glass tested; interim multisig hardening complete.</t>
  </si>
  <si>
    <t xml:space="preserve">PM-08</t>
  </si>
  <si>
    <t xml:space="preserve">G2</t>
  </si>
  <si>
    <t xml:space="preserve">Design complete &amp; critical exposures closed</t>
  </si>
  <si>
    <t xml:space="preserve">ARB #1 and #2 approvals; org guardrails live in all OUs; Conditional Access enforced with phishing-resistant admin MFA; telemetry sources 100% onboarded; MDR 24/7 live; on-chain monitors live; custody policy engine configured; no AL2 EKS nodes; Inspector CIS baseline captured; policies v1.0 approved; control matrix, TPRM and risk/exception registers live.</t>
  </si>
  <si>
    <t xml:space="preserve">PM-10</t>
  </si>
  <si>
    <t xml:space="preserve">G3</t>
  </si>
  <si>
    <t xml:space="preserve">Build complete</t>
  </si>
  <si>
    <t xml:space="preserve">100% upgrade/admin on-chain roles under multisig + timelock (pause guardian per role matrix); detection waves 1-2 in production; pentest executed; smart-contract audit preliminary report received; Kubernetes baseline enforced; all clusters on 1.36; DR restore test passed; SOC 2 readiness assessment complete.</t>
  </si>
  <si>
    <t xml:space="preserve">PM-11</t>
  </si>
  <si>
    <t xml:space="preserve">G4</t>
  </si>
  <si>
    <t xml:space="preserve">Program close &amp; BAU acceptance</t>
  </si>
  <si>
    <t xml:space="preserve">BAU handover signed; KPIs at target or exceptions approved; SOC 2 Type I fieldwork done; Type II engagement letter signed with period dates and first in-period evidence for every recurring control; IA report reviewed by Board/Audit Committee; bug bounty live; AL2 count 0 or approved exceptions; review-log items closed or formally deferred.</t>
  </si>
  <si>
    <t xml:space="preserve">PM-16</t>
  </si>
  <si>
    <t xml:space="preserve">Project Plan - 150 tasks; End wk, dates and checks are formulas; Gantt W0-W26 via conditional formatting</t>
  </si>
  <si>
    <t xml:space="preserve">Status column has a dropdown. Dependency check = every dependency ends before this task starts. Weeks 9-10 shaded = production change freeze.</t>
  </si>
  <si>
    <t xml:space="preserve">Legend:</t>
  </si>
  <si>
    <t xml:space="preserve">HD OS &amp; Container Hardening</t>
  </si>
  <si>
    <t xml:space="preserve">ID Identity Hardening</t>
  </si>
  <si>
    <t xml:space="preserve">MR Security Monitoring, Response &amp; Resilience</t>
  </si>
  <si>
    <t xml:space="preserve">BC Blockchain Security</t>
  </si>
  <si>
    <t xml:space="preserve">GC Governance &amp; Compliance</t>
  </si>
  <si>
    <t xml:space="preserve">PM Program Management &amp; Sustainment</t>
  </si>
  <si>
    <t xml:space="preserve">ID</t>
  </si>
  <si>
    <t xml:space="preserve">Workstream</t>
  </si>
  <si>
    <t xml:space="preserve">Task</t>
  </si>
  <si>
    <t xml:space="preserve">Key activities</t>
  </si>
  <si>
    <t xml:space="preserve">Duration (wks)</t>
  </si>
  <si>
    <t xml:space="preserve">Dependencies (IDs)</t>
  </si>
  <si>
    <t xml:space="preserve">Latest dependency end</t>
  </si>
  <si>
    <t xml:space="preserve">Dependency check</t>
  </si>
  <si>
    <t xml:space="preserve">End-week check</t>
  </si>
  <si>
    <t xml:space="preserve">End date</t>
  </si>
  <si>
    <t xml:space="preserve">Lead role</t>
  </si>
  <si>
    <t xml:space="preserve">Supporting roles</t>
  </si>
  <si>
    <t xml:space="preserve">Skill set required</t>
  </si>
  <si>
    <t xml:space="preserve">Deliverable</t>
  </si>
  <si>
    <t xml:space="preserve">Benchmark / standard reference</t>
  </si>
  <si>
    <t xml:space="preserve">Status</t>
  </si>
  <si>
    <t xml:space="preserve">Immediate action (owner / deadline)</t>
  </si>
  <si>
    <t xml:space="preserve">Support (delimited)</t>
  </si>
  <si>
    <t xml:space="preserve">PM-01</t>
  </si>
  <si>
    <t xml:space="preserve">P0 Immediate (pre-program)</t>
  </si>
  <si>
    <t xml:space="preserve">PM</t>
  </si>
  <si>
    <t xml:space="preserve">Stand up Immediate-actions cell and name owners</t>
  </si>
  <si>
    <t xml:space="preserve">Daily 15-min stand-up for Immediate actions; owners/deadlines confirmed by exec sponsor</t>
  </si>
  <si>
    <t xml:space="preserve">PL</t>
  </si>
  <si>
    <t xml:space="preserve">CSE; ISE; BSE; GRC</t>
  </si>
  <si>
    <t xml:space="preserve">Program management</t>
  </si>
  <si>
    <t xml:space="preserve">Immediate-actions tracker with owners</t>
  </si>
  <si>
    <t xml:space="preserve">NIST CSF 2.0 GV.RR</t>
  </si>
  <si>
    <t xml:space="preserve">Not started</t>
  </si>
  <si>
    <t xml:space="preserve">Owner PL - Fri 23 Oct 2026</t>
  </si>
  <si>
    <t xml:space="preserve">ID-00</t>
  </si>
  <si>
    <t xml:space="preserve">Order FIDO2 security keys and signer hardware wallets</t>
  </si>
  <si>
    <t xml:space="preserve">Device-bound FIDO2 keys (approved models/AAGUIDs) for break-glass, admins, spares; clear-signing hardware wallets for on-chain signers</t>
  </si>
  <si>
    <t xml:space="preserve">ISE; BSE</t>
  </si>
  <si>
    <t xml:space="preserve">Procurement</t>
  </si>
  <si>
    <t xml:space="preserve">Purchase orders; delivery tracked to W3</t>
  </si>
  <si>
    <t xml:space="preserve">Entra passkey (FIDO2) docs; SEAL Wallet Security</t>
  </si>
  <si>
    <t xml:space="preserve">Owner PL - order by Fri 23 Oct 2026</t>
  </si>
  <si>
    <t xml:space="preserve">GC-01</t>
  </si>
  <si>
    <t xml:space="preserve">GC</t>
  </si>
  <si>
    <t xml:space="preserve">Regulatory scope go/no-go (D-01) with counsel engaged in W0</t>
  </si>
  <si>
    <t xml:space="preserve">Counsel opinion: MiCA Art 61 reverse solicitation/ESMA guidelines; DORA (only via MiCA authorisation); PCI DSS (no CHD); US: custodial vs non-custodial, FinCEN MSB status, state money-transmission, OFAC, FTC Safeguards Rule, NYDFS; any 'yes' triggers re-plan at Gate 1</t>
  </si>
  <si>
    <t xml:space="preserve">GRC</t>
  </si>
  <si>
    <t xml:space="preserve">LEG; PL</t>
  </si>
  <si>
    <t xml:space="preserve">Regulatory analysis</t>
  </si>
  <si>
    <t xml:space="preserve">Signed regulatory scope memo (D-01)</t>
  </si>
  <si>
    <t xml:space="preserve">MiCA Art 61/143; ESMA35-1872330276-2030; DORA Art 2(1)(f); PCI DSS v4.0.1; FinCEN FIN-2019-G001; OFAC VC guidance</t>
  </si>
  <si>
    <t xml:space="preserve">Owner GRC - signed by Steering Fri 20 Nov 2026 (W4)</t>
  </si>
  <si>
    <t xml:space="preserve">BC-01</t>
  </si>
  <si>
    <t xml:space="preserve">BC</t>
  </si>
  <si>
    <t xml:space="preserve">Alpenglow readiness confirmation from staking provider (activates 21 Oct 2026)</t>
  </si>
  <si>
    <t xml:space="preserve">By Tue 20 Oct: written confirmation of BLS pubkey registration, VAT funding (0.8 SOL burned PER EPOCH above rent-exempt, auto top-up), Agave-4.3.0-based client (Firedancer/Frankendancer unsupported during migration), VAT pass-through in commission; pre-approved re-delegation fallback; verify rewards for epochs 1065-1066</t>
  </si>
  <si>
    <t xml:space="preserve">BSE</t>
  </si>
  <si>
    <t xml:space="preserve">Solana staking, vendor management</t>
  </si>
  <si>
    <t xml:space="preserve">Provider confirmation + reward-delta check note</t>
  </si>
  <si>
    <t xml:space="preserve">solana.com/upgrades/alpenglow; BSSC NOS v2</t>
  </si>
  <si>
    <t xml:space="preserve">Owner BSE - confirmation Tue 20 Oct 2026; reward check Fri 30 Oct 2026</t>
  </si>
  <si>
    <t xml:space="preserve">BC-02</t>
  </si>
  <si>
    <t xml:space="preserve">Staking authority inventory and on-chain verification</t>
  </si>
  <si>
    <t xml:space="preserve">Every Ethereum validator: credential type (0x00/0x01/0x02) and that 0x01/0x02 point to our custody address; plan 0x00 change signed by us; provider-owned 0x01 -&gt; exit/re-deposit via BC-19; Solana stake withdraw authority = our MPC vault; interim alerts on EIP-7002 requests and authority changes</t>
  </si>
  <si>
    <t xml:space="preserve">CSO</t>
  </si>
  <si>
    <t xml:space="preserve">Ethereum/Solana staking internals</t>
  </si>
  <si>
    <t xml:space="preserve">Staking authority register (signed)</t>
  </si>
  <si>
    <t xml:space="preserve">EIP-7002; EIP-7251; Anza delegate-stake &amp; vote-account docs; CCSS v9</t>
  </si>
  <si>
    <t xml:space="preserve">Owner BSE - Fri 30 Oct 2026</t>
  </si>
  <si>
    <t xml:space="preserve">BC-22</t>
  </si>
  <si>
    <t xml:space="preserve">Interim multisig hardening (Drift-pattern exposure)</t>
  </si>
  <si>
    <t xml:space="preserve">Raise Safe/Squads thresholds to policy minimum; enable Squads time lock on upgrade authorities; ban durable-nonce/pre-signed admin txs; confirm signer set and devices; emergency CUKC path</t>
  </si>
  <si>
    <t xml:space="preserve">Safe/Squads operations</t>
  </si>
  <si>
    <t xml:space="preserve">Interim multisig hardening record</t>
  </si>
  <si>
    <t xml:space="preserve">SEAL Multisig framework; Squads v4 docs</t>
  </si>
  <si>
    <t xml:space="preserve">Owner BSE - Fri 6 Nov 2026</t>
  </si>
  <si>
    <t xml:space="preserve">HD-01</t>
  </si>
  <si>
    <t xml:space="preserve">HD</t>
  </si>
  <si>
    <t xml:space="preserve">EOL inventory: AL2 hosts/AMIs, EKS versions and upgradePolicy (D-10)</t>
  </si>
  <si>
    <t xml:space="preserve">Org-wide Config query + SSM inventory + EKS API: AL2 instances/AMIs/launch templates, ECS AMIs, cluster versions (1.31-1.37), node AMI types, per-cluster upgradePolicy (STANDARD auto-upgrades at end of standard support; EXTENDED costs $0.60/cluster-hr); D-10 recommendation</t>
  </si>
  <si>
    <t xml:space="preserve">CSE</t>
  </si>
  <si>
    <t xml:space="preserve">ENG</t>
  </si>
  <si>
    <t xml:space="preserve">AWS Config, EKS</t>
  </si>
  <si>
    <t xml:space="preserve">EOL register + D-10 recommendation</t>
  </si>
  <si>
    <t xml:space="preserve">AL2 FAQ (EOS 2026-06-30); EKS kubernetes-versions page; SH EKS.2/EKS.9</t>
  </si>
  <si>
    <t xml:space="preserve">Owner CSE - Fri 30 Oct 2026</t>
  </si>
  <si>
    <t xml:space="preserve">MR-01</t>
  </si>
  <si>
    <t xml:space="preserve">MR</t>
  </si>
  <si>
    <t xml:space="preserve">Enable agentless AWS detection services org-wide (independent of SIEM)</t>
  </si>
  <si>
    <t xml:space="preserve">Delegated admin; GuardDuty all accounts/Regions incl. EKS audit-log monitoring, S3 Protection, Malware Protection for EC2; Security Hub CSPM (FSBP + CIS AWS v5.0.0) and Security Hub; Inspector EC2/ECR/Lambda; Access Analyzer external + internal; Config all Regions; org CloudTrail. Runtime agents follow in MR-01B</t>
  </si>
  <si>
    <t xml:space="preserve">ISE</t>
  </si>
  <si>
    <t xml:space="preserve">AWS security services</t>
  </si>
  <si>
    <t xml:space="preserve">Detection services coverage report</t>
  </si>
  <si>
    <t xml:space="preserve">SH GuardDuty.1/.5/.8/.10, Config.1, CloudTrail.1, Inspector.1-.4; CIS AWS v5.0.0</t>
  </si>
  <si>
    <t xml:space="preserve">MR-21</t>
  </si>
  <si>
    <t xml:space="preserve">Archive Entra and B2C logs before they expire</t>
  </si>
  <si>
    <t xml:space="preserve">Diagnostic settings for Entra (sign-in incl. non-interactive/SP/MI, audit, risk, Graph activity) and B2C (via Azure Lighthouse) to immutable storage; Entra keeps only 30 days on P1/P2</t>
  </si>
  <si>
    <t xml:space="preserve">Azure Monitor</t>
  </si>
  <si>
    <t xml:space="preserve">Log archive live (evidence preserved)</t>
  </si>
  <si>
    <t xml:space="preserve">Entra data-retention reference; B2C Azure Monitor docs</t>
  </si>
  <si>
    <t xml:space="preserve">MR-00</t>
  </si>
  <si>
    <t xml:space="preserve">Interim 24/7 coverage until MDR is live</t>
  </si>
  <si>
    <t xml:space="preserve">On-call rota incl. holiday weeks; paging tool; GuardDuty/Security Hub/Falcon high-severity alerts via EventBridge/SNS to pager; interim IR runbook (severity, contacts, SEAL 911, counsel)</t>
  </si>
  <si>
    <t xml:space="preserve">SOC operations</t>
  </si>
  <si>
    <t xml:space="preserve">On-call rota + paging + interim runbook</t>
  </si>
  <si>
    <t xml:space="preserve">NIST SP 800-61r3; CSF 2.0 DE.CM/RS.MA</t>
  </si>
  <si>
    <t xml:space="preserve">Owner ISE - Fri 30 Oct 2026</t>
  </si>
  <si>
    <t xml:space="preserve">ID-01</t>
  </si>
  <si>
    <t xml:space="preserve">Break-glass accounts before any Conditional Access change</t>
  </si>
  <si>
    <t xml:space="preserve">2 cloud-only permanent Global Admins with FIDO2/certificate auth distinct from admins; excluded from blocking CA; Sev-0 sign-in alert via Log Analytics to pager until Splunk; AWS break-glass: management-account root (2 FIDO2) + emergency role with alarm; test every 90 days</t>
  </si>
  <si>
    <t xml:space="preserve">Entra ID, AWS IAM</t>
  </si>
  <si>
    <t xml:space="preserve">Break-glass runbook + test record</t>
  </si>
  <si>
    <t xml:space="preserve">Microsoft emergency-access guidance; mandatory Azure MFA; SH IAM.4/IAM.6</t>
  </si>
  <si>
    <t xml:space="preserve">ID-02</t>
  </si>
  <si>
    <t xml:space="preserve">Azure MFA Phase 2 (enforced): move user-run automation to workload identities</t>
  </si>
  <si>
    <t xml:space="preserve">Find CLI/PowerShell/IaC/SDK automation running as users (breaking now); migrate to managed identities/service principals with federated credentials (exempt)</t>
  </si>
  <si>
    <t xml:space="preserve">Entra workload identities</t>
  </si>
  <si>
    <t xml:space="preserve">Automation identity register; remediated pipelines</t>
  </si>
  <si>
    <t xml:space="preserve">Microsoft mandatory MFA (Phase 2)</t>
  </si>
  <si>
    <t xml:space="preserve">Owner ISE - Fri 6 Nov 2026</t>
  </si>
  <si>
    <t xml:space="preserve">PM-02</t>
  </si>
  <si>
    <t xml:space="preserve">P1 Mobilize</t>
  </si>
  <si>
    <t xml:space="preserve">Program charter, scope, success criteria and Steering ToR</t>
  </si>
  <si>
    <t xml:space="preserve">Charter; scope/out-of-scope; Steering membership and decision rights</t>
  </si>
  <si>
    <t xml:space="preserve">GRC; PMC</t>
  </si>
  <si>
    <t xml:space="preserve">Signed charter</t>
  </si>
  <si>
    <t xml:space="preserve">NIST CSF 2.0 GV.OC/GV.RR</t>
  </si>
  <si>
    <t xml:space="preserve">PM-02A</t>
  </si>
  <si>
    <t xml:space="preserve">Interim budget approval for long-lead commitments (D-17)</t>
  </si>
  <si>
    <t xml:space="preserve">CFO approves envelope for partners, 8 contractors (6.5 FTE peak) and licences booked in W1-2 (D-17); full budget at Gate 1</t>
  </si>
  <si>
    <t xml:space="preserve">PMC</t>
  </si>
  <si>
    <t xml:space="preserve">Finance</t>
  </si>
  <si>
    <t xml:space="preserve">Approved interim budget</t>
  </si>
  <si>
    <t xml:space="preserve">NIST CSF 2.0 GV.RR-03</t>
  </si>
  <si>
    <t xml:space="preserve">PM-03</t>
  </si>
  <si>
    <t xml:space="preserve">Book long-lead partners and contractors (weeks 1-2)</t>
  </si>
  <si>
    <t xml:space="preserve">Sign: smart-contract auditor (slot W16-W19, sized by nSLOC; &gt;4k nSLOC -&gt; parallel teams), SOC 2 CPA, independent readiness assessor, MDR, pentest (W18), GRC platform trial, contractors (KHE/CPE/DET/IDC/CSO/BSC/GRCC/PMC)</t>
  </si>
  <si>
    <t xml:space="preserve">PM-01, PM-02A</t>
  </si>
  <si>
    <t xml:space="preserve">GRC; BSE; ISE; PMC</t>
  </si>
  <si>
    <t xml:space="preserve">Signed SOWs / booked slots</t>
  </si>
  <si>
    <t xml:space="preserve">NIST CSF 2.0 GV.SC</t>
  </si>
  <si>
    <t xml:space="preserve">PM-04</t>
  </si>
  <si>
    <t xml:space="preserve">Risk appetite statement and tolerances (D-14)</t>
  </si>
  <si>
    <t xml:space="preserve">On-chain loss tolerance, hot-wallet caps, velocity limits, max time-to-pause, patch SLAs, exception limits (max 90 days, one renewal)</t>
  </si>
  <si>
    <t xml:space="preserve">GRC; BSE</t>
  </si>
  <si>
    <t xml:space="preserve">Risk management</t>
  </si>
  <si>
    <t xml:space="preserve">Approved risk appetite statement</t>
  </si>
  <si>
    <t xml:space="preserve">NIST CSF 2.0 GV.RM; ISO 27001 6.1</t>
  </si>
  <si>
    <t xml:space="preserve">PM-07</t>
  </si>
  <si>
    <t xml:space="preserve">RACI, RAID log, interim exception log and operating rhythm</t>
  </si>
  <si>
    <t xml:space="preserve">RACI; weekly status; RAID log; interim exception log; change calendar incl. W9-W10 freeze</t>
  </si>
  <si>
    <t xml:space="preserve">PMO</t>
  </si>
  <si>
    <t xml:space="preserve">RACI + RAID + interim exception log</t>
  </si>
  <si>
    <t xml:space="preserve">ISO 27001 5.3</t>
  </si>
  <si>
    <t xml:space="preserve">PM-05</t>
  </si>
  <si>
    <t xml:space="preserve">Threat model (cloud, identity, on-chain, supply chain, insider)</t>
  </si>
  <si>
    <t xml:space="preserve">Signer-UI compromise (Bybit), durable-nonce pre-signing (Drift), EIP-7702 delegation phishing, DPRK IT workers, domain/front-end hijack, CI/CD poisoning, ransomware, B2C account takeover, helpdesk reset fraud</t>
  </si>
  <si>
    <t xml:space="preserve">CSE; ISE; BSE</t>
  </si>
  <si>
    <t xml:space="preserve">Threat modelling</t>
  </si>
  <si>
    <t xml:space="preserve">Threat model + prioritised scenarios</t>
  </si>
  <si>
    <t xml:space="preserve">MITRE ATT&amp;CK; OWASP SC Top 10 2026; SEAL Frameworks</t>
  </si>
  <si>
    <t xml:space="preserve">PM-06</t>
  </si>
  <si>
    <t xml:space="preserve">Baseline gap assessment (CSF 2.0 current/target profile)</t>
  </si>
  <si>
    <t xml:space="preserve">CSF 2.0 profiles; CIS Controls v8.1 IG1/IG2; Security Hub CSPM baseline; Inspector; identity and on-chain gaps</t>
  </si>
  <si>
    <t xml:space="preserve">PM-02, MR-01</t>
  </si>
  <si>
    <t xml:space="preserve">Assessment</t>
  </si>
  <si>
    <t xml:space="preserve">Gap assessment + baseline KPIs</t>
  </si>
  <si>
    <t xml:space="preserve">NIST CSF 2.0; CIS Controls v8.1</t>
  </si>
  <si>
    <t xml:space="preserve">GC-02</t>
  </si>
  <si>
    <t xml:space="preserve">Governance operating model and forum ToRs</t>
  </si>
  <si>
    <t xml:space="preserve">Steering, ARB (fortnightly), CUKC (fortnightly + ad hoc, internal chair), CAB (weekly), IR forum, independent assurance; three lines; decision rights</t>
  </si>
  <si>
    <t xml:space="preserve">PM-02, PM-07</t>
  </si>
  <si>
    <t xml:space="preserve">Governance design</t>
  </si>
  <si>
    <t xml:space="preserve">Governance model + ToRs</t>
  </si>
  <si>
    <t xml:space="preserve">NIST CSF 2.0 GV.RR; ISO 27001 5.1-5.3; IIA Three Lines</t>
  </si>
  <si>
    <t xml:space="preserve">MR-02</t>
  </si>
  <si>
    <t xml:space="preserve">MDR selection and contract (D-03)</t>
  </si>
  <si>
    <t xml:space="preserve">Falcon Complete Next-Gen MDR vs Splunk-integrated MDR; named 24/7 owner per alert source (incl. Splunk notables); acknowledge/contain SLAs; authority to disable accounts/isolate hosts; escalation to CUKC</t>
  </si>
  <si>
    <t xml:space="preserve">SOC operations, vendor evaluation</t>
  </si>
  <si>
    <t xml:space="preserve">Signed MDR contract (D-03)</t>
  </si>
  <si>
    <t xml:space="preserve">NIST SP 800-61r3; CSF 2.0 DE/RS</t>
  </si>
  <si>
    <t xml:space="preserve">MR-23</t>
  </si>
  <si>
    <t xml:space="preserve">Security services cost review before trials end (D-15)</t>
  </si>
  <si>
    <t xml:space="preserve">Security Hub per-resource pricing, GuardDuty/Inspector, EKS extended support, Splunk ingest sizing; plan selection</t>
  </si>
  <si>
    <t xml:space="preserve">Cost analysis</t>
  </si>
  <si>
    <t xml:space="preserve">D-15 cost decision</t>
  </si>
  <si>
    <t xml:space="preserve">Security Hub pricing; EKS pricing</t>
  </si>
  <si>
    <t xml:space="preserve">GC-03</t>
  </si>
  <si>
    <t xml:space="preserve">GRC platform selection (D-04)</t>
  </si>
  <si>
    <t xml:space="preserve">Vanta/Drata/Secureframe: AWS, Entra (licence/role needs), GitHub, HRIS integrations; pricing</t>
  </si>
  <si>
    <t xml:space="preserve">GRCC</t>
  </si>
  <si>
    <t xml:space="preserve">GRC tooling</t>
  </si>
  <si>
    <t xml:space="preserve">GRC platform decision (D-04)</t>
  </si>
  <si>
    <t xml:space="preserve">AICPA TSC 2017 (2022 PoF)</t>
  </si>
  <si>
    <t xml:space="preserve">GC-18</t>
  </si>
  <si>
    <t xml:space="preserve">Business impact analysis (BIA)</t>
  </si>
  <si>
    <t xml:space="preserve">Critical services, dependencies (custody, staking, RPC, Splunk), RTO/RPO, tolerable on-chain downtime</t>
  </si>
  <si>
    <t xml:space="preserve">PL; CSE; BSE</t>
  </si>
  <si>
    <t xml:space="preserve">BC planning</t>
  </si>
  <si>
    <t xml:space="preserve">Approved BIA</t>
  </si>
  <si>
    <t xml:space="preserve">NIST CSF 2.0 ID.AM/RC; ISO 27001 A.5.30</t>
  </si>
  <si>
    <t xml:space="preserve">GC-20</t>
  </si>
  <si>
    <t xml:space="preserve">Board oversight of cyber risk</t>
  </si>
  <si>
    <t xml:space="preserve">Board/Audit Committee terms; quarterly cyber report format; first briefing</t>
  </si>
  <si>
    <t xml:space="preserve">Board reporting</t>
  </si>
  <si>
    <t xml:space="preserve">Board reporting cadence + first pack</t>
  </si>
  <si>
    <t xml:space="preserve">SOC 2 CC1.2; NIST CSF 2.0 GV.OV</t>
  </si>
  <si>
    <t xml:space="preserve">GC-08</t>
  </si>
  <si>
    <t xml:space="preserve">Change management / CAB live</t>
  </si>
  <si>
    <t xml:space="preserve">CAB ToR; change types; emergency CAB; freeze rules; link to CUKC for on-chain changes</t>
  </si>
  <si>
    <t xml:space="preserve">ITSM</t>
  </si>
  <si>
    <t xml:space="preserve">CAB procedure live</t>
  </si>
  <si>
    <t xml:space="preserve">SOC 2 CC8.1; ISO 27001 A.8.32</t>
  </si>
  <si>
    <t xml:space="preserve">Gate 1 - Mobilize exit (Steering, W6)</t>
  </si>
  <si>
    <t xml:space="preserve">Criteria in Overview: charter + budget; partners booked; D-01 signed; risk appetite; threat model + gap baseline; 1.31 clusters gone; agentless detection 100% accounts; interim 24/7 live; break-glass tested; interim multisig hardening done</t>
  </si>
  <si>
    <t xml:space="preserve">PM-02A, PM-03, PM-04, PM-05, PM-06, GC-01, GC-02, HD-02, MR-01, MR-00, ID-01, BC-22</t>
  </si>
  <si>
    <t xml:space="preserve">Governance</t>
  </si>
  <si>
    <t xml:space="preserve">Signed Gate 1 minute</t>
  </si>
  <si>
    <t xml:space="preserve">Program governance</t>
  </si>
  <si>
    <t xml:space="preserve">HD-04</t>
  </si>
  <si>
    <t xml:space="preserve">P2 Assess &amp; Design</t>
  </si>
  <si>
    <t xml:space="preserve">Org guardrail design: SCPs, RCPs, declarative policies, Control Tower controls</t>
  </si>
  <si>
    <t xml:space="preserve">SCP: protect CloudTrail/GuardDuty/Config, allow guardduty:SendSecurityTelemetry, region allowlist, block Identity Store writes; RCP data perimeter; declarative: IMDSv2 (hop limit set per launch template: EKS 1, ECS bridge 2), snapshot/AMI BPA, VPC BPA with exclusions, serial console, allowed images (audit mode first); EBS default encryption via Control Tower/Config + automation (not a declarative attribute)</t>
  </si>
  <si>
    <t xml:space="preserve">HD-01, PM-02</t>
  </si>
  <si>
    <t xml:space="preserve">KHE</t>
  </si>
  <si>
    <t xml:space="preserve">AWS Organizations policy design</t>
  </si>
  <si>
    <t xml:space="preserve">Guardrail design (ARB pack)</t>
  </si>
  <si>
    <t xml:space="preserve">SH EC2.7/EC2.8/EC2.170/S3.1; CIS AWS v5.0.0; declarative policy docs</t>
  </si>
  <si>
    <t xml:space="preserve">HD-05</t>
  </si>
  <si>
    <t xml:space="preserve">Hardened image standard and EKS node OS decision (D-05)</t>
  </si>
  <si>
    <t xml:space="preserve">CIS AL2023 v1.0.0 L1; AL2023 vs Bottlerocket vs EKS Auto Mode for nodes; CIS EKS v2.0.0 / Auto Mode v1.0.0; Inspector CIS is x86_64-oriented and excludes Bottlerocket -&gt; alternate evidence; CrowdStrike AL2023/Bottlerocket support in writing</t>
  </si>
  <si>
    <t xml:space="preserve">CIS benchmarks</t>
  </si>
  <si>
    <t xml:space="preserve">Image standard + D-05</t>
  </si>
  <si>
    <t xml:space="preserve">CIS AL2023 v1.0.0; CIS Bottlerocket v1.0.0; CIS EKS v2.0.0</t>
  </si>
  <si>
    <t xml:space="preserve">HD-24</t>
  </si>
  <si>
    <t xml:space="preserve">EKS upgrade-readiness matrix per version hop</t>
  </si>
  <si>
    <t xml:space="preserve">Per hop 1.32-&gt;1.36: add-ons, Karpenter/CA, deprecated APIs, cgroup v2, containerd 2.x, ingress controller replacement; rollback limits</t>
  </si>
  <si>
    <t xml:space="preserve">EKS</t>
  </si>
  <si>
    <t xml:space="preserve">Upgrade-readiness matrix</t>
  </si>
  <si>
    <t xml:space="preserve">EKS kubernetes-versions &amp; upgrade docs</t>
  </si>
  <si>
    <t xml:space="preserve">HD-06</t>
  </si>
  <si>
    <t xml:space="preserve">SSM enrolment fleet-wide (prerequisite for runtime agents, Patch Manager, Inspector CIS)</t>
  </si>
  <si>
    <t xml:space="preserve">Instance profiles with AmazonSSMManagedInstanceCore + AmazonInspector2ManagedCisPolicy as primary path; DHMC where no profile (needs IMDSv2); per-instance IMDSv2 conversion where compatible; VPC endpoints</t>
  </si>
  <si>
    <t xml:space="preserve">Systems Manager</t>
  </si>
  <si>
    <t xml:space="preserve">&gt;=95% EC2 managed by SSM</t>
  </si>
  <si>
    <t xml:space="preserve">SH SSM.1; Inspector CIS prerequisites</t>
  </si>
  <si>
    <t xml:space="preserve">HD-22</t>
  </si>
  <si>
    <t xml:space="preserve">Immutable log archive</t>
  </si>
  <si>
    <t xml:space="preserve">Log Archive account; S3 Object Lock; CloudTrail data events (critical S3/KMS/Secrets); log-file validation; KMS encryption; retention by log class</t>
  </si>
  <si>
    <t xml:space="preserve">CPE</t>
  </si>
  <si>
    <t xml:space="preserve">AWS logging</t>
  </si>
  <si>
    <t xml:space="preserve">SH CloudTrail.2/.4, S3.5; CIS AWS v5.0.0</t>
  </si>
  <si>
    <t xml:space="preserve">HD-02</t>
  </si>
  <si>
    <t xml:space="preserve">EKS end-of-support remediation (1.31 before 26 Nov; 1.34 per D-10 before 2 Dec)</t>
  </si>
  <si>
    <t xml:space="preserve">Controlled 1.31-&gt;1.32 upgrade (last AL2-AMI version); add-on compatibility; 1.34 clusters upgraded to 1.35 or upgradePolicy set to EXTENDED per D-10; rollback plan</t>
  </si>
  <si>
    <t xml:space="preserve">KHE; ENG</t>
  </si>
  <si>
    <t xml:space="preserve">EKS upgrades</t>
  </si>
  <si>
    <t xml:space="preserve">No 1.31 clusters; 1.34 handled per D-10</t>
  </si>
  <si>
    <t xml:space="preserve">EKS kubernetes-versions page; SH EKS.2/EKS.9</t>
  </si>
  <si>
    <t xml:space="preserve">Owner CSE - 1.31 upgraded by Fri 20 Nov 2026; 1.34 by Fri 27 Nov 2026</t>
  </si>
  <si>
    <t xml:space="preserve">HD-03</t>
  </si>
  <si>
    <t xml:space="preserve">AL2 containment and migration backlog</t>
  </si>
  <si>
    <t xml:space="preserve">Tag/isolate remaining AL2; CrowdStrike prevention policy; restrict SGs; owners/dates per workload; time-boxed exceptions</t>
  </si>
  <si>
    <t xml:space="preserve">Linux ops, CrowdStrike</t>
  </si>
  <si>
    <t xml:space="preserve">AL2 backlog + exceptions</t>
  </si>
  <si>
    <t xml:space="preserve">AL2 FAQ; CIS Controls v8.1 2.2/7</t>
  </si>
  <si>
    <t xml:space="preserve">Owner CSE - Fri 6 Nov 2026</t>
  </si>
  <si>
    <t xml:space="preserve">HD-07</t>
  </si>
  <si>
    <t xml:space="preserve">Network baseline design</t>
  </si>
  <si>
    <t xml:space="preserve">VPC segmentation, TGW route domains, Network Firewall egress allowlist, NAT, VPC endpoints, WAF managed rules, SG standards, flow logs, Route 53 Resolver DNS Firewall</t>
  </si>
  <si>
    <t xml:space="preserve">AWS networking</t>
  </si>
  <si>
    <t xml:space="preserve">Network design (ARB pack)</t>
  </si>
  <si>
    <t xml:space="preserve">SH EC2.2/EC2.6/EC2.9/ELB.16/WAF.10/WAF.11/NetworkFirewall.2/.4/.5; CIS Controls 12/13</t>
  </si>
  <si>
    <t xml:space="preserve">HD-08</t>
  </si>
  <si>
    <t xml:space="preserve">Kubernetes security baseline design (D-11)</t>
  </si>
  <si>
    <t xml:space="preserve">PSA restricted; admission policy (ValidatingAdmissionPolicy vs Kyverno) + signature verifier (D-11); NetworkPolicies; private endpoint; access entries; audit logs; KMS secrets encryption (no SH control - custom Config rule); Pod Identity/IRSA</t>
  </si>
  <si>
    <t xml:space="preserve">Kubernetes security</t>
  </si>
  <si>
    <t xml:space="preserve">K8s baseline design (ARB pack)</t>
  </si>
  <si>
    <t xml:space="preserve">CIS EKS v2.0.0; CIS Kubernetes v2.1.0; SH EKS.1/EKS.8</t>
  </si>
  <si>
    <t xml:space="preserve">HD-09</t>
  </si>
  <si>
    <t xml:space="preserve">CIS AWS Foundations v7.1.0 delta vs automated v5.0.0</t>
  </si>
  <si>
    <t xml:space="preserve">Map deltas; custom Config rules or manual evidence; feed control matrix</t>
  </si>
  <si>
    <t xml:space="preserve">CIS v7.1.0 delta register</t>
  </si>
  <si>
    <t xml:space="preserve">CIS AWS Foundations v7.1.0; Security Hub CIS docs</t>
  </si>
  <si>
    <t xml:space="preserve">HD-27</t>
  </si>
  <si>
    <t xml:space="preserve">Control Tower currency, drift and account vending baseline</t>
  </si>
  <si>
    <t xml:space="preserve">Landing-zone version; drift remediation; account factory baseline; OU structure for staged guardrails</t>
  </si>
  <si>
    <t xml:space="preserve">Control Tower</t>
  </si>
  <si>
    <t xml:space="preserve">Control Tower baseline report</t>
  </si>
  <si>
    <t xml:space="preserve">AWS Control Tower docs</t>
  </si>
  <si>
    <t xml:space="preserve">ID-03</t>
  </si>
  <si>
    <t xml:space="preserve">Entra licensing and workforce identity design (D-02)</t>
  </si>
  <si>
    <t xml:space="preserve">D-02 covers: P2/ID Governance for admins and for every user in access reviews, P2 for workforce risk-based CA, Workload ID Premium for risky SPs; CA baseline; authentication strengths (device-bound FIDO2, AAGUID allowlist); PIM incl. PIM for Groups</t>
  </si>
  <si>
    <t xml:space="preserve">ID-01, PM-03</t>
  </si>
  <si>
    <t xml:space="preserve">IDC</t>
  </si>
  <si>
    <t xml:space="preserve">Entra ID architecture</t>
  </si>
  <si>
    <t xml:space="preserve">Identity design + D-02</t>
  </si>
  <si>
    <t xml:space="preserve">Entra licensing; authentication strengths; CIS Controls 5/6</t>
  </si>
  <si>
    <t xml:space="preserve">ID-04</t>
  </si>
  <si>
    <t xml:space="preserve">AWS workforce access design (IAM Identity Center) incl. JIT approach (D-16)</t>
  </si>
  <si>
    <t xml:space="preserve">Entra SAML + SCIM (flat groups; 1-yr SCIM token rotation diarised); permission sets; JIT: PIM for Groups via SCIM (accept delay) vs alternative (verify maintenance); SCP blocks Identity Store writes; no IAM users/keys for humans</t>
  </si>
  <si>
    <t xml:space="preserve">ID-01, HD-01</t>
  </si>
  <si>
    <t xml:space="preserve">IAM Identity Center</t>
  </si>
  <si>
    <t xml:space="preserve">AWS access design + D-16</t>
  </si>
  <si>
    <t xml:space="preserve">IAM Identity Center Entra/SCIM docs; SH IAM.1/.2/.4/.8/.22</t>
  </si>
  <si>
    <t xml:space="preserve">ID-05</t>
  </si>
  <si>
    <t xml:space="preserve">Workload identity and secrets design</t>
  </si>
  <si>
    <t xml:space="preserve">EKS Pod Identity (IRSA for Fargate/Windows); CI/CD OIDC federation; Secrets Manager rotation; KMS key policies</t>
  </si>
  <si>
    <t xml:space="preserve">CSE; ENG</t>
  </si>
  <si>
    <t xml:space="preserve">AWS IAM, EKS</t>
  </si>
  <si>
    <t xml:space="preserve">Workload identity design</t>
  </si>
  <si>
    <t xml:space="preserve">EKS Pod Identity docs; SH SecretsManager.1/.3, KMS.3/.4</t>
  </si>
  <si>
    <t xml:space="preserve">ID-06</t>
  </si>
  <si>
    <t xml:space="preserve">Customer identity (Azure AD B2C) assessment and custom-policy security review</t>
  </si>
  <si>
    <t xml:space="preserve">Policies in git with CI; policy keys; API-connector auth; redirect URIs; ROPC off; MFA coverage; risk gap after P2 retirement (15 Mar 2026); fraud/bot vendor (D-13); step-up design (acr_values/max_age, server-side auth_time check bound to transaction); External ID options</t>
  </si>
  <si>
    <t xml:space="preserve">B2C/IEF, CIAM</t>
  </si>
  <si>
    <t xml:space="preserve">B2C assessment + step-up design + D-13</t>
  </si>
  <si>
    <t xml:space="preserve">B2C FAQ; B2C claim resolvers; External ID supported features; OWASP ASVS</t>
  </si>
  <si>
    <t xml:space="preserve">ID-07</t>
  </si>
  <si>
    <t xml:space="preserve">Wallet sign-in design (SIWE / Sign-In With Solana)</t>
  </si>
  <si>
    <t xml:space="preserve">EIP-4361 (Final) verification; nonce/replay store; domain/URI/chain-id binding; EIP-1271 for contract wallets; verifier API from B2C policy or custom OIDC IdP; no EIP-7702 authorisation prompts</t>
  </si>
  <si>
    <t xml:space="preserve">BSC</t>
  </si>
  <si>
    <t xml:space="preserve">Web3 auth</t>
  </si>
  <si>
    <t xml:space="preserve">Wallet sign-in design</t>
  </si>
  <si>
    <t xml:space="preserve">EIP-4361; EIP-1271; EIP-7702 security considerations</t>
  </si>
  <si>
    <t xml:space="preserve">ID-18</t>
  </si>
  <si>
    <t xml:space="preserve">App consent and service-principal governance</t>
  </si>
  <si>
    <t xml:space="preserve">User consent off; admin-consent workflow; app inventory; SP credential expiry/creation alerts</t>
  </si>
  <si>
    <t xml:space="preserve">Entra app governance</t>
  </si>
  <si>
    <t xml:space="preserve">App governance baseline</t>
  </si>
  <si>
    <t xml:space="preserve">Entra app consent docs; CIS Controls 6</t>
  </si>
  <si>
    <t xml:space="preserve">MR-03</t>
  </si>
  <si>
    <t xml:space="preserve">Logging and telemetry architecture for Splunk</t>
  </si>
  <si>
    <t xml:space="preserve">Splunk Add-on for AWS 8.2.x (CloudTrail/VPC/Config); Splunk Add-on for AWS Security Hub (OCSF via EventBridge-&gt;HEC); Entra via Event Hub (MS Cloud Services add-on 6.3.x) incl. NonInteractive/SP/MI sign-ins, risk, Graph activity; B2C (Audit, SignIn) via Lighthouse; CrowdStrike Event Streams; on-chain alert webhooks; retention; volume sizing and filtering</t>
  </si>
  <si>
    <t xml:space="preserve">MR-01, PM-03</t>
  </si>
  <si>
    <t xml:space="preserve">DET</t>
  </si>
  <si>
    <t xml:space="preserve">Splunk architecture</t>
  </si>
  <si>
    <t xml:space="preserve">Telemetry architecture + log source register</t>
  </si>
  <si>
    <t xml:space="preserve">Splunkbase 1876/8642/3110/5082; Entra Event Hub docs; B2C Azure Monitor docs</t>
  </si>
  <si>
    <t xml:space="preserve">MR-04</t>
  </si>
  <si>
    <t xml:space="preserve">Detection use-case catalogue mapped to threat model and ATT&amp;CK</t>
  </si>
  <si>
    <t xml:space="preserve">Identity, control plane, workload, on-chain use cases; ESCU baseline</t>
  </si>
  <si>
    <t xml:space="preserve">PM-05, MR-03</t>
  </si>
  <si>
    <t xml:space="preserve">Detection engineering</t>
  </si>
  <si>
    <t xml:space="preserve">Use-case catalogue</t>
  </si>
  <si>
    <t xml:space="preserve">MITRE ATT&amp;CK; Splunk ESCU</t>
  </si>
  <si>
    <t xml:space="preserve">MR-05</t>
  </si>
  <si>
    <t xml:space="preserve">Incident response plan (NIST SP 800-61r3 / CSF 2.0 profile) incl. on-chain</t>
  </si>
  <si>
    <t xml:space="preserve">Severity matrix; roles; 24/7 escalation; on-chain incidents (pause/guardian, SEAL 911); notification matrix from D-01 (e.g. FTC Safeguards 30 days if applicable); DORA timelines as benchmark only (4h/24h, +72h, 1 month)</t>
  </si>
  <si>
    <t xml:space="preserve">GC-01, PM-05</t>
  </si>
  <si>
    <t xml:space="preserve">BSE; GRC; PL</t>
  </si>
  <si>
    <t xml:space="preserve">Incident management</t>
  </si>
  <si>
    <t xml:space="preserve">Approved IR plan</t>
  </si>
  <si>
    <t xml:space="preserve">NIST SP 800-61r3; SEAL Frameworks; Del. Reg. (EU) 2025/301</t>
  </si>
  <si>
    <t xml:space="preserve">MR-06</t>
  </si>
  <si>
    <t xml:space="preserve">Backup and DR design</t>
  </si>
  <si>
    <t xml:space="preserve">AWS Backup org policies; logically air-gapped vault (direct for supported types, copy otherwise); Aurora PITR (backtrack MySQL only); EKS backup approach (verify AWS Backup EKS support vs alternative); RTO/RPO from BIA</t>
  </si>
  <si>
    <t xml:space="preserve">PM-06, GC-18</t>
  </si>
  <si>
    <t xml:space="preserve">AWS Backup, Aurora</t>
  </si>
  <si>
    <t xml:space="preserve">Backup &amp; DR design</t>
  </si>
  <si>
    <t xml:space="preserve">SH Backup.1/RDS.11/RDS.14; CSF 2.0 RC</t>
  </si>
  <si>
    <t xml:space="preserve">BC-03</t>
  </si>
  <si>
    <t xml:space="preserve">Retired-tool sweep: OpenZeppelin Defender (shut down 1 Jul 2026)</t>
  </si>
  <si>
    <t xml:space="preserve">Find remaining Defender relayers/monitors/scripts; list on-chain roles still held by old relayer addresses; revoke via multisig</t>
  </si>
  <si>
    <t xml:space="preserve">EVM ops tooling</t>
  </si>
  <si>
    <t xml:space="preserve">Retired-tool list + revocation txs</t>
  </si>
  <si>
    <t xml:space="preserve">OpenZeppelin Defender phase-out notice</t>
  </si>
  <si>
    <t xml:space="preserve">BC-05</t>
  </si>
  <si>
    <t xml:space="preserve">On-chain asset and privilege inventory; audit scope sizing</t>
  </si>
  <si>
    <t xml:space="preserve">All contracts/programs, upgrade authorities, ProxyAdmin/Ownable owners, Safe versions/modules/guards, Squads config authority, spending limits, vault vs multisig authority, Anchor IDL authority; nSLOC per chain for auditor</t>
  </si>
  <si>
    <t xml:space="preserve">Ethereum/Solana</t>
  </si>
  <si>
    <t xml:space="preserve">Privileged-role register + audit scope</t>
  </si>
  <si>
    <t xml:space="preserve">BSSC SCS &amp; KMS; SEAL Multisig framework; Squads v4</t>
  </si>
  <si>
    <t xml:space="preserve">BC-04</t>
  </si>
  <si>
    <t xml:space="preserve">Glamsterdam impact triage (Hoodi 26 Oct; mainnet TBD)</t>
  </si>
  <si>
    <t xml:space="preserve">EF repricing checker; transfer/send, hardcoded gas, gasleft branching, presigned fixed-gas txs; Fusaka 2^24 tx gas cap; other Glamsterdam EIPs affecting monitoring/exit SLA (to verify against meta-EIP)</t>
  </si>
  <si>
    <t xml:space="preserve">EVM gas semantics</t>
  </si>
  <si>
    <t xml:space="preserve">Glamsterdam impact report</t>
  </si>
  <si>
    <t xml:space="preserve">blog.ethereum.org Glamsterdam posts; EIP-7825</t>
  </si>
  <si>
    <t xml:space="preserve">Owner BSE - Fri 27 Nov 2026</t>
  </si>
  <si>
    <t xml:space="preserve">BC-24</t>
  </si>
  <si>
    <t xml:space="preserve">Interim on-chain monitoring (self-hosted OpenZeppelin Monitor)</t>
  </si>
  <si>
    <t xml:space="preserve">Privileged-role changes, upgrades, Safe/Squads proposals, stake authority changes; route to pager; AGPL review</t>
  </si>
  <si>
    <t xml:space="preserve">On-chain monitoring</t>
  </si>
  <si>
    <t xml:space="preserve">Interim monitors live</t>
  </si>
  <si>
    <t xml:space="preserve">OpenZeppelin Monitor repo</t>
  </si>
  <si>
    <t xml:space="preserve">BC-06</t>
  </si>
  <si>
    <t xml:space="preserve">Custody vendor assessment (CCSS v9.0, BSSC KMS)</t>
  </si>
  <si>
    <t xml:space="preserve">Policy engine (quorum, allowlists, velocity), hot-wallet caps, approver devices, key ceremony evidence, co-signer host, vendor SOC 2, PQ roadmap</t>
  </si>
  <si>
    <t xml:space="preserve">BC-05, PM-03</t>
  </si>
  <si>
    <t xml:space="preserve">BSE; GRC</t>
  </si>
  <si>
    <t xml:space="preserve">Custody assessment</t>
  </si>
  <si>
    <t xml:space="preserve">Custody assessment report</t>
  </si>
  <si>
    <t xml:space="preserve">CCSS v9.0; BSSC KMS</t>
  </si>
  <si>
    <t xml:space="preserve">BC-07</t>
  </si>
  <si>
    <t xml:space="preserve">Staking provider due diligence</t>
  </si>
  <si>
    <t xml:space="preserve">SOC report; BSSC NOS v2 attestation; EIP-3076 slashing-protection; client mix post-Alpenglow; Glamsterdam/ePBS readiness; SLA, insurance, exit procedure</t>
  </si>
  <si>
    <t xml:space="preserve">BC-01, BC-02, PM-03</t>
  </si>
  <si>
    <t xml:space="preserve">Staking risk</t>
  </si>
  <si>
    <t xml:space="preserve">Staking provider assessment</t>
  </si>
  <si>
    <t xml:space="preserve">BSSC NOS v2; EIP-3076; Anza vote-account guide</t>
  </si>
  <si>
    <t xml:space="preserve">BC-08</t>
  </si>
  <si>
    <t xml:space="preserve">Secure SDLC design for Solidity and Rust/Anchor</t>
  </si>
  <si>
    <t xml:space="preserve">CI: Slither, Aderyn, Foundry fuzz/invariant, Echidna/Medusa, Halmos; storage layout + _disableInitializers checks; Rust: cargo-audit, clippy, Trident; Solana checks (owner/signer/discriminator, arbitrary CPI, PDA bumps, re-init, closed-account revival, Token-2022 extensions); solana-verify; deploy via multisig</t>
  </si>
  <si>
    <t xml:space="preserve">BSE; ENG</t>
  </si>
  <si>
    <t xml:space="preserve">Smart-contract security</t>
  </si>
  <si>
    <t xml:space="preserve">SSDLC standard</t>
  </si>
  <si>
    <t xml:space="preserve">OWASP SC Top 10 2026; BSSC SCS &amp; TIS; NIST SSDF v1.1</t>
  </si>
  <si>
    <t xml:space="preserve">BC-09</t>
  </si>
  <si>
    <t xml:space="preserve">On-chain monitoring vendor selection (D-07)</t>
  </si>
  <si>
    <t xml:space="preserve">Solana coverage confirmed in writing; Hypernative, Hexagate, OZ Monitor; routing to Splunk/SOAR</t>
  </si>
  <si>
    <t xml:space="preserve">PM-03, BC-03</t>
  </si>
  <si>
    <t xml:space="preserve">D-07 decision</t>
  </si>
  <si>
    <t xml:space="preserve">Vendor docs (claims confirmed in writing)</t>
  </si>
  <si>
    <t xml:space="preserve">GC-25</t>
  </si>
  <si>
    <t xml:space="preserve">Asset and data inventory with data classification</t>
  </si>
  <si>
    <t xml:space="preserve">Systems, data stores, wallets, keys, vendors; classification scheme; owners</t>
  </si>
  <si>
    <t xml:space="preserve">Asset management</t>
  </si>
  <si>
    <t xml:space="preserve">Asset &amp; data register</t>
  </si>
  <si>
    <t xml:space="preserve">CSF 2.0 ID.AM; ISO 27001 A.5.9/A.5.12; SOC 2 CC6.1</t>
  </si>
  <si>
    <t xml:space="preserve">GC-04</t>
  </si>
  <si>
    <t xml:space="preserve">Policy framework (version-controlled)</t>
  </si>
  <si>
    <t xml:space="preserve">Info-sec, access, change, crypto &amp; key mgmt, SSDLC, IR, BC/DR, vendor, HR, acceptable use, data classification, logging; git-based</t>
  </si>
  <si>
    <t xml:space="preserve">GC-01, GC-02</t>
  </si>
  <si>
    <t xml:space="preserve">Policy authoring</t>
  </si>
  <si>
    <t xml:space="preserve">Approved policy set v1.0</t>
  </si>
  <si>
    <t xml:space="preserve">ISO 27001:2022 5.2/A.5.1; SOC 2 CC1-CC5</t>
  </si>
  <si>
    <t xml:space="preserve">GC-07</t>
  </si>
  <si>
    <t xml:space="preserve">SOC 2 scope, system description and period plan (D-08, D-12)</t>
  </si>
  <si>
    <t xml:space="preserve">TSC categories; carve-out vs inclusive for custody/staking providers; CPA consulted only (no design role); Type I as-of date and gap-free Type II start; which pre-period annual controls the CPA accepts</t>
  </si>
  <si>
    <t xml:space="preserve">GC-01, PM-03</t>
  </si>
  <si>
    <t xml:space="preserve">GRCC; CPA</t>
  </si>
  <si>
    <t xml:space="preserve">SOC 2</t>
  </si>
  <si>
    <t xml:space="preserve">Scope memo + draft system description</t>
  </si>
  <si>
    <t xml:space="preserve">AICPA TSC 2017 (2022 PoF); DC 200 (2018, 2022 guidance)</t>
  </si>
  <si>
    <t xml:space="preserve">GC-06</t>
  </si>
  <si>
    <t xml:space="preserve">Third-party / ICT risk programme</t>
  </si>
  <si>
    <t xml:space="preserve">Tiering; due diligence for custody, staking, RPC, Splunk, CrowdStrike, MDR, auditors; subservice orgs</t>
  </si>
  <si>
    <t xml:space="preserve">TPRM</t>
  </si>
  <si>
    <t xml:space="preserve">TPRM procedure + tier-1 assessments</t>
  </si>
  <si>
    <t xml:space="preserve">CSF 2.0 GV.SC; ISO 27001 A.5.19-5.22</t>
  </si>
  <si>
    <t xml:space="preserve">GC-12</t>
  </si>
  <si>
    <t xml:space="preserve">Risk register and exception process (expiry-based)</t>
  </si>
  <si>
    <t xml:space="preserve">Risk register (spreadsheet until GRC platform); exceptions max 90 days, one renewal; KRIs</t>
  </si>
  <si>
    <t xml:space="preserve">PM-04, PM-07</t>
  </si>
  <si>
    <t xml:space="preserve">Risk mgmt</t>
  </si>
  <si>
    <t xml:space="preserve">Risk + exception registers</t>
  </si>
  <si>
    <t xml:space="preserve">ISO 27001 6.1/8.2; CSF 2.0 GV.RM; SOC 2 CC3.1</t>
  </si>
  <si>
    <t xml:space="preserve">GC-09</t>
  </si>
  <si>
    <t xml:space="preserve">GRC platform deployment and automated control tests</t>
  </si>
  <si>
    <t xml:space="preserve">Integrate AWS, Entra, GitHub, HRIS; tests mapped after GC-05</t>
  </si>
  <si>
    <t xml:space="preserve">GRC platform</t>
  </si>
  <si>
    <t xml:space="preserve">Automated control monitoring live</t>
  </si>
  <si>
    <t xml:space="preserve">PM-09A</t>
  </si>
  <si>
    <t xml:space="preserve">ARB #1: guardrail, image, identity, telemetry designs</t>
  </si>
  <si>
    <t xml:space="preserve">Review HD-04, HD-05, ID-03, ID-04, MR-03; exceptions</t>
  </si>
  <si>
    <t xml:space="preserve">HD-04, HD-05, ID-03, ID-04, MR-03</t>
  </si>
  <si>
    <t xml:space="preserve">CSE; ISE</t>
  </si>
  <si>
    <t xml:space="preserve">Architecture governance</t>
  </si>
  <si>
    <t xml:space="preserve">ARB #1 approvals log</t>
  </si>
  <si>
    <t xml:space="preserve">ISO 27001 A.8.27</t>
  </si>
  <si>
    <t xml:space="preserve">GC-17</t>
  </si>
  <si>
    <t xml:space="preserve">Security and fraud risk assessment</t>
  </si>
  <si>
    <t xml:space="preserve">Annual risk assessment and fraud risk assessment (CC3.2/CC3.3); refreshed annually in BAU</t>
  </si>
  <si>
    <t xml:space="preserve">GC-12, PM-05</t>
  </si>
  <si>
    <t xml:space="preserve">Risk assessment</t>
  </si>
  <si>
    <t xml:space="preserve">Risk assessment report</t>
  </si>
  <si>
    <t xml:space="preserve">SOC 2 CC3.2/CC3.3; ISO 27001 8.2</t>
  </si>
  <si>
    <t xml:space="preserve">GC-05</t>
  </si>
  <si>
    <t xml:space="preserve">Unified control matrix</t>
  </si>
  <si>
    <t xml:space="preserve">SOC 2 TSC &lt;-&gt; CSF 2.0 &lt;-&gt; ISO 27001 Annex A (93) &lt;-&gt; CIS v8.1 &lt;-&gt; CIS benchmarks &lt;-&gt; BSSC/CCSS/SEAL; owners; tests; denominators for K17</t>
  </si>
  <si>
    <t xml:space="preserve">PM-06, GC-07, HD-09</t>
  </si>
  <si>
    <t xml:space="preserve">Control frameworks</t>
  </si>
  <si>
    <t xml:space="preserve">AICPA TSC 2017 (2022 PoF); CSF 2.0; ISO 27001:2022</t>
  </si>
  <si>
    <t xml:space="preserve">GC-22</t>
  </si>
  <si>
    <t xml:space="preserve">EU-marketing controls (condition of MiCA no-go)</t>
  </si>
  <si>
    <t xml:space="preserve">No EU-targeted ads/influencers/EU-language sites/EU domains; geo-marketing review; evidence</t>
  </si>
  <si>
    <t xml:space="preserve">LEG</t>
  </si>
  <si>
    <t xml:space="preserve">Marketing compliance</t>
  </si>
  <si>
    <t xml:space="preserve">EU marketing control evidence</t>
  </si>
  <si>
    <t xml:space="preserve">MiCA Art 61; ESMA reverse-solicitation guidelines</t>
  </si>
  <si>
    <t xml:space="preserve">PM-09B</t>
  </si>
  <si>
    <t xml:space="preserve">ARB #2: network, Kubernetes, workload identity, CIAM, DR, SSDLC designs</t>
  </si>
  <si>
    <t xml:space="preserve">Review HD-07, HD-08, ID-05, ID-06, MR-06, BC-08; exceptions</t>
  </si>
  <si>
    <t xml:space="preserve">HD-07, HD-08, ID-05, ID-06, MR-06, BC-08</t>
  </si>
  <si>
    <t xml:space="preserve">ARB #2 approvals log</t>
  </si>
  <si>
    <t xml:space="preserve">MR-01B</t>
  </si>
  <si>
    <t xml:space="preserve">P3 Build &amp; Harden</t>
  </si>
  <si>
    <t xml:space="preserve">GuardDuty Runtime Monitoring agents (after SSM)</t>
  </si>
  <si>
    <t xml:space="preserve">Automated agent via SSM on EC2; EKS add-on on EC2 nodes; ECS on EC2 (agent &gt;=1.77.0 / AMI &gt;=2023-09-29); EKS on Fargate unsupported -&gt; HD-25</t>
  </si>
  <si>
    <t xml:space="preserve">HD-06, GC-08, MR-01</t>
  </si>
  <si>
    <t xml:space="preserve">GuardDuty</t>
  </si>
  <si>
    <t xml:space="preserve">Runtime Monitoring coverage report</t>
  </si>
  <si>
    <t xml:space="preserve">GuardDuty Runtime Monitoring docs; SH GuardDuty.7/.11/.13</t>
  </si>
  <si>
    <t xml:space="preserve">HD-10</t>
  </si>
  <si>
    <t xml:space="preserve">Deploy org guardrails (sandbox/non-prod W7-W8; prod from W11)</t>
  </si>
  <si>
    <t xml:space="preserve">SCP/RCP/declarative staged with CAB; EBS default encryption all Regions; S3 account BPA; Control Tower controls</t>
  </si>
  <si>
    <t xml:space="preserve">PM-09A, GC-08</t>
  </si>
  <si>
    <t xml:space="preserve">AWS Organizations</t>
  </si>
  <si>
    <t xml:space="preserve">Guardrails live in all OUs</t>
  </si>
  <si>
    <t xml:space="preserve">SH EC2.7/EC2.8/S3.1/IAM.4</t>
  </si>
  <si>
    <t xml:space="preserve">HD-16A</t>
  </si>
  <si>
    <t xml:space="preserve">EKS node groups AL2 -&gt; AL2023/Bottlerocket at 1.32 (non-prod W6-7, prod W8)</t>
  </si>
  <si>
    <t xml:space="preserve">Per D-05; drain/replace node groups; validate workloads; before freeze</t>
  </si>
  <si>
    <t xml:space="preserve">HD-02, HD-05, HD-24</t>
  </si>
  <si>
    <t xml:space="preserve">EKS node groups</t>
  </si>
  <si>
    <t xml:space="preserve">No AL2 EKS nodes</t>
  </si>
  <si>
    <t xml:space="preserve">EKS AL2 AMI deprecation FAQ; AL2 FAQ</t>
  </si>
  <si>
    <t xml:space="preserve">HD-23</t>
  </si>
  <si>
    <t xml:space="preserve">Container hosts on EC2 (ECS/Docker) to AL2023 (non-prod W7-8, prod W11-14)</t>
  </si>
  <si>
    <t xml:space="preserve">ECS-optimized AL2023 AMI; cgroup v2 memory checks (JVM); agent versions</t>
  </si>
  <si>
    <t xml:space="preserve">HD-03, HD-05</t>
  </si>
  <si>
    <t xml:space="preserve">ECS, Linux</t>
  </si>
  <si>
    <t xml:space="preserve">No AL2 container hosts</t>
  </si>
  <si>
    <t xml:space="preserve">ECS AMI docs; AL2 FAQ</t>
  </si>
  <si>
    <t xml:space="preserve">HD-11</t>
  </si>
  <si>
    <t xml:space="preserve">Patch Manager baselines and patch SLA</t>
  </si>
  <si>
    <t xml:space="preserve">Baselines per OS; maintenance windows; SLA crit 7d/high 14d</t>
  </si>
  <si>
    <t xml:space="preserve">HD-06, PM-04</t>
  </si>
  <si>
    <t xml:space="preserve">SSM Patch Manager</t>
  </si>
  <si>
    <t xml:space="preserve">Patch SLA live</t>
  </si>
  <si>
    <t xml:space="preserve">SH SSM.2/SSM.3; CIS Controls 7</t>
  </si>
  <si>
    <t xml:space="preserve">HD-12</t>
  </si>
  <si>
    <t xml:space="preserve">Inspector CIS scans (AL2023 L1) scheduled</t>
  </si>
  <si>
    <t xml:space="preserve">Scheduled scans; baseline score; Graviton/Bottlerocket evidence via HD-26</t>
  </si>
  <si>
    <t xml:space="preserve">HD-06, HD-05</t>
  </si>
  <si>
    <t xml:space="preserve">Amazon Inspector</t>
  </si>
  <si>
    <t xml:space="preserve">CIS scan baseline</t>
  </si>
  <si>
    <t xml:space="preserve">Inspector CIS scans docs; CIS AL2023 v1.0.0</t>
  </si>
  <si>
    <t xml:space="preserve">HD-13</t>
  </si>
  <si>
    <t xml:space="preserve">Golden AMI pipeline (EC2 Image Builder)</t>
  </si>
  <si>
    <t xml:space="preserve">CIS AL2023 L1 + CrowdStrike sensor + SSM agent; allowed-images policy</t>
  </si>
  <si>
    <t xml:space="preserve">HD-05, PM-09A</t>
  </si>
  <si>
    <t xml:space="preserve">Image Builder</t>
  </si>
  <si>
    <t xml:space="preserve">Golden AMI v1</t>
  </si>
  <si>
    <t xml:space="preserve">CIS AL2023 v1.0.0; EC2 declarative policies</t>
  </si>
  <si>
    <t xml:space="preserve">HD-19</t>
  </si>
  <si>
    <t xml:space="preserve">Network baseline implementation (prod after freeze)</t>
  </si>
  <si>
    <t xml:space="preserve">Network Firewall egress; WAF managed rules + logging; SG cleanup; VPC endpoints; flow logs; DNS Firewall</t>
  </si>
  <si>
    <t xml:space="preserve">HD-07, PM-09B, GC-08</t>
  </si>
  <si>
    <t xml:space="preserve">Network baseline live</t>
  </si>
  <si>
    <t xml:space="preserve">SH EC2.2/EC2.6/ELB.16/WAF.10/WAF.11/NetworkFirewall.2/.4/.5</t>
  </si>
  <si>
    <t xml:space="preserve">HD-16B</t>
  </si>
  <si>
    <t xml:space="preserve">EKS version hops 1.32 -&gt; 1.36 (before 1.32 extended EOS 23 Mar 2027)</t>
  </si>
  <si>
    <t xml:space="preserve">One hop at a time per HD-24 matrix; add-ons; nodes; no reliance on forced auto-upgrade (no notice, no rollback)</t>
  </si>
  <si>
    <t xml:space="preserve">HD-16A, HD-24, PM-09B</t>
  </si>
  <si>
    <t xml:space="preserve">All clusters on 1.36</t>
  </si>
  <si>
    <t xml:space="preserve">Owner CSE - complete by Fri 26 Feb 2027 (hard stop 23 Mar 2027)</t>
  </si>
  <si>
    <t xml:space="preserve">HD-17</t>
  </si>
  <si>
    <t xml:space="preserve">Kubernetes hardening rollout</t>
  </si>
  <si>
    <t xml:space="preserve">PSA restricted; admission policies; NetworkPolicies; private endpoints; audit logs; access entries; Pod Identity</t>
  </si>
  <si>
    <t xml:space="preserve">HD-08, PM-09B, ID-05</t>
  </si>
  <si>
    <t xml:space="preserve">K8s baseline enforced</t>
  </si>
  <si>
    <t xml:space="preserve">CIS EKS v2.0.0; SH EKS.1/EKS.8</t>
  </si>
  <si>
    <t xml:space="preserve">HD-14</t>
  </si>
  <si>
    <t xml:space="preserve">AL2 -&gt; AL2023 migration wave 1 (internet-facing, crypto-adjacent)</t>
  </si>
  <si>
    <t xml:space="preserve">Migrate priority workloads using golden AMI; decommission AL2</t>
  </si>
  <si>
    <t xml:space="preserve">HD-03, HD-13</t>
  </si>
  <si>
    <t xml:space="preserve">ENG; KHE</t>
  </si>
  <si>
    <t xml:space="preserve">Linux migration</t>
  </si>
  <si>
    <t xml:space="preserve">Wave-1 AL2 retired</t>
  </si>
  <si>
    <t xml:space="preserve">AL2 FAQ</t>
  </si>
  <si>
    <t xml:space="preserve">HD-21</t>
  </si>
  <si>
    <t xml:space="preserve">Security Hub CSPM remediation sprints</t>
  </si>
  <si>
    <t xml:space="preserve">Burn down FSBP/CIS v5.0.0 failures by severity; suppressions only via exception register</t>
  </si>
  <si>
    <t xml:space="preserve">HD-10, MR-23</t>
  </si>
  <si>
    <t xml:space="preserve">AWS remediation</t>
  </si>
  <si>
    <t xml:space="preserve">Security Hub score &gt;= target</t>
  </si>
  <si>
    <t xml:space="preserve">Security Hub CSPM FSBP; CIS AWS v5.0.0</t>
  </si>
  <si>
    <t xml:space="preserve">HD-15</t>
  </si>
  <si>
    <t xml:space="preserve">AL2 migration wave 2 (to zero AL2)</t>
  </si>
  <si>
    <t xml:space="preserve">Remaining workloads; residual exceptions approved with expiry</t>
  </si>
  <si>
    <t xml:space="preserve">AL2 count = 0 or approved exceptions</t>
  </si>
  <si>
    <t xml:space="preserve">HD-25</t>
  </si>
  <si>
    <t xml:space="preserve">EKS on Fargate runtime-monitoring gap</t>
  </si>
  <si>
    <t xml:space="preserve">If Fargate in use: Falcon container sidecar or move workloads to EC2 nodes; IRSA (Pod Identity unsupported)</t>
  </si>
  <si>
    <t xml:space="preserve">MR-01B, HD-05</t>
  </si>
  <si>
    <t xml:space="preserve">EKS Fargate</t>
  </si>
  <si>
    <t xml:space="preserve">Fargate coverage decision + implementation</t>
  </si>
  <si>
    <t xml:space="preserve">GuardDuty Runtime Monitoring docs; EKS Pod Identity docs</t>
  </si>
  <si>
    <t xml:space="preserve">HD-18</t>
  </si>
  <si>
    <t xml:space="preserve">Container supply chain: signing and verification</t>
  </si>
  <si>
    <t xml:space="preserve">ECR managed signing (AWS Signer); tag immutability with exclusions; Inspector ECR; EKS admission verification; ECS: CI/CD signature gate; SBOM</t>
  </si>
  <si>
    <t xml:space="preserve">Supply chain security</t>
  </si>
  <si>
    <t xml:space="preserve">Signed-image enforcement</t>
  </si>
  <si>
    <t xml:space="preserve">ECR managed signing; SH ECR.1/.2/.3, Inspector.2</t>
  </si>
  <si>
    <t xml:space="preserve">HD-26</t>
  </si>
  <si>
    <t xml:space="preserve">Bottlerocket CIS evidence (if D-05 selects Bottlerocket)</t>
  </si>
  <si>
    <t xml:space="preserve">CIS Bottlerocket v1.0.0 report via Bottlerocket tooling (verify method); evidence to GRC platform</t>
  </si>
  <si>
    <t xml:space="preserve">HD-05, HD-16A</t>
  </si>
  <si>
    <t xml:space="preserve">Bottlerocket</t>
  </si>
  <si>
    <t xml:space="preserve">Bottlerocket CIS evidence</t>
  </si>
  <si>
    <t xml:space="preserve">CIS Bottlerocket v1.0.0</t>
  </si>
  <si>
    <t xml:space="preserve">HD-20</t>
  </si>
  <si>
    <t xml:space="preserve">Data-protection configuration</t>
  </si>
  <si>
    <t xml:space="preserve">KMS rotation; Secrets Manager rotation; Aurora encryption/deletion protection; OpenSearch FGAC/audit; SQS/SNS/Kinesis/EFS encryption; ACM</t>
  </si>
  <si>
    <t xml:space="preserve">PM-09B, ID-05</t>
  </si>
  <si>
    <t xml:space="preserve">AWS data services</t>
  </si>
  <si>
    <t xml:space="preserve">Data-protection controls passing</t>
  </si>
  <si>
    <t xml:space="preserve">SH KMS.4, SecretsManager.1, RDS.2/.3/.7/.8/.27, Opensearch.1/.3/.5/.7, SQS.1, SNS.1, Kinesis.1, EFS.8, ACM.1</t>
  </si>
  <si>
    <t xml:space="preserve">HD-30</t>
  </si>
  <si>
    <t xml:space="preserve">Macie sensitive-data discovery and data-perimeter validation</t>
  </si>
  <si>
    <t xml:space="preserve">Automated discovery on S3; validate RCP data perimeter</t>
  </si>
  <si>
    <t xml:space="preserve">HD-22, HD-10</t>
  </si>
  <si>
    <t xml:space="preserve">Data security</t>
  </si>
  <si>
    <t xml:space="preserve">Sensitive-data findings triaged</t>
  </si>
  <si>
    <t xml:space="preserve">Amazon Macie docs; CSF 2.0 ID.AM-07</t>
  </si>
  <si>
    <t xml:space="preserve">ID-10</t>
  </si>
  <si>
    <t xml:space="preserve">Enrol device-bound FIDO2 keys for admins</t>
  </si>
  <si>
    <t xml:space="preserve">Enrol, attestation enforced, spares, loss procedure (signers use hardware wallets - BC-11)</t>
  </si>
  <si>
    <t xml:space="preserve">ID-00, ID-03</t>
  </si>
  <si>
    <t xml:space="preserve">FIDO2</t>
  </si>
  <si>
    <t xml:space="preserve">100% admins enrolled</t>
  </si>
  <si>
    <t xml:space="preserve">Entra passkeys (FIDO2) docs</t>
  </si>
  <si>
    <t xml:space="preserve">ID-08</t>
  </si>
  <si>
    <t xml:space="preserve">Entra Conditional Access baseline in report-only</t>
  </si>
  <si>
    <t xml:space="preserve">Block legacy auth; MFA all; phishing-resistant strength for admins; compliant device for admins; break-glass excluded</t>
  </si>
  <si>
    <t xml:space="preserve">ID-01, ID-03, PM-09A</t>
  </si>
  <si>
    <t xml:space="preserve">Entra CA</t>
  </si>
  <si>
    <t xml:space="preserve">Report-only impact analysis</t>
  </si>
  <si>
    <t xml:space="preserve">Entra CA docs; CIS Controls 6.3-6.5</t>
  </si>
  <si>
    <t xml:space="preserve">ID-08B</t>
  </si>
  <si>
    <t xml:space="preserve">Enforce Conditional Access baseline (after freeze)</t>
  </si>
  <si>
    <t xml:space="preserve">Switch to On in waves; monitor sign-in failures; rollback criteria</t>
  </si>
  <si>
    <t xml:space="preserve">ID-08, ID-10</t>
  </si>
  <si>
    <t xml:space="preserve">CA baseline enforced</t>
  </si>
  <si>
    <t xml:space="preserve">Entra CA docs</t>
  </si>
  <si>
    <t xml:space="preserve">ID-11</t>
  </si>
  <si>
    <t xml:space="preserve">AWS IAM Identity Center build-out</t>
  </si>
  <si>
    <t xml:space="preserve">SCIM; permission sets; JIT per D-16; remove IAM users/keys; centralized root access (member accounts)</t>
  </si>
  <si>
    <t xml:space="preserve">ID-04, PM-09A</t>
  </si>
  <si>
    <t xml:space="preserve">No long-lived human IAM keys</t>
  </si>
  <si>
    <t xml:space="preserve">SH IAM.1/.2/.4/.6/.8/.22</t>
  </si>
  <si>
    <t xml:space="preserve">ID-13</t>
  </si>
  <si>
    <t xml:space="preserve">B2C hardening and step-up MFA on withdrawals</t>
  </si>
  <si>
    <t xml:space="preserve">MFA enforcement; step-up on withdrawals and payout-address change with API-side fresh auth_time check; out-of-band confirmation + cool-down; fraud/bot vendor (D-13)</t>
  </si>
  <si>
    <t xml:space="preserve">ID-06, PM-09B</t>
  </si>
  <si>
    <t xml:space="preserve">ISE; ENG</t>
  </si>
  <si>
    <t xml:space="preserve">B2C custom policies</t>
  </si>
  <si>
    <t xml:space="preserve">Step-up live; B2C logs in Splunk</t>
  </si>
  <si>
    <t xml:space="preserve">B2C claim resolvers; B2C Azure Monitor docs</t>
  </si>
  <si>
    <t xml:space="preserve">ID-12</t>
  </si>
  <si>
    <t xml:space="preserve">Workload identity rollout</t>
  </si>
  <si>
    <t xml:space="preserve">Pod Identity/IRSA; CI/CD OIDC; secret rotation</t>
  </si>
  <si>
    <t xml:space="preserve">ID-05, PM-09B</t>
  </si>
  <si>
    <t xml:space="preserve">AWS IAM</t>
  </si>
  <si>
    <t xml:space="preserve">No static cloud keys in CI/CD</t>
  </si>
  <si>
    <t xml:space="preserve">EKS Pod Identity; SH SecretsManager.1</t>
  </si>
  <si>
    <t xml:space="preserve">ID-09</t>
  </si>
  <si>
    <t xml:space="preserve">PIM: zero standing privileged access (Entra, Azure, PIM for Groups -&gt; AWS)</t>
  </si>
  <si>
    <t xml:space="preserve">Approval + MFA on activation; only break-glass permanent</t>
  </si>
  <si>
    <t xml:space="preserve">ID-08B, ID-11</t>
  </si>
  <si>
    <t xml:space="preserve">Entra PIM</t>
  </si>
  <si>
    <t xml:space="preserve">Standing admins = break-glass only</t>
  </si>
  <si>
    <t xml:space="preserve">Entra PIM; CIS Controls 5.4/6.8</t>
  </si>
  <si>
    <t xml:space="preserve">ID-16</t>
  </si>
  <si>
    <t xml:space="preserve">Workforce ID Protection: risk-based CA, risky service principals</t>
  </si>
  <si>
    <t xml:space="preserve">Per D-02 licensing; user/sign-in risk policies; risky SP review</t>
  </si>
  <si>
    <t xml:space="preserve">Entra ID Protection</t>
  </si>
  <si>
    <t xml:space="preserve">Risk-based CA live</t>
  </si>
  <si>
    <t xml:space="preserve">Entra ID Protection docs</t>
  </si>
  <si>
    <t xml:space="preserve">ID-14</t>
  </si>
  <si>
    <t xml:space="preserve">Customer identity roadmap: B2C to External ID (D-06)</t>
  </si>
  <si>
    <t xml:space="preserve">Gaps (no IEF; no ID Protection in external tenants; passkeys not enforceable by CA); JIT password migration; timeline before May 2030</t>
  </si>
  <si>
    <t xml:space="preserve">CIAM strategy</t>
  </si>
  <si>
    <t xml:space="preserve">D-06 roadmap</t>
  </si>
  <si>
    <t xml:space="preserve">External ID migration docs</t>
  </si>
  <si>
    <t xml:space="preserve">ID-15</t>
  </si>
  <si>
    <t xml:space="preserve">Wallet sign-in hardening implementation</t>
  </si>
  <si>
    <t xml:space="preserve">Implement verifier, nonce store, EIP-1271; tests; monitoring</t>
  </si>
  <si>
    <t xml:space="preserve">Hardened wallet sign-in</t>
  </si>
  <si>
    <t xml:space="preserve">EIP-4361; EIP-1271</t>
  </si>
  <si>
    <t xml:space="preserve">ID-17</t>
  </si>
  <si>
    <t xml:space="preserve">Token-theft protections</t>
  </si>
  <si>
    <t xml:space="preserve">Continuous Access Evaluation; token protection; admin sign-in frequency; privileged access workstation decision</t>
  </si>
  <si>
    <t xml:space="preserve">Entra session security</t>
  </si>
  <si>
    <t xml:space="preserve">Token protections live</t>
  </si>
  <si>
    <t xml:space="preserve">Entra CAE/token protection docs</t>
  </si>
  <si>
    <t xml:space="preserve">ID-19</t>
  </si>
  <si>
    <t xml:space="preserve">Helpdesk and account-recovery fraud controls</t>
  </si>
  <si>
    <t xml:space="preserve">Workforce and B2C support: identity verification, recovery cool-downs, alerts</t>
  </si>
  <si>
    <t xml:space="preserve">PM-05, ID-13</t>
  </si>
  <si>
    <t xml:space="preserve">ISE; HRB</t>
  </si>
  <si>
    <t xml:space="preserve">Identity proofing</t>
  </si>
  <si>
    <t xml:space="preserve">Recovery procedures</t>
  </si>
  <si>
    <t xml:space="preserve">CIS Controls 5/6; OWASP ASVS</t>
  </si>
  <si>
    <t xml:space="preserve">MR-07</t>
  </si>
  <si>
    <t xml:space="preserve">Onboard telemetry to Splunk</t>
  </si>
  <si>
    <t xml:space="preserve">AWS, Security Hub OCSF, GuardDuty, VPC/WAF/NFW, EKS audit, Entra, B2C, CrowdStrike; data-quality checks</t>
  </si>
  <si>
    <t xml:space="preserve">MR-03, PM-09A, MR-23</t>
  </si>
  <si>
    <t xml:space="preserve">Splunk onboarding</t>
  </si>
  <si>
    <t xml:space="preserve">Log source register 100% green</t>
  </si>
  <si>
    <t xml:space="preserve">Splunkbase 1876/8642/3110/5082</t>
  </si>
  <si>
    <t xml:space="preserve">MR-24</t>
  </si>
  <si>
    <t xml:space="preserve">Detection-as-code CI pipeline</t>
  </si>
  <si>
    <t xml:space="preserve">contentctl build/test, peer review, version control, deployment</t>
  </si>
  <si>
    <t xml:space="preserve">Detection CI live</t>
  </si>
  <si>
    <t xml:space="preserve">Splunk contentctl</t>
  </si>
  <si>
    <t xml:space="preserve">MR-11</t>
  </si>
  <si>
    <t xml:space="preserve">MDR onboarding in phases (EDR/GuardDuty/Entra first, Splunk notables after MR-07)</t>
  </si>
  <si>
    <t xml:space="preserve">Log access; runbooks; escalation matrix incl. on-chain; hand-off tests; holiday cover</t>
  </si>
  <si>
    <t xml:space="preserve">MR-02, MR-00</t>
  </si>
  <si>
    <t xml:space="preserve">MDR</t>
  </si>
  <si>
    <t xml:space="preserve">24/7 MDR live</t>
  </si>
  <si>
    <t xml:space="preserve">CSF 2.0 DE.CM/RS.MA</t>
  </si>
  <si>
    <t xml:space="preserve">MR-12</t>
  </si>
  <si>
    <t xml:space="preserve">Backup and DR implementation</t>
  </si>
  <si>
    <t xml:space="preserve">Org backup policies; LAG vault; Aurora configuration; vault lock</t>
  </si>
  <si>
    <t xml:space="preserve">MR-06, PM-09B</t>
  </si>
  <si>
    <t xml:space="preserve">AWS Backup</t>
  </si>
  <si>
    <t xml:space="preserve">Backups compliant</t>
  </si>
  <si>
    <t xml:space="preserve">SH Backup.1/RDS.11; AWS Backup LAG vault</t>
  </si>
  <si>
    <t xml:space="preserve">MR-13</t>
  </si>
  <si>
    <t xml:space="preserve">On-chain monitoring deployment (production)</t>
  </si>
  <si>
    <t xml:space="preserve">Privileged-role/upgrade events, Safe/Squads proposals and config-authority changes, spending-limit use, large transfers, stake authority/commission/lockup changes, EIP-7002 requests, oracle deviation; to Splunk/SOAR/pager</t>
  </si>
  <si>
    <t xml:space="preserve">BC-09, BC-05, MR-03</t>
  </si>
  <si>
    <t xml:space="preserve">On-chain monitors live</t>
  </si>
  <si>
    <t xml:space="preserve">SEAL Monitoring framework</t>
  </si>
  <si>
    <t xml:space="preserve">MR-14</t>
  </si>
  <si>
    <t xml:space="preserve">Staking monitoring per chain</t>
  </si>
  <si>
    <t xml:space="preserve">ETH: effectiveness, missed attestations, slashing, credential/7002 events; SOL: post-Alpenglow participation metrics (definitions to verify with Anza), delinquency, reward deltas, authority/commission changes</t>
  </si>
  <si>
    <t xml:space="preserve">BC-07, MR-13</t>
  </si>
  <si>
    <t xml:space="preserve">BSE; CSO</t>
  </si>
  <si>
    <t xml:space="preserve">Staking ops</t>
  </si>
  <si>
    <t xml:space="preserve">Staking dashboards + alerts</t>
  </si>
  <si>
    <t xml:space="preserve">BSSC NOS v2; solana.com/upgrades/alpenglow</t>
  </si>
  <si>
    <t xml:space="preserve">MR-08</t>
  </si>
  <si>
    <t xml:space="preserve">Detection wave 1: identity and control plane</t>
  </si>
  <si>
    <t xml:space="preserve">Break-glass sign-in; CA/PIM changes; app consent; root use; SCP/CloudTrail tamper; IAM key creation; GuardDuty high/critical</t>
  </si>
  <si>
    <t xml:space="preserve">MR-07, MR-24, MR-04</t>
  </si>
  <si>
    <t xml:space="preserve">Wave-1 detections in prod</t>
  </si>
  <si>
    <t xml:space="preserve">MITRE ATT&amp;CK; ESCU</t>
  </si>
  <si>
    <t xml:space="preserve">MR-20</t>
  </si>
  <si>
    <t xml:space="preserve">Splunk RBAC, log integrity and silent-source alerts</t>
  </si>
  <si>
    <t xml:space="preserve">Role-based access; index integrity; alerts when a source stops sending</t>
  </si>
  <si>
    <t xml:space="preserve">Splunk administration</t>
  </si>
  <si>
    <t xml:space="preserve">Integrity + silent-source alerts</t>
  </si>
  <si>
    <t xml:space="preserve">SOC 2 CC7.2; CIS Controls 8</t>
  </si>
  <si>
    <t xml:space="preserve">MR-09</t>
  </si>
  <si>
    <t xml:space="preserve">Detection wave 2: workload, Kubernetes, EDR, exfiltration</t>
  </si>
  <si>
    <t xml:space="preserve">EKS audit anomalies; runtime; CrowdStrike correlations; S3/RDS exfil; WAF</t>
  </si>
  <si>
    <t xml:space="preserve">ISE; CSE</t>
  </si>
  <si>
    <t xml:space="preserve">Wave-2 detections in prod</t>
  </si>
  <si>
    <t xml:space="preserve">MITRE ATT&amp;CK Containers/Cloud</t>
  </si>
  <si>
    <t xml:space="preserve">MR-10</t>
  </si>
  <si>
    <t xml:space="preserve">SOAR playbooks (Splunk SOAR) and automation identity lockdown</t>
  </si>
  <si>
    <t xml:space="preserve">Enrichment; account disable; instance isolation; on-chain alert triage; Python 3.13; least-privilege SOAR/MDR identities</t>
  </si>
  <si>
    <t xml:space="preserve">Splunk SOAR</t>
  </si>
  <si>
    <t xml:space="preserve">Playbooks in prod</t>
  </si>
  <si>
    <t xml:space="preserve">Splunk SOAR release notes; NIST SP 800-61r3</t>
  </si>
  <si>
    <t xml:space="preserve">GC-19</t>
  </si>
  <si>
    <t xml:space="preserve">Business continuity and crisis communications plan</t>
  </si>
  <si>
    <t xml:space="preserve">From BIA; crisis comms (customers, partners, regulators if any); vendor-failure scenarios (custody, staking, RPC)</t>
  </si>
  <si>
    <t xml:space="preserve">GC-18, MR-05</t>
  </si>
  <si>
    <t xml:space="preserve">PL; GRC</t>
  </si>
  <si>
    <t xml:space="preserve">Approved BCP + crisis comms</t>
  </si>
  <si>
    <t xml:space="preserve">NIST CSF 2.0 RC.CO; ISO 27001 A.5.29-5.30</t>
  </si>
  <si>
    <t xml:space="preserve">BC-14</t>
  </si>
  <si>
    <t xml:space="preserve">Glamsterdam remediation and hard-fork readiness runbook</t>
  </si>
  <si>
    <t xml:space="preserve">Fix gas-dependent code; Hoodi regression; fork runbook (monitoring, pause criteria, provider readiness)</t>
  </si>
  <si>
    <t xml:space="preserve">EVM</t>
  </si>
  <si>
    <t xml:space="preserve">Fork runbook + regression results</t>
  </si>
  <si>
    <t xml:space="preserve">Glamsterdam testnet &amp; repricing posts</t>
  </si>
  <si>
    <t xml:space="preserve">BC-30</t>
  </si>
  <si>
    <t xml:space="preserve">Oracle risk review</t>
  </si>
  <si>
    <t xml:space="preserve">Price-feed sources, staleness/deviation checks, manipulation resistance</t>
  </si>
  <si>
    <t xml:space="preserve">DeFi security</t>
  </si>
  <si>
    <t xml:space="preserve">OWASP SC Top 10 2026</t>
  </si>
  <si>
    <t xml:space="preserve">BC-12</t>
  </si>
  <si>
    <t xml:space="preserve">Custody policy-engine configuration and co-signer hardening</t>
  </si>
  <si>
    <t xml:space="preserve">Allowlists; velocity limits; hot-wallet caps (D-14); approver separation; co-signer host hardening; reject EIP-7702 (type-4) txs</t>
  </si>
  <si>
    <t xml:space="preserve">BC-06, PM-04</t>
  </si>
  <si>
    <t xml:space="preserve">MPC custody</t>
  </si>
  <si>
    <t xml:space="preserve">Policy-engine config evidence</t>
  </si>
  <si>
    <t xml:space="preserve">CCSS v9.0; BSSC KMS; EIP-7702</t>
  </si>
  <si>
    <t xml:space="preserve">BC-13</t>
  </si>
  <si>
    <t xml:space="preserve">Secure SDLC implementation incl. verified builds</t>
  </si>
  <si>
    <t xml:space="preserve">CI gates per BC-08; solana-verify verified builds; IDL authority to Vault; contract source verification; code owners</t>
  </si>
  <si>
    <t xml:space="preserve">CI/CD, smart contracts</t>
  </si>
  <si>
    <t xml:space="preserve">SSDLC gates enforced</t>
  </si>
  <si>
    <t xml:space="preserve">NIST SSDF v1.1; OWASP SC Top 10 2026</t>
  </si>
  <si>
    <t xml:space="preserve">BC-23</t>
  </si>
  <si>
    <t xml:space="preserve">Anchor 1.x migration (or documented decision to stay)</t>
  </si>
  <si>
    <t xml:space="preserve">Assess breaking changes; migrate before code freeze; tests</t>
  </si>
  <si>
    <t xml:space="preserve">Anchor</t>
  </si>
  <si>
    <t xml:space="preserve">Migrated programs or decision record</t>
  </si>
  <si>
    <t xml:space="preserve">Anchor releases (v1.2.1)</t>
  </si>
  <si>
    <t xml:space="preserve">BC-26</t>
  </si>
  <si>
    <t xml:space="preserve">Deployer key and upgrade-path hygiene</t>
  </si>
  <si>
    <t xml:space="preserve">Deployer EOAs retired; Solana buffer accounts closed; ProxyAdmin/Ownable owners -&gt; multisig; deploy+initialise atomically</t>
  </si>
  <si>
    <t xml:space="preserve">Smart-contract ops</t>
  </si>
  <si>
    <t xml:space="preserve">Deployer hygiene record</t>
  </si>
  <si>
    <t xml:space="preserve">SEAL Multisig framework; BSSC SCS</t>
  </si>
  <si>
    <t xml:space="preserve">BC-10</t>
  </si>
  <si>
    <t xml:space="preserve">Privileged on-chain roles under multisig and timelock (role matrix)</t>
  </si>
  <si>
    <t xml:space="preserve">Role matrix: upgrades/admin timelocked; pause guardian lower threshold without timelock; canceller role; per-contract immutable-vs-timelocked decision; Safe upgrade to 1.5.0 before delegatecall guard (fork-tested, removable); Squads config authority to Vault; CUKC approval</t>
  </si>
  <si>
    <t xml:space="preserve">BC-05, PM-09B, MR-13, GC-02</t>
  </si>
  <si>
    <t xml:space="preserve">Safe/Squads</t>
  </si>
  <si>
    <t xml:space="preserve">100% upgrade/admin roles under multisig+timelock</t>
  </si>
  <si>
    <t xml:space="preserve">SEAL Multisig framework; BSSC KMS; Safe 1.5.0</t>
  </si>
  <si>
    <t xml:space="preserve">BC-19</t>
  </si>
  <si>
    <t xml:space="preserve">Staking oversight changes (only after monitoring live)</t>
  </si>
  <si>
    <t xml:space="preserve">Contract amendments: withdrawal-address ownership, exit SLA, reporting; 0x00/provider-owned 0x01 remediation; consolidations via CUKC</t>
  </si>
  <si>
    <t xml:space="preserve">MR-14, BC-07</t>
  </si>
  <si>
    <t xml:space="preserve">Staking contracts</t>
  </si>
  <si>
    <t xml:space="preserve">Amended provider agreement</t>
  </si>
  <si>
    <t xml:space="preserve">EIP-7251; BSSC NOS v2</t>
  </si>
  <si>
    <t xml:space="preserve">BC-11</t>
  </si>
  <si>
    <t xml:space="preserve">Signer operations hardening</t>
  </si>
  <si>
    <t xml:space="preserve">Dedicated signing devices; clear signing on hardware wallets; independent tx-hash verification; EIP-7702 delegation ban; signer drills</t>
  </si>
  <si>
    <t xml:space="preserve">BC-06, ID-00</t>
  </si>
  <si>
    <t xml:space="preserve">Signer ops</t>
  </si>
  <si>
    <t xml:space="preserve">Signer SOP + drill record</t>
  </si>
  <si>
    <t xml:space="preserve">SEAL Wallet Security; Bybit post-mortem lessons</t>
  </si>
  <si>
    <t xml:space="preserve">BC-15</t>
  </si>
  <si>
    <t xml:space="preserve">Code freeze for audit scope</t>
  </si>
  <si>
    <t xml:space="preserve">Freeze commit hashes incl. timelock/guard configuration; scope doc to auditor</t>
  </si>
  <si>
    <t xml:space="preserve">BC-13, BC-14, BC-23, BC-10, PM-03</t>
  </si>
  <si>
    <t xml:space="preserve">Release mgmt</t>
  </si>
  <si>
    <t xml:space="preserve">Frozen audit scope</t>
  </si>
  <si>
    <t xml:space="preserve">BSSC SCS</t>
  </si>
  <si>
    <t xml:space="preserve">BC-21</t>
  </si>
  <si>
    <t xml:space="preserve">On-chain IR playbooks and war-room</t>
  </si>
  <si>
    <t xml:space="preserve">Pause/guardian; key or signer compromise; front-end/domain hijack; SEAL 911 contact verified via official channel; comms</t>
  </si>
  <si>
    <t xml:space="preserve">MR-05, BC-10</t>
  </si>
  <si>
    <t xml:space="preserve">On-chain IR</t>
  </si>
  <si>
    <t xml:space="preserve">On-chain playbooks</t>
  </si>
  <si>
    <t xml:space="preserve">SEAL Incident Mgmt; NIST SP 800-61r3</t>
  </si>
  <si>
    <t xml:space="preserve">BC-25</t>
  </si>
  <si>
    <t xml:space="preserve">dApp front-end and domain integrity</t>
  </si>
  <si>
    <t xml:space="preserve">Registrar lock, DNSSEC, CAA; FIDO2 on registrar/CDN/DNS accounts; CloudFront/Shield; CSP + SRI; pinned npm deps; script-change monitoring; security.txt + vulnerability disclosure policy</t>
  </si>
  <si>
    <t xml:space="preserve">Web/DNS security</t>
  </si>
  <si>
    <t xml:space="preserve">Front-end integrity controls</t>
  </si>
  <si>
    <t xml:space="preserve">SEAL Frameworks; OWASP ASVS; RFC 9116</t>
  </si>
  <si>
    <t xml:space="preserve">GC-23</t>
  </si>
  <si>
    <t xml:space="preserve">OFAC wallet screening and geo-blocking</t>
  </si>
  <si>
    <t xml:space="preserve">Screen counterparties/wallets (vendor with Solana + Ethereum coverage confirmed); geo-block sanctioned jurisdictions on front-ends</t>
  </si>
  <si>
    <t xml:space="preserve">Sanctions compliance</t>
  </si>
  <si>
    <t xml:space="preserve">Screening + geo-blocking live</t>
  </si>
  <si>
    <t xml:space="preserve">OFAC VC guidance (Oct 2021)</t>
  </si>
  <si>
    <t xml:space="preserve">GC-10</t>
  </si>
  <si>
    <t xml:space="preserve">Security awareness and role-based training</t>
  </si>
  <si>
    <t xml:space="preserve">All-staff; phishing simulation; signer training; secure coding (Solidity/Rust); IR roles</t>
  </si>
  <si>
    <t xml:space="preserve">BSE; ISE</t>
  </si>
  <si>
    <t xml:space="preserve">Training</t>
  </si>
  <si>
    <t xml:space="preserve">Training completion &gt;=95%</t>
  </si>
  <si>
    <t xml:space="preserve">SOC 2 CC2.2; ISO 27001 A.6.3</t>
  </si>
  <si>
    <t xml:space="preserve">GC-11</t>
  </si>
  <si>
    <t xml:space="preserve">HR security controls</t>
  </si>
  <si>
    <t xml:space="preserve">Background checks; JML SLAs with Entra lifecycle; DPRK IT-worker screening; contractor access; code of conduct</t>
  </si>
  <si>
    <t xml:space="preserve">HRB</t>
  </si>
  <si>
    <t xml:space="preserve">GRC; ISE</t>
  </si>
  <si>
    <t xml:space="preserve">HR security</t>
  </si>
  <si>
    <t xml:space="preserve">HR control evidence</t>
  </si>
  <si>
    <t xml:space="preserve">SOC 2 CC1.4; SEAL DPRK IT Workers; ISO 27001 A.6</t>
  </si>
  <si>
    <t xml:space="preserve">GC-26</t>
  </si>
  <si>
    <t xml:space="preserve">Records retention and legal hold</t>
  </si>
  <si>
    <t xml:space="preserve">Retention schedule (logs, tickets, evidence, comms); legal-hold procedure</t>
  </si>
  <si>
    <t xml:space="preserve">Records management</t>
  </si>
  <si>
    <t xml:space="preserve">Retention schedule + legal hold</t>
  </si>
  <si>
    <t xml:space="preserve">ISO 27001 A.5.33; SOC 2 C1.2</t>
  </si>
  <si>
    <t xml:space="preserve">GC-27</t>
  </si>
  <si>
    <t xml:space="preserve">Cyber insurance review</t>
  </si>
  <si>
    <t xml:space="preserve">Coverage incl. crypto-asset exclusions, incident response panel, vendor requirements</t>
  </si>
  <si>
    <t xml:space="preserve">Insurance</t>
  </si>
  <si>
    <t xml:space="preserve">Insurance gap memo</t>
  </si>
  <si>
    <t xml:space="preserve">NIST CSF 2.0 GV.RM-04</t>
  </si>
  <si>
    <t xml:space="preserve">GC-28</t>
  </si>
  <si>
    <t xml:space="preserve">Vendor exit plans (custody, staking, RPC, MDR, Splunk)</t>
  </si>
  <si>
    <t xml:space="preserve">Exit/transition plans; MPC key-recovery drill; data return</t>
  </si>
  <si>
    <t xml:space="preserve">GC-06, BC-06</t>
  </si>
  <si>
    <t xml:space="preserve">Exit plans + recovery drill record</t>
  </si>
  <si>
    <t xml:space="preserve">ISO 27001 A.5.19-5.23; DORA Art 28 (benchmark)</t>
  </si>
  <si>
    <t xml:space="preserve">PM-13</t>
  </si>
  <si>
    <t xml:space="preserve">Evergreen operating model live before SOC 2 period</t>
  </si>
  <si>
    <t xml:space="preserve">Operating calendar; audit evidence calendar; trigger procedures; control-health dashboard; exception expiry; contractor-dependency KRI</t>
  </si>
  <si>
    <t xml:space="preserve">GC-09, GC-12</t>
  </si>
  <si>
    <t xml:space="preserve">PL; PMC</t>
  </si>
  <si>
    <t xml:space="preserve">GRC operations</t>
  </si>
  <si>
    <t xml:space="preserve">Evergreen calendar + dashboards</t>
  </si>
  <si>
    <t xml:space="preserve">ISO 27001 9-10; CSF 2.0 GV.OV</t>
  </si>
  <si>
    <t xml:space="preserve">P4 Monitor &amp; Validate</t>
  </si>
  <si>
    <t xml:space="preserve">Gate 2 - Design complete / critical exposures closed (W15)</t>
  </si>
  <si>
    <t xml:space="preserve">Criteria in Overview</t>
  </si>
  <si>
    <t xml:space="preserve">PM-09A, PM-09B, HD-10, ID-08B, MR-07, MR-13, BC-12, HD-12, HD-16A, GC-04, GC-05, GC-06, GC-12, MR-11</t>
  </si>
  <si>
    <t xml:space="preserve">Signed Gate 2 minute</t>
  </si>
  <si>
    <t xml:space="preserve">BC-16</t>
  </si>
  <si>
    <t xml:space="preserve">Smart-contract audit (Ethereum + Solana, parallel teams)</t>
  </si>
  <si>
    <t xml:space="preserve">External audit of frozen scope incl. timelock/guard config; daily triage</t>
  </si>
  <si>
    <t xml:space="preserve">SCA</t>
  </si>
  <si>
    <t xml:space="preserve">Smart-contract audit</t>
  </si>
  <si>
    <t xml:space="preserve">Audit report (preliminary)</t>
  </si>
  <si>
    <t xml:space="preserve">OWASP SC Top 10 2026; BSSC SCS</t>
  </si>
  <si>
    <t xml:space="preserve">BC-31</t>
  </si>
  <si>
    <t xml:space="preserve">RPC provider security and redundancy</t>
  </si>
  <si>
    <t xml:space="preserve">At least two RPC providers; auth keys in Secrets Manager; response-integrity checks for monitoring</t>
  </si>
  <si>
    <t xml:space="preserve">Infrastructure</t>
  </si>
  <si>
    <t xml:space="preserve">RPC redundancy live</t>
  </si>
  <si>
    <t xml:space="preserve">BSSC NOS v2</t>
  </si>
  <si>
    <t xml:space="preserve">BC-20</t>
  </si>
  <si>
    <t xml:space="preserve">Crypto-agility and post-quantum roadmap</t>
  </si>
  <si>
    <t xml:space="preserve">Crypto inventory (secp256k1, Ed25519, TLS, KMS); vendor PQ roadmaps; NIST IR 8547 (draft) timeline</t>
  </si>
  <si>
    <t xml:space="preserve">BC-06, BC-07</t>
  </si>
  <si>
    <t xml:space="preserve">Cryptography</t>
  </si>
  <si>
    <t xml:space="preserve">Crypto-agility roadmap</t>
  </si>
  <si>
    <t xml:space="preserve">FIPS 203/204/205; NIST IR 8547 ipd</t>
  </si>
  <si>
    <t xml:space="preserve">BC-29</t>
  </si>
  <si>
    <t xml:space="preserve">Treasury segregation, approvals hygiene, address-poisoning controls</t>
  </si>
  <si>
    <t xml:space="preserve">Segregate treasury/hot/ops wallets; revoke stale token approvals/Permit2; address allowlists</t>
  </si>
  <si>
    <t xml:space="preserve">Treasury ops</t>
  </si>
  <si>
    <t xml:space="preserve">Treasury hygiene record</t>
  </si>
  <si>
    <t xml:space="preserve">CCSS v9.0; SEAL Treasury Ops</t>
  </si>
  <si>
    <t xml:space="preserve">MR-19</t>
  </si>
  <si>
    <t xml:space="preserve">DR restore test</t>
  </si>
  <si>
    <t xml:space="preserve">Restore Aurora, EKS workloads, S3 from LAG vault; measure RTO/RPO vs BIA</t>
  </si>
  <si>
    <t xml:space="preserve">DR</t>
  </si>
  <si>
    <t xml:space="preserve">Restore test evidence</t>
  </si>
  <si>
    <t xml:space="preserve">CSF 2.0 RC.RP; SOC 2 A1.3</t>
  </si>
  <si>
    <t xml:space="preserve">GC-21</t>
  </si>
  <si>
    <t xml:space="preserve">Corrective-action log and management review</t>
  </si>
  <si>
    <t xml:space="preserve">Management review of ISMS-lite; corrective actions tracked to closure</t>
  </si>
  <si>
    <t xml:space="preserve">GC-12, PM-06</t>
  </si>
  <si>
    <t xml:space="preserve">Management system</t>
  </si>
  <si>
    <t xml:space="preserve">Management review minutes + CAPA log</t>
  </si>
  <si>
    <t xml:space="preserve">ISO 27001 9.3/10.2</t>
  </si>
  <si>
    <t xml:space="preserve">BC-28</t>
  </si>
  <si>
    <t xml:space="preserve">Mainnet-fork pause/guardian drill</t>
  </si>
  <si>
    <t xml:space="preserve">Timed drill of pause paths on a mainnet fork (EVM) and devnet/local validator (Solana)</t>
  </si>
  <si>
    <t xml:space="preserve">BC-10, BC-21</t>
  </si>
  <si>
    <t xml:space="preserve">Drill record vs time-to-pause target</t>
  </si>
  <si>
    <t xml:space="preserve">SEAL Incident Mgmt</t>
  </si>
  <si>
    <t xml:space="preserve">MR-15</t>
  </si>
  <si>
    <t xml:space="preserve">Detection validation / purple team</t>
  </si>
  <si>
    <t xml:space="preserve">Atomic tests; ATT&amp;CK coverage; tuning; MTTD/MTTA measurement</t>
  </si>
  <si>
    <t xml:space="preserve">MR-09, MR-10</t>
  </si>
  <si>
    <t xml:space="preserve">ISE; MDR</t>
  </si>
  <si>
    <t xml:space="preserve">Purple teaming</t>
  </si>
  <si>
    <t xml:space="preserve">Validation report</t>
  </si>
  <si>
    <t xml:space="preserve">MITRE ATT&amp;CK</t>
  </si>
  <si>
    <t xml:space="preserve">GC-13</t>
  </si>
  <si>
    <t xml:space="preserve">SOC 2 readiness assessment (independent firm)</t>
  </si>
  <si>
    <t xml:space="preserve">Walkthroughs; design and evidence gaps</t>
  </si>
  <si>
    <t xml:space="preserve">GC-05, GC-07, GC-09, GC-12, PM-13</t>
  </si>
  <si>
    <t xml:space="preserve">RDA</t>
  </si>
  <si>
    <t xml:space="preserve">SOC 2 readiness</t>
  </si>
  <si>
    <t xml:space="preserve">Readiness report</t>
  </si>
  <si>
    <t xml:space="preserve">MR-16</t>
  </si>
  <si>
    <t xml:space="preserve">Penetration test (cloud, EKS, dApp front-end, wallet sign-in, B2C step-up)</t>
  </si>
  <si>
    <t xml:space="preserve">Rules of engagement; daily findings</t>
  </si>
  <si>
    <t xml:space="preserve">HD-17, HD-19, ID-13, ID-15, PM-03</t>
  </si>
  <si>
    <t xml:space="preserve">PEN</t>
  </si>
  <si>
    <t xml:space="preserve">Pentest</t>
  </si>
  <si>
    <t xml:space="preserve">Pentest report</t>
  </si>
  <si>
    <t xml:space="preserve">OWASP WSTG; CIS Controls 18</t>
  </si>
  <si>
    <t xml:space="preserve">GC-14</t>
  </si>
  <si>
    <t xml:space="preserve">SOC 2 readiness remediation</t>
  </si>
  <si>
    <t xml:space="preserve">Close gaps; finalise system description</t>
  </si>
  <si>
    <t xml:space="preserve">GRCC; CSE; ISE; BSE</t>
  </si>
  <si>
    <t xml:space="preserve">Gaps closed</t>
  </si>
  <si>
    <t xml:space="preserve">MR-18</t>
  </si>
  <si>
    <t xml:space="preserve">Tabletop exercises</t>
  </si>
  <si>
    <t xml:space="preserve">Cloud ransomware; identity compromise; Drift-style multisig attack; exec participation</t>
  </si>
  <si>
    <t xml:space="preserve">MR-05, BC-21, MR-11</t>
  </si>
  <si>
    <t xml:space="preserve">BSE; PL; MDR</t>
  </si>
  <si>
    <t xml:space="preserve">Exercise design</t>
  </si>
  <si>
    <t xml:space="preserve">After-action reports</t>
  </si>
  <si>
    <t xml:space="preserve">NIST SP 800-61r3; SEAL</t>
  </si>
  <si>
    <t xml:space="preserve">Gate 3 - Build complete (W20)</t>
  </si>
  <si>
    <t xml:space="preserve">BC-10, MR-09, MR-11, MR-16, BC-16, HD-17, MR-19, PM-10, GC-13, HD-16B</t>
  </si>
  <si>
    <t xml:space="preserve">Signed Gate 3 minute</t>
  </si>
  <si>
    <t xml:space="preserve">MR-17</t>
  </si>
  <si>
    <t xml:space="preserve">Pentest remediation and retest</t>
  </si>
  <si>
    <t xml:space="preserve">Fix criticals/highs; retest</t>
  </si>
  <si>
    <t xml:space="preserve">PEN; ENG</t>
  </si>
  <si>
    <t xml:space="preserve">Remediation</t>
  </si>
  <si>
    <t xml:space="preserve">Retest letter</t>
  </si>
  <si>
    <t xml:space="preserve">CIS Controls 18</t>
  </si>
  <si>
    <t xml:space="preserve">BC-17</t>
  </si>
  <si>
    <t xml:space="preserve">Audit remediation and fix review</t>
  </si>
  <si>
    <t xml:space="preserve">Fix findings; auditor fix review; redeploy via multisig/timelock with verified builds</t>
  </si>
  <si>
    <t xml:space="preserve">SCA; BSC; ENG</t>
  </si>
  <si>
    <t xml:space="preserve">Smart contracts</t>
  </si>
  <si>
    <t xml:space="preserve">Final audit report + fix review</t>
  </si>
  <si>
    <t xml:space="preserve">PM-12</t>
  </si>
  <si>
    <t xml:space="preserve">P5 Operationalize &amp; Handover</t>
  </si>
  <si>
    <t xml:space="preserve">Runbooks and BAU handover per workstream</t>
  </si>
  <si>
    <t xml:space="preserve">Runbooks; owner acceptance; contractor knowledge transfer; contractor access revoked</t>
  </si>
  <si>
    <t xml:space="preserve">CSE; ISE; BSE; GRC; PMC</t>
  </si>
  <si>
    <t xml:space="preserve">Transition management</t>
  </si>
  <si>
    <t xml:space="preserve">Signed handover acceptance</t>
  </si>
  <si>
    <t xml:space="preserve">ISO 27001 A.5.37</t>
  </si>
  <si>
    <t xml:space="preserve">PM-14</t>
  </si>
  <si>
    <t xml:space="preserve">KPI baseline vs target and dashboard</t>
  </si>
  <si>
    <t xml:space="preserve">Populate KPI tab; automated feeds from Security Hub, Splunk, GRC platform, on-chain monitor</t>
  </si>
  <si>
    <t xml:space="preserve">MR-15, PM-11</t>
  </si>
  <si>
    <t xml:space="preserve">DET; GRC</t>
  </si>
  <si>
    <t xml:space="preserve">Metrics</t>
  </si>
  <si>
    <t xml:space="preserve">KPI dashboard</t>
  </si>
  <si>
    <t xml:space="preserve">CSF 2.0 GV.OV/ID.IM</t>
  </si>
  <si>
    <t xml:space="preserve">GC-15</t>
  </si>
  <si>
    <t xml:space="preserve">SOC 2 Type I (as-of Sun 21 Mar 2027) and Type II period start (Mon 22 Mar 2027)</t>
  </si>
  <si>
    <t xml:space="preserve">Engagement letter with period dates; CPA fieldwork; first in-period evidence for every recurring control; Type II report targeted after a 3-6 month period (confirm with CPA)</t>
  </si>
  <si>
    <t xml:space="preserve">CPA</t>
  </si>
  <si>
    <t xml:space="preserve">SOC 2 attestation</t>
  </si>
  <si>
    <t xml:space="preserve">Type I report (draft) + Type II period running</t>
  </si>
  <si>
    <t xml:space="preserve">AICPA SOC 2; TSC 2017 (2022 PoF)</t>
  </si>
  <si>
    <t xml:space="preserve">GC-16</t>
  </si>
  <si>
    <t xml:space="preserve">Independent assurance review (third line)</t>
  </si>
  <si>
    <t xml:space="preserve">Outsourced IA tests 1st- and 2nd-line controls (risk, exceptions, TPRM, policy lifecycle, change, access); reports to Board/Audit Committee</t>
  </si>
  <si>
    <t xml:space="preserve">GC-12, GC-14</t>
  </si>
  <si>
    <t xml:space="preserve">IA</t>
  </si>
  <si>
    <t xml:space="preserve">Internal audit</t>
  </si>
  <si>
    <t xml:space="preserve">IA report</t>
  </si>
  <si>
    <t xml:space="preserve">IIA Three Lines; ISO 27001 9.2</t>
  </si>
  <si>
    <t xml:space="preserve">BC-18</t>
  </si>
  <si>
    <t xml:space="preserve">Bug bounty and SEAL Safe Harbor decision (D-09)</t>
  </si>
  <si>
    <t xml:space="preserve">Bounty scope/rewards; platform; Safe Harbor chain coverage incl. Solana confirmed with SEAL</t>
  </si>
  <si>
    <t xml:space="preserve">PL; LEG</t>
  </si>
  <si>
    <t xml:space="preserve">Bug bounty</t>
  </si>
  <si>
    <t xml:space="preserve">Live bounty + D-09</t>
  </si>
  <si>
    <t xml:space="preserve">SEAL Safe Harbor; Immunefi</t>
  </si>
  <si>
    <t xml:space="preserve">PM-15</t>
  </si>
  <si>
    <t xml:space="preserve">Lessons learned and next-year roadmap</t>
  </si>
  <si>
    <t xml:space="preserve">External ID migration, Type II report (Q3 2027), CIS v7.1 deltas, Glamsterdam mainnet, PQ roadmap</t>
  </si>
  <si>
    <t xml:space="preserve">PM-12, ID-14</t>
  </si>
  <si>
    <t xml:space="preserve">Planning</t>
  </si>
  <si>
    <t xml:space="preserve">FY roadmap</t>
  </si>
  <si>
    <t xml:space="preserve">CSF 2.0 ID.IM</t>
  </si>
  <si>
    <t xml:space="preserve">Gate 4 - Program close and BAU acceptance (W26)</t>
  </si>
  <si>
    <t xml:space="preserve">PM-12, PM-13, PM-14, PM-15, GC-15, GC-16, BC-18, MR-17, MR-18, HD-15, HD-21, HD-18, HD-25, HD-26, ID-09, ID-16, ID-17, ID-19, GC-21, BC-28, BC-29, GC-28</t>
  </si>
  <si>
    <t xml:space="preserve">Signed Gate 4 minute</t>
  </si>
  <si>
    <t xml:space="preserve">Roles &amp; Skills - live counts from Project Plan; capacity rule: leads &lt;= cap and weighted load (lead 1 + support 0.25) &lt;= 4 x FTE</t>
  </si>
  <si>
    <t xml:space="preserve">Partners and business contributors carry 0 program FTE. ENG supports only. Weekly load matrix below.</t>
  </si>
  <si>
    <t xml:space="preserve">Role ID</t>
  </si>
  <si>
    <t xml:space="preserve">Role</t>
  </si>
  <si>
    <t xml:space="preserve">Type</t>
  </si>
  <si>
    <t xml:space="preserve">Sourcing</t>
  </si>
  <si>
    <t xml:space="preserve">Avg FTE (in window)</t>
  </si>
  <si>
    <t xml:space="preserve">Window first wk</t>
  </si>
  <si>
    <t xml:space="preserve">Window last wk</t>
  </si>
  <si>
    <t xml:space="preserve">Core skills</t>
  </si>
  <si>
    <t xml:space="preserve">Certifications / evidence</t>
  </si>
  <si>
    <t xml:space="preserve">Lead cap (concurrent)</t>
  </si>
  <si>
    <t xml:space="preserve">Tasks led</t>
  </si>
  <si>
    <t xml:space="preserve">Tasks supported</t>
  </si>
  <si>
    <t xml:space="preserve">First wk led</t>
  </si>
  <si>
    <t xml:space="preserve">Last wk led</t>
  </si>
  <si>
    <t xml:space="preserve">Peak concurrent leads</t>
  </si>
  <si>
    <t xml:space="preserve">Load status</t>
  </si>
  <si>
    <t xml:space="preserve">Peak weighted load</t>
  </si>
  <si>
    <t xml:space="preserve">FTE-weeks</t>
  </si>
  <si>
    <t xml:space="preserve">Security Program Lead</t>
  </si>
  <si>
    <t xml:space="preserve">Internal</t>
  </si>
  <si>
    <t xml:space="preserve">Internal (existing)</t>
  </si>
  <si>
    <t xml:space="preserve">Program/portfolio management, risk, executive and board comms, budget, vendor management</t>
  </si>
  <si>
    <t xml:space="preserve">CISSP or CISM; PMP/PRINCE2 or equivalent delivery record</t>
  </si>
  <si>
    <t xml:space="preserve">Cloud &amp; Platform Security Engineer</t>
  </si>
  <si>
    <t xml:space="preserve">AWS Organizations/Control Tower, SCP/RCP, EKS upgrades, VPC/TGW/Network Firewall, IaC</t>
  </si>
  <si>
    <t xml:space="preserve">AWS Certified Security - Specialty; CKS</t>
  </si>
  <si>
    <t xml:space="preserve">Identity &amp; Security Operations Engineer (IR Lead)</t>
  </si>
  <si>
    <t xml:space="preserve">Entra ID CA/PIM, IAM Identity Center, Splunk ES, incident handling</t>
  </si>
  <si>
    <t xml:space="preserve">SC-300; SC-200 or Splunk ES Certified Admin; GCIH</t>
  </si>
  <si>
    <t xml:space="preserve">GRC &amp; Risk Lead (2nd line)</t>
  </si>
  <si>
    <t xml:space="preserve">SOC 2, NIST CSF 2.0, ISO 27001, TPRM, risk, audit liaison</t>
  </si>
  <si>
    <t xml:space="preserve">CISA and/or CRISC; ISO 27001 Lead Implementer</t>
  </si>
  <si>
    <t xml:space="preserve">Blockchain Security Engineer</t>
  </si>
  <si>
    <t xml:space="preserve">Solidity and Rust/Anchor review, Safe/Squads operations, MPC custody, staking mechanics, on-chain IR</t>
  </si>
  <si>
    <t xml:space="preserve">Public audit/contest track record (audit reports, contest placings)</t>
  </si>
  <si>
    <t xml:space="preserve">Contract Cloud/K8s Hardening Engineer</t>
  </si>
  <si>
    <t xml:space="preserve">Contractor</t>
  </si>
  <si>
    <t xml:space="preserve">Contractor (T&amp;M)</t>
  </si>
  <si>
    <t xml:space="preserve">CIS benchmarks, SSM, Image Builder, AL2023/Bottlerocket, EKS upgrades, Kubernetes admission policy</t>
  </si>
  <si>
    <t xml:space="preserve">CKS; AWS Security Specialty; CIS-CAT experience</t>
  </si>
  <si>
    <t xml:space="preserve">Contract Cloud Platform Security Engineer</t>
  </si>
  <si>
    <t xml:space="preserve">S3 Object Lock/log archive, AWS Backup/Aurora, KMS/Secrets Manager, EKS node groups, CloudFront/DNS</t>
  </si>
  <si>
    <t xml:space="preserve">AWS Security Specialty or SA Professional</t>
  </si>
  <si>
    <t xml:space="preserve">Contract Detection Engineer (Splunk)</t>
  </si>
  <si>
    <t xml:space="preserve">SPL, Splunk ES 8 detections, contentctl detection-as-code, Splunk SOAR (Python 3.13)</t>
  </si>
  <si>
    <t xml:space="preserve">Splunk Certified Cybersecurity Defense Engineer or ES Admin; GCDA/GCIA</t>
  </si>
  <si>
    <t xml:space="preserve">Contract Identity Specialist (Entra/B2C)</t>
  </si>
  <si>
    <t xml:space="preserve">Entra CA/PIM/auth strengths/ID Protection, Azure AD B2C custom policies (IEF), External ID</t>
  </si>
  <si>
    <t xml:space="preserve">SC-300; delivered B2C custom-policy projects</t>
  </si>
  <si>
    <t xml:space="preserve">Contract Custody, Staking &amp; Sanctions Specialist</t>
  </si>
  <si>
    <t xml:space="preserve">MPC custody policy engines, CCSS v9, Ethereum/Solana staking, OFAC wallet screening</t>
  </si>
  <si>
    <t xml:space="preserve">CCSS auditor (CCSSA) or equivalent custody assessment record</t>
  </si>
  <si>
    <t xml:space="preserve">Contract Smart-Contract Security Engineer</t>
  </si>
  <si>
    <t xml:space="preserve">Foundry/Slither/Aderyn/Echidna, Anchor 1.x/Trident/solana-verify, SIWE/SIWS</t>
  </si>
  <si>
    <t xml:space="preserve">Public audit or contest record on EVM and Solana</t>
  </si>
  <si>
    <t xml:space="preserve">Contract SOC 2 Implementation Consultant</t>
  </si>
  <si>
    <t xml:space="preserve">Contractor (fixed fee)</t>
  </si>
  <si>
    <t xml:space="preserve">Control matrices, policy drafting, GRC platform build, evidence design</t>
  </si>
  <si>
    <t xml:space="preserve">CISA; &gt;=3 SOC 2 implementations</t>
  </si>
  <si>
    <t xml:space="preserve">Contract PMO Coordinator</t>
  </si>
  <si>
    <t xml:space="preserve">RAID/RACI, scheduling, procurement admin, KPI reporting, CAB secretariat</t>
  </si>
  <si>
    <t xml:space="preserve">PMP/CAPM or equivalent</t>
  </si>
  <si>
    <t xml:space="preserve">Smart-Contract Audit Firm</t>
  </si>
  <si>
    <t xml:space="preserve">Partner</t>
  </si>
  <si>
    <t xml:space="preserve">Partner (fixed scope)</t>
  </si>
  <si>
    <t xml:space="preserve">Solidity + Rust/Anchor audit and fix review (parallel EVM and Solana teams)</t>
  </si>
  <si>
    <t xml:space="preserve">Public audit reports on EVM and Solana</t>
  </si>
  <si>
    <t xml:space="preserve">MDR Provider (24/7)</t>
  </si>
  <si>
    <t xml:space="preserve">Partner (subscription)</t>
  </si>
  <si>
    <t xml:space="preserve">24/7 monitoring, triage, containment on AWS/Entra/EDR</t>
  </si>
  <si>
    <t xml:space="preserve">SOC 2 Type II report; CrowdStrike/Splunk integration</t>
  </si>
  <si>
    <t xml:space="preserve">Penetration Test Firm</t>
  </si>
  <si>
    <t xml:space="preserve">AWS/EKS, web/dApp, OAuth/OIDC/B2C testing</t>
  </si>
  <si>
    <t xml:space="preserve">CREST or OSCP/OSWE testers</t>
  </si>
  <si>
    <t xml:space="preserve">Independent SOC 2 Readiness Assessor</t>
  </si>
  <si>
    <t xml:space="preserve">Partner (fixed fee)</t>
  </si>
  <si>
    <t xml:space="preserve">SOC 2 readiness walkthroughs (different firm from GRCC and CPA)</t>
  </si>
  <si>
    <t xml:space="preserve">CPA/CISA-led readiness practice</t>
  </si>
  <si>
    <t xml:space="preserve">SOC 2 CPA Firm (independent auditor)</t>
  </si>
  <si>
    <t xml:space="preserve">Partner (engagement)</t>
  </si>
  <si>
    <t xml:space="preserve">SOC 2 attestation under AICPA standards</t>
  </si>
  <si>
    <t xml:space="preserve">Licensed CPA firm; crypto/fintech SOC 2 references</t>
  </si>
  <si>
    <t xml:space="preserve">External Regulatory Counsel</t>
  </si>
  <si>
    <t xml:space="preserve">MiCA reverse solicitation, US money transmission/FinCEN, OFAC, staking</t>
  </si>
  <si>
    <t xml:space="preserve">Digital-asset regulatory practice</t>
  </si>
  <si>
    <t xml:space="preserve">Independent Assurance (outsourced internal audit)</t>
  </si>
  <si>
    <t xml:space="preserve">Independent testing of 1st- and 2nd-line controls; reports to Board/Audit Committee</t>
  </si>
  <si>
    <t xml:space="preserve">IIA standards; CIA/CISA</t>
  </si>
  <si>
    <t xml:space="preserve">People Ops Partner (business contributor)</t>
  </si>
  <si>
    <t xml:space="preserve">Internal-BAU</t>
  </si>
  <si>
    <t xml:space="preserve">Internal (outside program FTE)</t>
  </si>
  <si>
    <t xml:space="preserve">Background checks, joiner/mover/leaver, code of conduct</t>
  </si>
  <si>
    <t xml:space="preserve">HR operations</t>
  </si>
  <si>
    <t xml:space="preserve">Platform &amp; App Engineering teams (change implementers)</t>
  </si>
  <si>
    <t xml:space="preserve">Workload migration, CI/CD, application changes</t>
  </si>
  <si>
    <t xml:space="preserve">n/a - supporting only, never lead</t>
  </si>
  <si>
    <t xml:space="preserve">Internal program FTE (total)</t>
  </si>
  <si>
    <t xml:space="preserve">Contractor FTE (peak concurrent week)</t>
  </si>
  <si>
    <t xml:space="preserve">Internal FTE-weeks</t>
  </si>
  <si>
    <t xml:space="preserve">Partner / firm engagements (count)</t>
  </si>
  <si>
    <t xml:space="preserve">Internal within 3-5 FTE range?</t>
  </si>
  <si>
    <t xml:space="preserve">Contractor FTE by week</t>
  </si>
  <si>
    <t xml:space="preserve">wk -&gt;</t>
  </si>
  <si>
    <t xml:space="preserve">Concurrent LEAD tasks per role per week</t>
  </si>
  <si>
    <t xml:space="preserve">Cap</t>
  </si>
  <si>
    <t xml:space="preserve">Weighted load per role per week (lead 1.0 + support 0.25); limit 4 x FTE</t>
  </si>
  <si>
    <t xml:space="preserve">Limit</t>
  </si>
  <si>
    <t xml:space="preserve">RACI - workstream x role (R Responsible, A Accountable, C Consulted, I Informed, - none)</t>
  </si>
  <si>
    <t xml:space="preserve">Exactly one A per workstream. Executive sponsor (CEO/COO) chairs Steering and is accountable for the program overall.</t>
  </si>
  <si>
    <t xml:space="preserve">WS</t>
  </si>
  <si>
    <t xml:space="preserve"># of A (must be 1)</t>
  </si>
  <si>
    <t xml:space="preserve">OS &amp; Container Hardening (org guardrails, network, EOL)</t>
  </si>
  <si>
    <t xml:space="preserve">I</t>
  </si>
  <si>
    <t xml:space="preserve">A</t>
  </si>
  <si>
    <t xml:space="preserve">C</t>
  </si>
  <si>
    <t xml:space="preserve">R</t>
  </si>
  <si>
    <t xml:space="preserve">-</t>
  </si>
  <si>
    <t xml:space="preserve">Identity Hardening (workforce, customer, workload, wallet sign-in)</t>
  </si>
  <si>
    <t xml:space="preserve">Security Monitoring, Response &amp; Resilience</t>
  </si>
  <si>
    <t xml:space="preserve">Blockchain Security</t>
  </si>
  <si>
    <t xml:space="preserve">Governance &amp; Compliance</t>
  </si>
  <si>
    <t xml:space="preserve">Program Management &amp; Sustainment</t>
  </si>
  <si>
    <t xml:space="preserve">Role key</t>
  </si>
  <si>
    <t xml:space="preserve">Governance Model - forums, three lines, policy lifecycle, evergreen loop, operating calendar, triggers</t>
  </si>
  <si>
    <t xml:space="preserve">Forum</t>
  </si>
  <si>
    <t xml:space="preserve">Cadence</t>
  </si>
  <si>
    <t xml:space="preserve">Membership</t>
  </si>
  <si>
    <t xml:space="preserve">Decision rights</t>
  </si>
  <si>
    <t xml:space="preserve">Inputs</t>
  </si>
  <si>
    <t xml:space="preserve">Outputs</t>
  </si>
  <si>
    <t xml:space="preserve">Security Steering Committee (incl. Risk &amp; Compliance review)</t>
  </si>
  <si>
    <t xml:space="preserve">Monthly (60 min) + at gates W6/W15/W20/W26</t>
  </si>
  <si>
    <t xml:space="preserve">CEO or COO (chair), CTO, CFO, Security Program Lead, GRC Lead; IA attends quarterly; reports quarterly to the Board</t>
  </si>
  <si>
    <t xml:space="preserve">Scope, budget, gate pass/fail, risk acceptance above appetite, policy approval, regulatory go/no-go</t>
  </si>
  <si>
    <t xml:space="preserve">KPI/KRI pack, risk register, exceptions due, decision log, gate evidence</t>
  </si>
  <si>
    <t xml:space="preserve">Signed minutes, decisions, risk acceptances</t>
  </si>
  <si>
    <t xml:space="preserve">Architecture Review Board</t>
  </si>
  <si>
    <t xml:space="preserve">Fortnightly (first 30 min of the weekly CAB slot); monthly in BAU</t>
  </si>
  <si>
    <t xml:space="preserve">Head of Platform (chair), Cloud &amp; Platform Sec Eng, Identity &amp; SecOps Eng, Blockchain Sec Eng, Program Lead</t>
  </si>
  <si>
    <t xml:space="preserve">Approve designs/standards; grant time-boxed exceptions (max 90 days) to standards</t>
  </si>
  <si>
    <t xml:space="preserve">Design packs, threat model deltas, benchmark changes</t>
  </si>
  <si>
    <t xml:space="preserve">Approvals log, exception records</t>
  </si>
  <si>
    <t xml:space="preserve">Contract Upgrade &amp; Key Committee (CUKC)</t>
  </si>
  <si>
    <t xml:space="preserve">Fortnightly (30 min) + ad hoc within 4h for emergencies</t>
  </si>
  <si>
    <t xml:space="preserve">Head of Blockchain Engineering (internal chair), Blockchain Sec Eng (security veto), Custody Ops lead, Program Lead, Legal on call</t>
  </si>
  <si>
    <t xml:space="preserve">Approve contract/program deploys and upgrades, signer/threshold/timelock changes, custody policy-engine changes, staking authority/consolidation actions</t>
  </si>
  <si>
    <t xml:space="preserve">Audit/diff reports, verified-build hashes, simulation results, monitoring updates</t>
  </si>
  <si>
    <t xml:space="preserve">Signed change record; on-chain tx hashes</t>
  </si>
  <si>
    <t xml:space="preserve">Change Advisory Board</t>
  </si>
  <si>
    <t xml:space="preserve">Weekly; emergency CAB within 2h</t>
  </si>
  <si>
    <t xml:space="preserve">Head of Platform/SRE (chair), service owners, Cloud &amp; Platform Sec Eng</t>
  </si>
  <si>
    <t xml:space="preserve">Approve production changes (standard/normal/emergency); enforce freeze windows</t>
  </si>
  <si>
    <t xml:space="preserve">Change requests with rollback plans</t>
  </si>
  <si>
    <t xml:space="preserve">Approved change calendar</t>
  </si>
  <si>
    <t xml:space="preserve">Incident Response forum</t>
  </si>
  <si>
    <t xml:space="preserve">24/7: interim internal on-call W0-W12, MDR from W13 (phased from W5); monthly IR review; post-incident review within 5 business days</t>
  </si>
  <si>
    <t xml:space="preserve">IR Lead (Identity &amp; SecOps Eng), MDR, Blockchain Sec Eng for on-chain, Program Lead, Legal/Comms</t>
  </si>
  <si>
    <t xml:space="preserve">Declare/close incidents, contain, notify (per D-01 matrix), invoke CUKC emergency pause</t>
  </si>
  <si>
    <t xml:space="preserve">Alerts, MDR escalations, on-chain monitor alerts</t>
  </si>
  <si>
    <t xml:space="preserve">Incident records, PIR actions</t>
  </si>
  <si>
    <t xml:space="preserve">Independent assurance</t>
  </si>
  <si>
    <t xml:space="preserve">Annual internal-audit cycle (first review W22-W24) + annual SOC 2 by CPA</t>
  </si>
  <si>
    <t xml:space="preserve">Outsourced internal audit reporting directly to the Board/Audit Committee; SOC 2 CPA firm; independent readiness assessor</t>
  </si>
  <si>
    <t xml:space="preserve">Independently test 1st- and 2nd-line controls; report findings directly to Steering/Board</t>
  </si>
  <si>
    <t xml:space="preserve">Control matrix, evidence, risk register</t>
  </si>
  <si>
    <t xml:space="preserve">IA report; SOC 2 report</t>
  </si>
  <si>
    <t xml:space="preserve">Three lines model</t>
  </si>
  <si>
    <t xml:space="preserve">Line</t>
  </si>
  <si>
    <t xml:space="preserve">Who</t>
  </si>
  <si>
    <t xml:space="preserve">Responsibilities</t>
  </si>
  <si>
    <t xml:space="preserve">1st line - own and operate controls</t>
  </si>
  <si>
    <t xml:space="preserve">Cloud &amp; Platform Sec Eng, Identity &amp; SecOps Eng, Blockchain Sec Eng, Platform/App engineering, Custody Ops</t>
  </si>
  <si>
    <t xml:space="preserve">Implement and run controls; self-assess; raise exceptions</t>
  </si>
  <si>
    <t xml:space="preserve">2nd line - oversee and challenge</t>
  </si>
  <si>
    <t xml:space="preserve">GRC &amp; Risk Lead (with SOC 2 readiness consultant during program)</t>
  </si>
  <si>
    <t xml:space="preserve">Policies, risk register, control monitoring in GRC platform, TPRM, exception expiry; never tests controls it operates</t>
  </si>
  <si>
    <t xml:space="preserve">3rd line - independent assurance</t>
  </si>
  <si>
    <t xml:space="preserve">Outsourced internal audit (reports to Board/Audit Committee); SOC 2 CPA firm; independent readiness assessor</t>
  </si>
  <si>
    <t xml:space="preserve">Independent testing of 1st- and 2nd-line controls; the implementation consultant (GRCC), readiness assessor (RDA) and CPA are three different firms</t>
  </si>
  <si>
    <t xml:space="preserve">Policy lifecycle (version-controlled in git)</t>
  </si>
  <si>
    <t xml:space="preserve">Stage</t>
  </si>
  <si>
    <t xml:space="preserve">What happens</t>
  </si>
  <si>
    <t xml:space="preserve">Owner</t>
  </si>
  <si>
    <t xml:space="preserve">1 Draft</t>
  </si>
  <si>
    <t xml:space="preserve">Author opens a pull request in the policy git repo (markdown, semantic version)</t>
  </si>
  <si>
    <t xml:space="preserve">Policy owner</t>
  </si>
  <si>
    <t xml:space="preserve">2 Review</t>
  </si>
  <si>
    <t xml:space="preserve">GRC review against control matrix; SME review; legal where needed</t>
  </si>
  <si>
    <t xml:space="preserve">GRC Lead</t>
  </si>
  <si>
    <t xml:space="preserve">3 Approve</t>
  </si>
  <si>
    <t xml:space="preserve">Policies: Steering; standards/procedures: ARB or owning forum</t>
  </si>
  <si>
    <t xml:space="preserve">Steering / ARB</t>
  </si>
  <si>
    <t xml:space="preserve">4 Publish &amp; attest</t>
  </si>
  <si>
    <t xml:space="preserve">Tagged release; staff acknowledgement tracked in GRC platform</t>
  </si>
  <si>
    <t xml:space="preserve">5 Operate &amp; monitor</t>
  </si>
  <si>
    <t xml:space="preserve">Mapped controls tested automatically where possible; exceptions time-boxed</t>
  </si>
  <si>
    <t xml:space="preserve">Control owners</t>
  </si>
  <si>
    <t xml:space="preserve">6 Review</t>
  </si>
  <si>
    <t xml:space="preserve">Annually, or within 30 days of a trigger event</t>
  </si>
  <si>
    <t xml:space="preserve">7 Retire</t>
  </si>
  <si>
    <t xml:space="preserve">Superseded versions archived; mapping updated</t>
  </si>
  <si>
    <t xml:space="preserve">Evergreen loop</t>
  </si>
  <si>
    <t xml:space="preserve">Step</t>
  </si>
  <si>
    <t xml:space="preserve">Mechanism</t>
  </si>
  <si>
    <t xml:space="preserve">1 Monitor</t>
  </si>
  <si>
    <t xml:space="preserve">Automated control health (Security Hub CSPM, Inspector, GRC platform tests, Splunk silent-source alerts, on-chain monitors)</t>
  </si>
  <si>
    <t xml:space="preserve">Control owners (1st line)</t>
  </si>
  <si>
    <t xml:space="preserve">2 Measure</t>
  </si>
  <si>
    <t xml:space="preserve">KPI/KRI pack refreshed weekly; exceptions and expiry tracked</t>
  </si>
  <si>
    <t xml:space="preserve">PMC -&gt; GRC in BAU</t>
  </si>
  <si>
    <t xml:space="preserve">3 Review</t>
  </si>
  <si>
    <t xml:space="preserve">Monthly Steering + risk &amp; compliance review; ARB/CUKC/CAB on changes; quarterly board report</t>
  </si>
  <si>
    <t xml:space="preserve">Steering</t>
  </si>
  <si>
    <t xml:space="preserve">4 Improve</t>
  </si>
  <si>
    <t xml:space="preserve">Corrective-action log; design changes via ARB; threat-model and benchmark refresh on triggers</t>
  </si>
  <si>
    <t xml:space="preserve">Workstream leads</t>
  </si>
  <si>
    <t xml:space="preserve">5 Assure</t>
  </si>
  <si>
    <t xml:space="preserve">Independent assurance (IA annually; SOC 2 Type II annually; readiness assessor separate from CPA)</t>
  </si>
  <si>
    <t xml:space="preserve">3rd line</t>
  </si>
  <si>
    <t xml:space="preserve">Operating calendar</t>
  </si>
  <si>
    <t xml:space="preserve">Activities</t>
  </si>
  <si>
    <t xml:space="preserve">Weekly</t>
  </si>
  <si>
    <t xml:space="preserve">Audit-evidence calendar check; vulnerability &amp; patch SLA review; Security Hub score delta; detection tuning; CAB; CUKC; on-chain/validator alert review; KPI auto-refresh</t>
  </si>
  <si>
    <t xml:space="preserve">Monthly</t>
  </si>
  <si>
    <t xml:space="preserve">Steering + risk &amp; compliance review; KPI/KRI pack; exception expiry sweep; privileged access review; phishing simulation; staking provider performance report; EOL register update</t>
  </si>
  <si>
    <t xml:space="preserve">Quarterly</t>
  </si>
  <si>
    <t xml:space="preserve">Full access reviews (Entra, AWS, custody approvers, multisig signers); tabletop exercise; automated tier-1 restore tests; signer key-ceremony drill; board cyber report; benchmark/version check (CIS, EKS, Agave/Firedancer, Safe/Squads); threat-model refresh; SCIM/secret expiry check</t>
  </si>
  <si>
    <t xml:space="preserve">Semi-annual</t>
  </si>
  <si>
    <t xml:space="preserve">Policy review tranche; pause/guardian drill; staking &amp; custody vendor reassessment; on-chain monitoring coverage review; IR plan update</t>
  </si>
  <si>
    <t xml:space="preserve">Annual</t>
  </si>
  <si>
    <t xml:space="preserve">SOC 2 Type II examination; penetration test (plus after major change); full DR test; security and fraud risk assessment &amp; risk appetite refresh; management review; cyber insurance renewal; vendor exit-plan test; policy re-approval; internal audit; training refresh; crypto-agility/PQ roadmap review; CSF 2.0 profile re-baseline</t>
  </si>
  <si>
    <t xml:space="preserve">Event triggers that force re-assessment</t>
  </si>
  <si>
    <t xml:space="preserve">Trigger</t>
  </si>
  <si>
    <t xml:space="preserve">Required response</t>
  </si>
  <si>
    <t xml:space="preserve">Contract deploy or upgrade</t>
  </si>
  <si>
    <t xml:space="preserve">CUKC approval; audit or diff review; verified build; monitor rules updated before execution; timelock respected</t>
  </si>
  <si>
    <t xml:space="preserve">Hard fork or client release (e.g. Glamsterdam mainnet, Agave/Firedancer majors)</t>
  </si>
  <si>
    <t xml:space="preserve">Fork runbook; provider written readiness; testnet regression; heightened monitoring 72h</t>
  </si>
  <si>
    <t xml:space="preserve">New benchmark or vendor version (CIS, EKS EOS, Splunk/Security Hub change)</t>
  </si>
  <si>
    <t xml:space="preserve">Gap mapping within 30 days; ARB decision; KPI targets adjusted</t>
  </si>
  <si>
    <t xml:space="preserve">Major incident (internal or industry, e.g. multisig/UI compromise)</t>
  </si>
  <si>
    <t xml:space="preserve">Post-incident review; threat model update; control changes via ARB/CUKC</t>
  </si>
  <si>
    <t xml:space="preserve">New vendor or material vendor change</t>
  </si>
  <si>
    <t xml:space="preserve">TPRM tiering and due diligence before contract; SOC report review</t>
  </si>
  <si>
    <t xml:space="preserve">Regulatory change or new market (e.g. EU marketing, US market-structure law)</t>
  </si>
  <si>
    <t xml:space="preserve">Counsel review; D-01 refresh; re-plan if in scope</t>
  </si>
  <si>
    <t xml:space="preserve">Signer, admin or key-person change</t>
  </si>
  <si>
    <t xml:space="preserve">Signer rotation; access revocation within 24h; contractor-dependency KRI update</t>
  </si>
  <si>
    <t xml:space="preserve">EOL announcement (OS, Kubernetes, tooling)</t>
  </si>
  <si>
    <t xml:space="preserve">EOL register entry with owner/date; exception if needed</t>
  </si>
  <si>
    <t xml:space="preserve">Exception reaching expiry</t>
  </si>
  <si>
    <t xml:space="preserve">Remediate or one renewal max (Steering approval); second expiry escalates as a risk acceptance</t>
  </si>
  <si>
    <t xml:space="preserve">Contractor exit or contract change</t>
  </si>
  <si>
    <t xml:space="preserve">Knowledge-transfer check; access revoked within 24h; contractor-dependency KRI recalculated</t>
  </si>
  <si>
    <t xml:space="preserve">Framework mapping by workstream</t>
  </si>
  <si>
    <t xml:space="preserve">NIST CSF 2.0</t>
  </si>
  <si>
    <t xml:space="preserve">ISO 27001:2022 Annex A / clauses</t>
  </si>
  <si>
    <t xml:space="preserve">CIS Controls v8.1</t>
  </si>
  <si>
    <t xml:space="preserve">Benchmarks / standards</t>
  </si>
  <si>
    <t xml:space="preserve">SOC 2 TSC</t>
  </si>
  <si>
    <t xml:space="preserve">Security Hub CSPM control IDs</t>
  </si>
  <si>
    <t xml:space="preserve">PR.PS, PR.IR, ID.AM</t>
  </si>
  <si>
    <t xml:space="preserve">A.8.8, A.8.9, A.8.20-8.22, A.8.25-8.28</t>
  </si>
  <si>
    <t xml:space="preserve">1, 2, 4, 7, 12, 13</t>
  </si>
  <si>
    <t xml:space="preserve">CIS AWS Foundations v5.0.0 (automated) / v7.1.0 (manual delta); CIS AL2023 v1.0.0; CIS EKS v2.0.0; CIS EKS Auto Mode v1.0.0; CIS Kubernetes v2.1.0; CIS Bottlerocket v1.0.0</t>
  </si>
  <si>
    <t xml:space="preserve">CC6.1, CC6.6, CC6.8, CC7.1, CC8.1</t>
  </si>
  <si>
    <t xml:space="preserve">EC2.2/.6/.7/.8/.9/.170, SSM.1-.3, EKS.1/.2/.8/.9, ECR.1-.3, S3.1/.5, KMS.3/.4, RDS.2/.3/.7/.8/.27, ELB.1/.4/.5/.16, WAF.10/.11, NetworkFirewall.2/.4/.5, Opensearch.1/.3/.5/.7, EFS.8, SQS.1, SNS.1, Kinesis.1, ACM.1, Inspector.1-.4</t>
  </si>
  <si>
    <t xml:space="preserve">PR.AA, GV.RR</t>
  </si>
  <si>
    <t xml:space="preserve">A.5.15-5.18, A.8.2, A.8.5</t>
  </si>
  <si>
    <t xml:space="preserve">5, 6</t>
  </si>
  <si>
    <t xml:space="preserve">Microsoft Entra guidance; OWASP ASVS (customer auth); EIP-4361 (Final); EIP-1271</t>
  </si>
  <si>
    <t xml:space="preserve">CC6.1-CC6.3</t>
  </si>
  <si>
    <t xml:space="preserve">IAM.1/.2/.4/.6/.8/.22, SecretsManager.1/.3</t>
  </si>
  <si>
    <t xml:space="preserve">DE.CM, DE.AE, RS.*, RC.*</t>
  </si>
  <si>
    <t xml:space="preserve">A.5.24-5.28, A.8.13-8.16, A.5.29-5.30</t>
  </si>
  <si>
    <t xml:space="preserve">8, 10, 11, 13, 17, 18</t>
  </si>
  <si>
    <t xml:space="preserve">NIST SP 800-61r3; MITRE ATT&amp;CK; SEAL Incident Mgmt/Monitoring</t>
  </si>
  <si>
    <t xml:space="preserve">CC7.2-CC7.5, A1.2-A1.3</t>
  </si>
  <si>
    <t xml:space="preserve">GuardDuty.1/.5/.7/.8/.10/.11, CloudTrail.1/.2/.4, Config.1, Backup.1, RDS.11/.14</t>
  </si>
  <si>
    <t xml:space="preserve">PR.DS, PR.PS, GV.SC, ID.RA</t>
  </si>
  <si>
    <t xml:space="preserve">A.8.24, A.8.25-8.29, A.5.19-5.22</t>
  </si>
  <si>
    <t xml:space="preserve">3, 16</t>
  </si>
  <si>
    <t xml:space="preserve">BSSC SCS, KMS, NOS v2, TIS, GSP; CCSS v9.0; OWASP SC Top 10 2026 / SCSVS; SEAL Frameworks</t>
  </si>
  <si>
    <t xml:space="preserve">CC6.1, CC6.7, CC8.1, CC9.2</t>
  </si>
  <si>
    <t xml:space="preserve">n/a (off-AWS)</t>
  </si>
  <si>
    <t xml:space="preserve">GV.OC, GV.RM, GV.RR, GV.PO, GV.OV, GV.SC</t>
  </si>
  <si>
    <t xml:space="preserve">Clauses 4-10; A.5.1-5.37; A.6.1-6.8</t>
  </si>
  <si>
    <t xml:space="preserve">14, 15</t>
  </si>
  <si>
    <t xml:space="preserve">AICPA TSC 2017 (2022 PoF); NIST CSF 2.0; ISO/IEC 27001:2022; CIS Controls v8.1; MiCA/DORA/PCI (go/no-go)</t>
  </si>
  <si>
    <t xml:space="preserve">CC1-CC5, CC9</t>
  </si>
  <si>
    <t xml:space="preserve">Account.1</t>
  </si>
  <si>
    <t xml:space="preserve">GV.OV, ID.IM</t>
  </si>
  <si>
    <t xml:space="preserve">Clauses 6, 9, 10</t>
  </si>
  <si>
    <t xml:space="preserve">CC3, CC4</t>
  </si>
  <si>
    <t xml:space="preserve">KPIs and KRIs - fill 'Current value' and 'Named owner' (yellow); RAG is manual</t>
  </si>
  <si>
    <t xml:space="preserve">Example row format for Current value: '87%' or '3'. Owner role is the proposed accountable role.</t>
  </si>
  <si>
    <t xml:space="preserve">KPI</t>
  </si>
  <si>
    <t xml:space="preserve">Definition</t>
  </si>
  <si>
    <t xml:space="preserve">Target</t>
  </si>
  <si>
    <t xml:space="preserve">Data source</t>
  </si>
  <si>
    <t xml:space="preserve">Frequency</t>
  </si>
  <si>
    <t xml:space="preserve">Owner role (proposed)</t>
  </si>
  <si>
    <t xml:space="preserve">Current value</t>
  </si>
  <si>
    <t xml:space="preserve">Named owner</t>
  </si>
  <si>
    <t xml:space="preserve">RAG</t>
  </si>
  <si>
    <t xml:space="preserve">K01</t>
  </si>
  <si>
    <t xml:space="preserve">CIS AL2023 Level 1 pass rate (EC2 fleet)</t>
  </si>
  <si>
    <t xml:space="preserve">Passed L1 checks / total applicable L1 checks across scanned AL2023 instances</t>
  </si>
  <si>
    <t xml:space="preserve">&gt;=90% by W20</t>
  </si>
  <si>
    <t xml:space="preserve">Amazon Inspector CIS scans</t>
  </si>
  <si>
    <t xml:space="preserve">K02</t>
  </si>
  <si>
    <t xml:space="preserve">Amazon Linux 2 / EOL OS instance count</t>
  </si>
  <si>
    <t xml:space="preserve">Running instances and node groups on AL2 or other EOL OS</t>
  </si>
  <si>
    <t xml:space="preserve">0 (or approved exceptions with expiry) by W20</t>
  </si>
  <si>
    <t xml:space="preserve">AWS Config / SSM inventory</t>
  </si>
  <si>
    <t xml:space="preserve">K03</t>
  </si>
  <si>
    <t xml:space="preserve">EKS clusters on a standard-support version</t>
  </si>
  <si>
    <t xml:space="preserve">Clusters on a version in standard support / all clusters</t>
  </si>
  <si>
    <t xml:space="preserve">100% by W18</t>
  </si>
  <si>
    <t xml:space="preserve">EKS API; Security Hub EKS.2/EKS.9</t>
  </si>
  <si>
    <t xml:space="preserve">K04</t>
  </si>
  <si>
    <t xml:space="preserve">Patch SLA compliance (critical &lt;=7d, high &lt;=14d)</t>
  </si>
  <si>
    <t xml:space="preserve">Findings remediated within SLA / findings due in period</t>
  </si>
  <si>
    <t xml:space="preserve">&gt;=95% from W12</t>
  </si>
  <si>
    <t xml:space="preserve">SSM Patch Manager; Inspector</t>
  </si>
  <si>
    <t xml:space="preserve">KHE -&gt; CSE</t>
  </si>
  <si>
    <t xml:space="preserve">K05</t>
  </si>
  <si>
    <t xml:space="preserve">IMDSv2 coverage</t>
  </si>
  <si>
    <t xml:space="preserve">Instances requiring IMDSv2 / all instances</t>
  </si>
  <si>
    <t xml:space="preserve">100% of instances by W12</t>
  </si>
  <si>
    <t xml:space="preserve">Security Hub EC2.8 / EC2.170</t>
  </si>
  <si>
    <t xml:space="preserve">K06</t>
  </si>
  <si>
    <t xml:space="preserve">Security Hub CSPM security score (FSBP + CIS v5.0.0)</t>
  </si>
  <si>
    <t xml:space="preserve">Security Hub CSPM score as reported</t>
  </si>
  <si>
    <t xml:space="preserve">Security Hub CSPM</t>
  </si>
  <si>
    <t xml:space="preserve">K07</t>
  </si>
  <si>
    <t xml:space="preserve">Production workloads running signed images</t>
  </si>
  <si>
    <t xml:space="preserve">Prod pods/tasks from signed images / all prod pods/tasks</t>
  </si>
  <si>
    <t xml:space="preserve">100% by W19</t>
  </si>
  <si>
    <t xml:space="preserve">ECR signing + admission/CI logs</t>
  </si>
  <si>
    <t xml:space="preserve">K08</t>
  </si>
  <si>
    <t xml:space="preserve">Admins using phishing-resistant (device-bound FIDO2) MFA</t>
  </si>
  <si>
    <t xml:space="preserve">Privileged-role holders with enforced FIDO2 strength / all privileged-role holders</t>
  </si>
  <si>
    <t xml:space="preserve">100% by W12</t>
  </si>
  <si>
    <t xml:space="preserve">Entra authentication-methods report</t>
  </si>
  <si>
    <t xml:space="preserve">K09</t>
  </si>
  <si>
    <t xml:space="preserve">Standing privileged admins (excl. 2 break-glass)</t>
  </si>
  <si>
    <t xml:space="preserve">Permanent privileged assignments other than break-glass</t>
  </si>
  <si>
    <t xml:space="preserve">0 by W15</t>
  </si>
  <si>
    <t xml:space="preserve">Entra PIM; IAM Identity Center</t>
  </si>
  <si>
    <t xml:space="preserve">K10</t>
  </si>
  <si>
    <t xml:space="preserve">Customer withdrawals / payout-address changes protected by step-up MFA</t>
  </si>
  <si>
    <t xml:space="preserve">Withdrawal/payout-change requests with fresh step-up (auth_time &lt;=5 min) / all such requests</t>
  </si>
  <si>
    <t xml:space="preserve">100% of flows by W13</t>
  </si>
  <si>
    <t xml:space="preserve">B2C logs + withdrawal API logs in Splunk</t>
  </si>
  <si>
    <t xml:space="preserve">K11</t>
  </si>
  <si>
    <t xml:space="preserve">MTTD - identity high-severity events</t>
  </si>
  <si>
    <t xml:space="preserve">Event _time to notable/MDR ticket creation</t>
  </si>
  <si>
    <t xml:space="preserve">Median &lt;=15 min; p90 &lt;=60 min from W14</t>
  </si>
  <si>
    <t xml:space="preserve">Splunk ES / MDR tickets</t>
  </si>
  <si>
    <t xml:space="preserve">K12</t>
  </si>
  <si>
    <t xml:space="preserve">MTTD - on-chain privileged events</t>
  </si>
  <si>
    <t xml:space="preserve">Block timestamp to alert delivered to pager</t>
  </si>
  <si>
    <t xml:space="preserve">Median &lt;=5 min; p90 &lt;=15 min from W13</t>
  </si>
  <si>
    <t xml:space="preserve">On-chain monitor + Splunk</t>
  </si>
  <si>
    <t xml:space="preserve">K13</t>
  </si>
  <si>
    <t xml:space="preserve">MTTA - Sev-1/Sev-2 alerts</t>
  </si>
  <si>
    <t xml:space="preserve">Alert creation to human acknowledgement</t>
  </si>
  <si>
    <t xml:space="preserve">p90 &lt;=15 min from W13</t>
  </si>
  <si>
    <t xml:space="preserve">Pager / MDR tickets</t>
  </si>
  <si>
    <t xml:space="preserve">K14</t>
  </si>
  <si>
    <t xml:space="preserve">MTTR - Sev-1 containment</t>
  </si>
  <si>
    <t xml:space="preserve">Acknowledgement to containment action logged</t>
  </si>
  <si>
    <t xml:space="preserve">Median &lt;=4 h; p90 &lt;=8 h from W17</t>
  </si>
  <si>
    <t xml:space="preserve">Splunk SOAR / IR records</t>
  </si>
  <si>
    <t xml:space="preserve">K15</t>
  </si>
  <si>
    <t xml:space="preserve">Upgrade/admin on-chain roles under multisig + timelock</t>
  </si>
  <si>
    <t xml:space="preserve">Roles meeting role-matrix controls / all upgrade/admin roles (pause guardian measured against its own matrix row)</t>
  </si>
  <si>
    <t xml:space="preserve">100% by W15</t>
  </si>
  <si>
    <t xml:space="preserve">Privileged-role register verified on-chain</t>
  </si>
  <si>
    <t xml:space="preserve">K16</t>
  </si>
  <si>
    <t xml:space="preserve">Staking - Ethereum: effectiveness vs provider SLA; slashing events</t>
  </si>
  <si>
    <t xml:space="preserve">Per provider SLA definition; slashing events count</t>
  </si>
  <si>
    <t xml:space="preserve">&gt;= SLA; 0 slashing</t>
  </si>
  <si>
    <t xml:space="preserve">Provider reports + own beacon monitoring</t>
  </si>
  <si>
    <t xml:space="preserve">K17</t>
  </si>
  <si>
    <t xml:space="preserve">Staking - Solana: participation vs SLA; delinquent epochs; authority mismatches</t>
  </si>
  <si>
    <t xml:space="preserve">Post-Alpenglow metric definitions to be confirmed in MR-14</t>
  </si>
  <si>
    <t xml:space="preserve">&gt;= SLA; 0 delinquent epochs; 0 mismatches</t>
  </si>
  <si>
    <t xml:space="preserve">Provider reports + own RPC monitoring</t>
  </si>
  <si>
    <t xml:space="preserve">K18</t>
  </si>
  <si>
    <t xml:space="preserve">SOC 2 automated control pass rate</t>
  </si>
  <si>
    <t xml:space="preserve">Passing automated tests / automated tests mapped in control matrix (denominator fixed in GC-05)</t>
  </si>
  <si>
    <t xml:space="preserve">&gt;=95% by W20</t>
  </si>
  <si>
    <t xml:space="preserve">K19</t>
  </si>
  <si>
    <t xml:space="preserve">Prioritised ATT&amp;CK techniques with validated detections</t>
  </si>
  <si>
    <t xml:space="preserve">Validated techniques / techniques prioritised in MR-04</t>
  </si>
  <si>
    <t xml:space="preserve">&gt;=80% by W18</t>
  </si>
  <si>
    <t xml:space="preserve">Purple-team results</t>
  </si>
  <si>
    <t xml:space="preserve">K20</t>
  </si>
  <si>
    <t xml:space="preserve">Exceptions past expiry</t>
  </si>
  <si>
    <t xml:space="preserve">Open exceptions beyond expiry date</t>
  </si>
  <si>
    <t xml:space="preserve">0</t>
  </si>
  <si>
    <t xml:space="preserve">Exception register</t>
  </si>
  <si>
    <t xml:space="preserve">K21</t>
  </si>
  <si>
    <t xml:space="preserve">Tier-1 restore tests meeting RTO/RPO</t>
  </si>
  <si>
    <t xml:space="preserve">Successful tier-1 restore tests within RTO/RPO / tier-1 tests run</t>
  </si>
  <si>
    <t xml:space="preserve">100% per quarter</t>
  </si>
  <si>
    <t xml:space="preserve">AWS Backup restore testing records</t>
  </si>
  <si>
    <t xml:space="preserve">K22</t>
  </si>
  <si>
    <t xml:space="preserve">Security training completion (incl. signer &amp; secure-coding tracks)</t>
  </si>
  <si>
    <t xml:space="preserve">Completed / assigned</t>
  </si>
  <si>
    <t xml:space="preserve">&gt;=95% by W17</t>
  </si>
  <si>
    <t xml:space="preserve">LMS / GRC platform</t>
  </si>
  <si>
    <t xml:space="preserve">K23</t>
  </si>
  <si>
    <t xml:space="preserve">Audit evidence delivered on time</t>
  </si>
  <si>
    <t xml:space="preserve">Evidence items delivered by due date / due</t>
  </si>
  <si>
    <t xml:space="preserve">&gt;=95% from W22</t>
  </si>
  <si>
    <t xml:space="preserve">GRC platform evidence calendar</t>
  </si>
  <si>
    <t xml:space="preserve">K24</t>
  </si>
  <si>
    <t xml:space="preserve">Post-incident and pentest actions closed on time</t>
  </si>
  <si>
    <t xml:space="preserve">Actions closed by due date / due</t>
  </si>
  <si>
    <t xml:space="preserve">&gt;=90%</t>
  </si>
  <si>
    <t xml:space="preserve">IR / remediation tracker</t>
  </si>
  <si>
    <t xml:space="preserve">K25</t>
  </si>
  <si>
    <t xml:space="preserve">Tier-1 vendor reviews current</t>
  </si>
  <si>
    <t xml:space="preserve">Tier-1 vendors with in-date review / tier-1 vendors</t>
  </si>
  <si>
    <t xml:space="preserve">100%</t>
  </si>
  <si>
    <t xml:space="preserve">TPRM register</t>
  </si>
  <si>
    <t xml:space="preserve">Key risk indicators</t>
  </si>
  <si>
    <t xml:space="preserve">KRI</t>
  </si>
  <si>
    <t xml:space="preserve">Threshold</t>
  </si>
  <si>
    <t xml:space="preserve">Owner role</t>
  </si>
  <si>
    <t xml:space="preserve">KRI-1</t>
  </si>
  <si>
    <t xml:space="preserve">Contractor dependency: critical runbooks without a trained internal owner</t>
  </si>
  <si>
    <t xml:space="preserve">0 by W24</t>
  </si>
  <si>
    <t xml:space="preserve">Handover tracker</t>
  </si>
  <si>
    <t xml:space="preserve">KRI-2</t>
  </si>
  <si>
    <t xml:space="preserve">Lead tasks held by contractors after W24</t>
  </si>
  <si>
    <t xml:space="preserve">Project Plan</t>
  </si>
  <si>
    <t xml:space="preserve">KRI-3</t>
  </si>
  <si>
    <t xml:space="preserve">Days of telemetry gap on any tier-1 log source</t>
  </si>
  <si>
    <t xml:space="preserve">0 per month</t>
  </si>
  <si>
    <t xml:space="preserve">Splunk silent-source alerts</t>
  </si>
  <si>
    <t xml:space="preserve">Risk register (rating = likelihood x impact, 1-5 scales) and decision log (alignment checked by formula)</t>
  </si>
  <si>
    <t xml:space="preserve">Risk</t>
  </si>
  <si>
    <t xml:space="preserve">Likelihood (1-5)</t>
  </si>
  <si>
    <t xml:space="preserve">Impact (1-5)</t>
  </si>
  <si>
    <t xml:space="preserve">Rating</t>
  </si>
  <si>
    <t xml:space="preserve">Level</t>
  </si>
  <si>
    <t xml:space="preserve">Mitigation</t>
  </si>
  <si>
    <t xml:space="preserve">R01</t>
  </si>
  <si>
    <t xml:space="preserve">AL2 workloads cannot migrate on time (app dependencies)</t>
  </si>
  <si>
    <t xml:space="preserve">Containment (HD-03), two migration waves, time-boxed exceptions with expiry, CrowdStrike prevention</t>
  </si>
  <si>
    <t xml:space="preserve">R02</t>
  </si>
  <si>
    <t xml:space="preserve">EKS forced upgrade after 26 Nov 2026 breaks workloads</t>
  </si>
  <si>
    <t xml:space="preserve">HD-02 controlled 1.31-&gt;1.32 upgrade by W4; add-on testing; rollback</t>
  </si>
  <si>
    <t xml:space="preserve">R03</t>
  </si>
  <si>
    <t xml:space="preserve">Staking provider mishandles Alpenglow/Glamsterdam -&gt; missed rewards or slashing</t>
  </si>
  <si>
    <t xml:space="preserve">BC-01 written confirmation; MR-14 monitoring; contract amendments BC-19</t>
  </si>
  <si>
    <t xml:space="preserve">R04</t>
  </si>
  <si>
    <t xml:space="preserve">Signer-UI compromise or multisig social engineering (Bybit/Drift patterns)</t>
  </si>
  <si>
    <t xml:space="preserve">BC-10 timelocks/thresholds/delegatecall guard/durable-nonce ban; BC-11 clear signing and independent hash check; MR-13 alerts</t>
  </si>
  <si>
    <t xml:space="preserve">R05</t>
  </si>
  <si>
    <t xml:space="preserve">Smart-contract audit slot slips</t>
  </si>
  <si>
    <t xml:space="preserve">Book in W1-2 (PM-03) sized by nSLOC; code freeze W15; parallel EVM/Solana teams; backup auditor shortlisted</t>
  </si>
  <si>
    <t xml:space="preserve">R06</t>
  </si>
  <si>
    <t xml:space="preserve">Small team overload / key-person dependency</t>
  </si>
  <si>
    <t xml:space="preserve">Capacity rule enforced (&lt;=3 leads and weighted &lt;=4.0 per FTE); 8 contractors for build peaks; deputies named in RACI</t>
  </si>
  <si>
    <t xml:space="preserve">R07</t>
  </si>
  <si>
    <t xml:space="preserve">Contractor dependency persists after handover</t>
  </si>
  <si>
    <t xml:space="preserve">K20 KRI; handover PM-12 with internal owners; contractor access revoked at exit</t>
  </si>
  <si>
    <t xml:space="preserve">R08</t>
  </si>
  <si>
    <t xml:space="preserve">Splunk ingest/licence overrun (Entra non-interactive logs 5-10x; OCSF volumes)</t>
  </si>
  <si>
    <t xml:space="preserve">Volume sizing in MR-03; filtering at Event Hub/HEC; tiered retention</t>
  </si>
  <si>
    <t xml:space="preserve">R09</t>
  </si>
  <si>
    <t xml:space="preserve">Customer account takeover on withdrawals (B2C has no risk-based protection after P2 retirement)</t>
  </si>
  <si>
    <t xml:space="preserve">Step-up MFA (ID-13); fraud/bot vendor (D-13); detections</t>
  </si>
  <si>
    <t xml:space="preserve">R10</t>
  </si>
  <si>
    <t xml:space="preserve">Regulatory scope changes (EU solicitation found; US market-structure law)</t>
  </si>
  <si>
    <t xml:space="preserve">D-01 with counsel; regulatory-change trigger; quarterly watch</t>
  </si>
  <si>
    <t xml:space="preserve">R11</t>
  </si>
  <si>
    <t xml:space="preserve">Unverified vendor claims (Solana monitoring coverage; CrowdStrike AL2023/Bottlerocket support)</t>
  </si>
  <si>
    <t xml:space="preserve">Written confirmation as contract condition (BC-09, HD-13)</t>
  </si>
  <si>
    <t xml:space="preserve">R12</t>
  </si>
  <si>
    <t xml:space="preserve">Holiday period W9-W10 reduces capacity</t>
  </si>
  <si>
    <t xml:space="preserve">Freeze prod changes; schedule design/non-prod work; no gates in W9-W10</t>
  </si>
  <si>
    <t xml:space="preserve">R13</t>
  </si>
  <si>
    <t xml:space="preserve">SOC 2 Type I exceptions</t>
  </si>
  <si>
    <t xml:space="preserve">Independent readiness (GC-13) and remediation (GC-14) before as-of date</t>
  </si>
  <si>
    <t xml:space="preserve">R14</t>
  </si>
  <si>
    <t xml:space="preserve">Budget not approved for licences/partners</t>
  </si>
  <si>
    <t xml:space="preserve">Budget envelope at Gate 1; prioritised fallback scope</t>
  </si>
  <si>
    <t xml:space="preserve">R15</t>
  </si>
  <si>
    <t xml:space="preserve">Glamsterdam mainnet scheduled inside program; gas repricing breaks contracts</t>
  </si>
  <si>
    <t xml:space="preserve">BC-04/BC-14 remediation and Hoodi regression; fork trigger procedure</t>
  </si>
  <si>
    <t xml:space="preserve">R16</t>
  </si>
  <si>
    <t xml:space="preserve">Insider / DPRK IT-worker infiltration</t>
  </si>
  <si>
    <t xml:space="preserve">GC-11 screening; least privilege; PIM; signer separation</t>
  </si>
  <si>
    <t xml:space="preserve">R17</t>
  </si>
  <si>
    <t xml:space="preserve">Business is custodial / an MSB -&gt; FinCEN, state licensing, FTC Safeguards obligations not in plan</t>
  </si>
  <si>
    <t xml:space="preserve">D-01 answers explicitly; re-plan at Gate 1 if yes</t>
  </si>
  <si>
    <t xml:space="preserve">R18</t>
  </si>
  <si>
    <t xml:space="preserve">EKS 1.32 forced auto-upgrade after 23 Mar 2027 (no notice, no rollback)</t>
  </si>
  <si>
    <t xml:space="preserve">HD-16B completes hops by W18; HD-24 readiness matrix</t>
  </si>
  <si>
    <t xml:space="preserve">R19</t>
  </si>
  <si>
    <t xml:space="preserve">Entra/B2C log evidence lost (30-day / 7-day retention)</t>
  </si>
  <si>
    <t xml:space="preserve">MR-21 archive in W0-W1</t>
  </si>
  <si>
    <t xml:space="preserve">R20</t>
  </si>
  <si>
    <t xml:space="preserve">Cost overrun: Security Hub per-resource pricing, EKS extended support ($0.60/cluster-hr), Splunk ingest</t>
  </si>
  <si>
    <t xml:space="preserve">D-15 cost decision W4; D-10 upgradePolicy; filtering</t>
  </si>
  <si>
    <t xml:space="preserve">R21</t>
  </si>
  <si>
    <t xml:space="preserve">No 24/7 response before MDR is live (incl. holiday weeks)</t>
  </si>
  <si>
    <t xml:space="preserve">MR-00 interim on-call and paging; MDR phased from W5</t>
  </si>
  <si>
    <t xml:space="preserve">R22</t>
  </si>
  <si>
    <t xml:space="preserve">Internal roles run at the capacity limit (3 leads, weighted 4.0) in several weeks</t>
  </si>
  <si>
    <t xml:space="preserve">PMO coordinator; weekly load review; Steering can descope low-priority tasks (e.g. HD-26/HD-30)</t>
  </si>
  <si>
    <t xml:space="preserve">Decision log</t>
  </si>
  <si>
    <t xml:space="preserve">Decision</t>
  </si>
  <si>
    <t xml:space="preserve">Options</t>
  </si>
  <si>
    <t xml:space="preserve">Owning task</t>
  </si>
  <si>
    <t xml:space="preserve">Due week</t>
  </si>
  <si>
    <t xml:space="preserve">Due date (Fri)</t>
  </si>
  <si>
    <t xml:space="preserve">Needed by (task IDs)</t>
  </si>
  <si>
    <t xml:space="preserve">Owning task end wk</t>
  </si>
  <si>
    <t xml:space="preserve">Earliest consumer start wk</t>
  </si>
  <si>
    <t xml:space="preserve">Alignment</t>
  </si>
  <si>
    <t xml:space="preserve">Decision taken / date</t>
  </si>
  <si>
    <t xml:space="preserve">D-01</t>
  </si>
  <si>
    <t xml:space="preserve">Regulatory scope: MiCA/DORA/PCI no-go conditions; custodial/MSB/state licensing/Safeguards Rule; OFAC</t>
  </si>
  <si>
    <t xml:space="preserve">Out of scope with conditions / in scope (re-plan at G1) / partial</t>
  </si>
  <si>
    <t xml:space="preserve">GC-04, MR-05, GC-07, GC-22, GC-23</t>
  </si>
  <si>
    <t xml:space="preserve">D-02</t>
  </si>
  <si>
    <t xml:space="preserve">Entra licensing (admins, access-review population, workforce risk CA, workload identities)</t>
  </si>
  <si>
    <t xml:space="preserve">P2 / ID Governance / Entra Suite / Workload ID Premium</t>
  </si>
  <si>
    <t xml:space="preserve">ID-08, ID-09, ID-16</t>
  </si>
  <si>
    <t xml:space="preserve">D-03</t>
  </si>
  <si>
    <t xml:space="preserve">MDR provider and 24/7 owner per alert source</t>
  </si>
  <si>
    <t xml:space="preserve">Falcon Complete Next-Gen MDR / Splunk-integrated MDR / other</t>
  </si>
  <si>
    <t xml:space="preserve">D-04</t>
  </si>
  <si>
    <t xml:space="preserve">Vanta / Drata / Secureframe</t>
  </si>
  <si>
    <t xml:space="preserve">D-05</t>
  </si>
  <si>
    <t xml:space="preserve">EKS node OS</t>
  </si>
  <si>
    <t xml:space="preserve">AL2023 managed nodes / Bottlerocket / EKS Auto Mode</t>
  </si>
  <si>
    <t xml:space="preserve">HD-08, HD-13, HD-16A, HD-23, HD-26</t>
  </si>
  <si>
    <t xml:space="preserve">D-06</t>
  </si>
  <si>
    <t xml:space="preserve">Customer identity strategy</t>
  </si>
  <si>
    <t xml:space="preserve">Stay on B2C to 2029 / migrate to External ID FY27 / other CIAM</t>
  </si>
  <si>
    <t xml:space="preserve">D-07</t>
  </si>
  <si>
    <t xml:space="preserve">On-chain monitoring vendor</t>
  </si>
  <si>
    <t xml:space="preserve">Hypernative / Hexagate / OZ Monitor self-hosted / combination</t>
  </si>
  <si>
    <t xml:space="preserve">D-08</t>
  </si>
  <si>
    <t xml:space="preserve">SOC 2 TSC scope and subservice treatment</t>
  </si>
  <si>
    <t xml:space="preserve">Security only / +Availability / +Confidentiality; carve-out vs inclusive</t>
  </si>
  <si>
    <t xml:space="preserve">GC-05, GC-13</t>
  </si>
  <si>
    <t xml:space="preserve">D-09</t>
  </si>
  <si>
    <t xml:space="preserve">Bug bounty platform and SEAL Safe Harbor</t>
  </si>
  <si>
    <t xml:space="preserve">Immunefi / other; adopt Safe Harbor yes/no</t>
  </si>
  <si>
    <t xml:space="preserve">D-10</t>
  </si>
  <si>
    <t xml:space="preserve">EKS 1.34 clusters and upgradePolicy</t>
  </si>
  <si>
    <t xml:space="preserve">Upgrade to 1.35 before 2 Dec / EXTENDED at $0.60 per cluster-hr</t>
  </si>
  <si>
    <t xml:space="preserve">D-11</t>
  </si>
  <si>
    <t xml:space="preserve">Admission policy engine and image-signature verifier</t>
  </si>
  <si>
    <t xml:space="preserve">ValidatingAdmissionPolicy / Kyverno; verifier for ECR signatures</t>
  </si>
  <si>
    <t xml:space="preserve">HD-17, HD-18</t>
  </si>
  <si>
    <t xml:space="preserve">D-12</t>
  </si>
  <si>
    <t xml:space="preserve">SOC 2 Type I first vs straight to Type II</t>
  </si>
  <si>
    <t xml:space="preserve">Type I as-of 21 Mar 2027 + gap-free Type II / Type II only</t>
  </si>
  <si>
    <t xml:space="preserve">D-13</t>
  </si>
  <si>
    <t xml:space="preserve">B2C fraud/bot protection vendor</t>
  </si>
  <si>
    <t xml:space="preserve">Vendor shortlist / defer</t>
  </si>
  <si>
    <t xml:space="preserve">D-14</t>
  </si>
  <si>
    <t xml:space="preserve">Hot-wallet caps and velocity limits</t>
  </si>
  <si>
    <t xml:space="preserve">Per risk appetite tiers</t>
  </si>
  <si>
    <t xml:space="preserve">D-15</t>
  </si>
  <si>
    <t xml:space="preserve">Security services plan and cost (Security Hub per-resource, GuardDuty, Inspector, EKS extended, Splunk ingest)</t>
  </si>
  <si>
    <t xml:space="preserve">Essentials / add-ons / reduced scope</t>
  </si>
  <si>
    <t xml:space="preserve">MR-07, HD-21</t>
  </si>
  <si>
    <t xml:space="preserve">D-17</t>
  </si>
  <si>
    <t xml:space="preserve">Contractor capacity envelope (8 contractors, 6.5 FTE peak, 133 FTE-weeks) vs descope</t>
  </si>
  <si>
    <t xml:space="preserve">Approve / approve with descope list (HD-26, HD-30, BC-20, ID-17) / reject</t>
  </si>
  <si>
    <t xml:space="preserve">D-16</t>
  </si>
  <si>
    <t xml:space="preserve">AWS just-in-time elevation approach</t>
  </si>
  <si>
    <t xml:space="preserve">PIM for Groups via SCIM / alternative tool (verify maintenance)</t>
  </si>
  <si>
    <t xml:space="preserve">ID-11, ID-09</t>
  </si>
  <si>
    <t xml:space="preserve">Independent review log (v1 -&gt; v2): four adversarial reviewers + lead re-verification</t>
  </si>
  <si>
    <t xml:space="preserve">Status 'Deferred' or 'UNVERIFIED' items carry a named validation task.</t>
  </si>
  <si>
    <t xml:space="preserve">Reviewer</t>
  </si>
  <si>
    <t xml:space="preserve">Task ID(s)</t>
  </si>
  <si>
    <t xml:space="preserve">Severity</t>
  </si>
  <si>
    <t xml:space="preserve">Finding</t>
  </si>
  <si>
    <t xml:space="preserve">Resolution in v2</t>
  </si>
  <si>
    <t xml:space="preserve">RV-01</t>
  </si>
  <si>
    <t xml:space="preserve">Cloud/OS &amp; container</t>
  </si>
  <si>
    <t xml:space="preserve">Critical</t>
  </si>
  <si>
    <t xml:space="preserve">GuardDuty Runtime Monitoring agents need SSM (HD-06 W2-6), SCP allowance for guardduty:SendSecurityTelemetry, ECS agent &gt;=1.77.0; EKS on Fargate unsupported.</t>
  </si>
  <si>
    <t xml:space="preserve">Split: MR-01 agentless services W0-1; new MR-01B runtime agents W7-8 after HD-06 + CAB; SCP allowance added to HD-04; Fargate gap HD-25; Gate 1 criterion reworded.</t>
  </si>
  <si>
    <t xml:space="preserve">Fixed</t>
  </si>
  <si>
    <t xml:space="preserve">RV-02</t>
  </si>
  <si>
    <t xml:space="preserve">High</t>
  </si>
  <si>
    <t xml:space="preserve">Default Host Management Configuration needs IMDSv2 and can't attach the Inspector CIS policy; existing instance profiles take precedence.</t>
  </si>
  <si>
    <t xml:space="preserve">Instance profiles as primary path; DHMC only where no profile; per-instance IMDSv2 conversion; extended to W2-W6.</t>
  </si>
  <si>
    <t xml:space="preserve">RV-03</t>
  </si>
  <si>
    <t xml:space="preserve">HD-16</t>
  </si>
  <si>
    <t xml:space="preserve">Node OS migration too late (AL2 EOS 30 Jun 2026); 4 version hops in 8 weeks; started in freeze; binding deadline is 1.32 end of extended support 23 Mar 2027 (W22), not 27 Mar.</t>
  </si>
  <si>
    <t xml:space="preserve">Split into HD-16A (node groups to AL2023/Bottlerocket at 1.32, W6-W8 before freeze) and HD-16B (hops to 1.36, W11-W18); new HD-24 upgrade-readiness matrix W2-W4; D-05 moved to W4.</t>
  </si>
  <si>
    <t xml:space="preserve">RV-04</t>
  </si>
  <si>
    <t xml:space="preserve">HD-02 / D-10</t>
  </si>
  <si>
    <t xml:space="preserve">No task executed the 1.34 decision; upgradePolicy (STANDARD auto-upgrades at end of standard support) not inventoried; extended-support cost not costed.</t>
  </si>
  <si>
    <t xml:space="preserve">HD-01 records upgradePolicy; D-10 due W2 (owner HD-01); HD-02 W2-W5 covers 1.31 and 1.34; cost into D-15/R20.</t>
  </si>
  <si>
    <t xml:space="preserve">RV-05</t>
  </si>
  <si>
    <t xml:space="preserve">HD-04 / HD-10</t>
  </si>
  <si>
    <t xml:space="preserve">Medium</t>
  </si>
  <si>
    <t xml:space="preserve">IMDSv2 hop limit per workload type; VPC BPA exclusions; allowed-images audit mode; prod steps in freeze.</t>
  </si>
  <si>
    <t xml:space="preserve">Added to HD-04 activities; HD-10 prod from W11; freeze rule in Overview.</t>
  </si>
  <si>
    <t xml:space="preserve">RV-06</t>
  </si>
  <si>
    <t xml:space="preserve">HD-12 / HD-05</t>
  </si>
  <si>
    <t xml:space="preserve">Inspector CIS is x86_64-oriented; Bottlerocket excluded; alternate method undefined.</t>
  </si>
  <si>
    <t xml:space="preserve">Noted in HD-05/HD-12; new HD-26 Bottlerocket CIS evidence (method to verify).</t>
  </si>
  <si>
    <t xml:space="preserve">Fixed (method UNVERIFIED)</t>
  </si>
  <si>
    <t xml:space="preserve">RV-07</t>
  </si>
  <si>
    <t xml:space="preserve">Only some resource types back up directly to the air-gapped vault; Aurora backtrack is MySQL-only; no EKS backup design.</t>
  </si>
  <si>
    <t xml:space="preserve">MR-06 activities corrected; EKS backup approach added (verify AWS Backup EKS support).</t>
  </si>
  <si>
    <t xml:space="preserve">Fixed (EKS support UNVERIFIED)</t>
  </si>
  <si>
    <t xml:space="preserve">RV-08</t>
  </si>
  <si>
    <t xml:space="preserve">Cost</t>
  </si>
  <si>
    <t xml:space="preserve">Low</t>
  </si>
  <si>
    <t xml:space="preserve">Security Hub per-resource pricing decision needed before trial ends (~W4).</t>
  </si>
  <si>
    <t xml:space="preserve">New MR-23 + D-15 due W4.</t>
  </si>
  <si>
    <t xml:space="preserve">RV-09</t>
  </si>
  <si>
    <t xml:space="preserve">ECS has no admission control for signatures.</t>
  </si>
  <si>
    <t xml:space="preserve">HD-18: CI/CD signature gate for ECS.</t>
  </si>
  <si>
    <t xml:space="preserve">RV-10</t>
  </si>
  <si>
    <t xml:space="preserve">CIS v7.1.0 delta should precede control matrix.</t>
  </si>
  <si>
    <t xml:space="preserve">HD-09 moved to W6-7; GC-05 depends on it.</t>
  </si>
  <si>
    <t xml:space="preserve">RV-11</t>
  </si>
  <si>
    <t xml:space="preserve">Missing</t>
  </si>
  <si>
    <t xml:space="preserve">Missing: immutable log archive, ECS-on-EC2 AL2 migration, EKS readiness matrix, Fargate gap, Bottlerocket CIS, Control Tower drift, root credential removal, DNS/registrar/CloudFront, Macie.</t>
  </si>
  <si>
    <t xml:space="preserve">Added HD-22, HD-23, HD-24, HD-25, HD-26, HD-27, HD-30; root removal in ID-01/ID-11; DNS/registrar in BC-25.</t>
  </si>
  <si>
    <t xml:space="preserve">RV-12</t>
  </si>
  <si>
    <t xml:space="preserve">Identity &amp; monitoring</t>
  </si>
  <si>
    <t xml:space="preserve">MR-11 / MR-02</t>
  </si>
  <si>
    <t xml:space="preserve">No 24/7 coverage W0-W13 incl. holiday freeze; detection services enabled with no alert routing.</t>
  </si>
  <si>
    <t xml:space="preserve">New MR-00 interim on-call + paging W0-W1; MDR signed W4 and onboarded in phases W5-W13 (MR-11 led by MDR).</t>
  </si>
  <si>
    <t xml:space="preserve">RV-13</t>
  </si>
  <si>
    <t xml:space="preserve">Break-glass alert depended on Splunk (W7+); no AWS break-glass; centralized root mgmt doesn't cover management account.</t>
  </si>
  <si>
    <t xml:space="preserve">Interim Log Analytics alert to pager; AWS break-glass via management-account root (2 FIDO2) + emergency role.</t>
  </si>
  <si>
    <t xml:space="preserve">RV-14</t>
  </si>
  <si>
    <t xml:space="preserve">ID-08 / ID-10</t>
  </si>
  <si>
    <t xml:space="preserve">CA enforced before FIDO2 keys enrolled; no procurement task; enforcement in freeze.</t>
  </si>
  <si>
    <t xml:space="preserve">New ID-00 (order W0); ID-10 W9-10; ID-08 report-only W7-10; new ID-08B enforce W11-12 depending on ID-10; AAGUID allowlist.</t>
  </si>
  <si>
    <t xml:space="preserve">RV-15</t>
  </si>
  <si>
    <t xml:space="preserve">ID-03 / D-02</t>
  </si>
  <si>
    <t xml:space="preserve">Licensing scoped to admins only; access reviews, workforce risk CA, risky SPs need more.</t>
  </si>
  <si>
    <t xml:space="preserve">D-02 widened (access-review population, P2 risk CA, Workload ID Premium).</t>
  </si>
  <si>
    <t xml:space="preserve">RV-16</t>
  </si>
  <si>
    <t xml:space="preserve">Azure MFA Phase 2 enforced since postponement cap (1 Jul 2026); automation breaking now.</t>
  </si>
  <si>
    <t xml:space="preserve">ID-02 moved to W0-W2 as Immediate action.</t>
  </si>
  <si>
    <t xml:space="preserve">RV-17</t>
  </si>
  <si>
    <t xml:space="preserve">MR-03 / MR-07</t>
  </si>
  <si>
    <t xml:space="preserve">Splunk Add-on for AWS does not ingest Security Hub OCSF; Entra categories incomplete.</t>
  </si>
  <si>
    <t xml:space="preserve">Use Splunk Add-on for AWS Security Hub (Splunkbase 8642) via EventBridge-&gt;HEC; full Entra category list.</t>
  </si>
  <si>
    <t xml:space="preserve">RV-18</t>
  </si>
  <si>
    <t xml:space="preserve">Retention</t>
  </si>
  <si>
    <t xml:space="preserve">Entra keeps sign-in/audit logs 30 days (P1/P2); External ID Basic 7 days; Graph activity not retained.</t>
  </si>
  <si>
    <t xml:space="preserve">New MR-21 archive W0-W1 (Immediate); HD-22 immutable archive; retention schedule GC-26.</t>
  </si>
  <si>
    <t xml:space="preserve">RV-19</t>
  </si>
  <si>
    <t xml:space="preserve">Falcon Complete operates inside Falcon, not Splunk; Splunk notables need a 24/7 owner.</t>
  </si>
  <si>
    <t xml:space="preserve">D-03 requires a named 24/7 owner per alert source, SLAs and containment authority.</t>
  </si>
  <si>
    <t xml:space="preserve">RV-20</t>
  </si>
  <si>
    <t xml:space="preserve">Step-up needs server-side enforcement.</t>
  </si>
  <si>
    <t xml:space="preserve">Withdrawal API checks fresh auth_time bound to transaction; out-of-band confirmation + cool-down; pentest in MR-16.</t>
  </si>
  <si>
    <t xml:space="preserve">RV-21</t>
  </si>
  <si>
    <t xml:space="preserve">ID-07 / ID-15</t>
  </si>
  <si>
    <t xml:space="preserve">EIP-4361 is Final; session-binding design missing.</t>
  </si>
  <si>
    <t xml:space="preserve">Reference corrected; verifier API/custom OIDC IdP, nonce store, EIP-1271 added.</t>
  </si>
  <si>
    <t xml:space="preserve">RV-22</t>
  </si>
  <si>
    <t xml:space="preserve">ID-11 / ID-09</t>
  </si>
  <si>
    <t xml:space="preserve">AWS has no native JIT; K09 counts Identity Center but PIM scoped to Entra/Azure.</t>
  </si>
  <si>
    <t xml:space="preserve">New D-16 (PIM for Groups via SCIM vs alternative); ID-09 covers PIM for Groups; SCP blocks Identity Store writes.</t>
  </si>
  <si>
    <t xml:space="preserve">RV-23</t>
  </si>
  <si>
    <t xml:space="preserve">No IR plan until W8; DORA timelines imprecise.</t>
  </si>
  <si>
    <t xml:space="preserve">Interim runbook in MR-00; DORA wording: 4h after classification/24h from awareness, 72h after initial, 1 month after last intermediate.</t>
  </si>
  <si>
    <t xml:space="preserve">RV-24</t>
  </si>
  <si>
    <t xml:space="preserve">K11-K13</t>
  </si>
  <si>
    <t xml:space="preserve">MTTD/MTTR clocks undefined; medians hide tails.</t>
  </si>
  <si>
    <t xml:space="preserve">KPI definitions added; median + p90; new MTTA KPI (K13).</t>
  </si>
  <si>
    <t xml:space="preserve">RV-25</t>
  </si>
  <si>
    <t xml:space="preserve">Detection-as-code was only a repo.</t>
  </si>
  <si>
    <t xml:space="preserve">New MR-24 CI pipeline (contentctl) before wave 1.</t>
  </si>
  <si>
    <t xml:space="preserve">RV-26</t>
  </si>
  <si>
    <t xml:space="preserve">Missing app consent governance, helpdesk fraud, B2C policy review, Splunk integrity, token theft, workforce ID Protection, SOAR identity lockdown.</t>
  </si>
  <si>
    <t xml:space="preserve">Added ID-18, ID-19, ID-16, ID-17, MR-20; B2C review in ID-06; SOAR identities in MR-10.</t>
  </si>
  <si>
    <t xml:space="preserve">RV-27</t>
  </si>
  <si>
    <t xml:space="preserve">Splunk cost controls vague.</t>
  </si>
  <si>
    <t xml:space="preserve">Volume sizing and filtering in MR-03; D-15.</t>
  </si>
  <si>
    <t xml:space="preserve">RV-28</t>
  </si>
  <si>
    <t xml:space="preserve">Blockchain</t>
  </si>
  <si>
    <t xml:space="preserve">BC-10 / K14</t>
  </si>
  <si>
    <t xml:space="preserve">Admin keys below threshold and without timelock until W16 (Drift pattern).</t>
  </si>
  <si>
    <t xml:space="preserve">New BC-22 interim multisig hardening W0-W2 (Immediate).</t>
  </si>
  <si>
    <t xml:space="preserve">RV-29</t>
  </si>
  <si>
    <t xml:space="preserve">BC-10 / BC-21</t>
  </si>
  <si>
    <t xml:space="preserve">Timelocking every role includes pause, conflicting with time-to-pause.</t>
  </si>
  <si>
    <t xml:space="preserve">Role matrix: pause guardian lower threshold without timelock; canceller role; K15 measured per matrix row; BC-28 pause drill.</t>
  </si>
  <si>
    <t xml:space="preserve">RV-30</t>
  </si>
  <si>
    <t xml:space="preserve">VAT is 0.8 SOL burned per epoch; no fallback; first fee covers epoch 1065.</t>
  </si>
  <si>
    <t xml:space="preserve">BC-01 corrected (per epoch, auto top-up, commission pass-through, re-delegation fallback, rewards 1065-1066). Re-verified on solana.com.</t>
  </si>
  <si>
    <t xml:space="preserve">RV-31</t>
  </si>
  <si>
    <t xml:space="preserve">Pre-Alpenglow metrics; lead CSO 0.3 FTE.</t>
  </si>
  <si>
    <t xml:space="preserve">Lead DET with BSE/CSO support; metric definitions flagged to verify post-Alpenglow; commission/withdrawer/lockup alerts.</t>
  </si>
  <si>
    <t xml:space="preserve">Fixed (metrics UNVERIFIED)</t>
  </si>
  <si>
    <t xml:space="preserve">RV-32</t>
  </si>
  <si>
    <t xml:space="preserve">No handling of 0x00 credentials or provider-owned 0x01.</t>
  </si>
  <si>
    <t xml:space="preserve">Added to BC-02; remediation via BC-19; EIP-7002 request alerts.</t>
  </si>
  <si>
    <t xml:space="preserve">RV-33</t>
  </si>
  <si>
    <t xml:space="preserve">Old Defender relayer addresses may still hold on-chain roles.</t>
  </si>
  <si>
    <t xml:space="preserve">BC-03 lists and revokes role holders via multisig.</t>
  </si>
  <si>
    <t xml:space="preserve">RV-34</t>
  </si>
  <si>
    <t xml:space="preserve">BC-05 / BC-10</t>
  </si>
  <si>
    <t xml:space="preserve">Squads config authority and spending limits bypass proposals; IDL authority not inventoried.</t>
  </si>
  <si>
    <t xml:space="preserve">Added to BC-05 inventory and BC-10/BC-13 (authorities to Vault).</t>
  </si>
  <si>
    <t xml:space="preserve">RV-35</t>
  </si>
  <si>
    <t xml:space="preserve">BC-15 / BC-16</t>
  </si>
  <si>
    <t xml:space="preserve">No nSLOC sizing; booked slot mismatch; timelock/guard work after freeze; Anchor migration never done.</t>
  </si>
  <si>
    <t xml:space="preserve">nSLOC sizing in BC-05; freeze W15 after BC-10/BC-23; audit W16-W19 with parallel teams; new BC-23 Anchor 1.x migration.</t>
  </si>
  <si>
    <t xml:space="preserve">RV-36</t>
  </si>
  <si>
    <t xml:space="preserve">Safe 1.5.0 upgrade needs delegatecall that a guard would block; buggy guard can brick Safe.</t>
  </si>
  <si>
    <t xml:space="preserve">Upgrade first, then guard; fork-tested; removable.</t>
  </si>
  <si>
    <t xml:space="preserve">RV-37</t>
  </si>
  <si>
    <t xml:space="preserve">BC-04 / BC-14</t>
  </si>
  <si>
    <t xml:space="preserve">Checklist covers only gas repricing; other Glamsterdam EIPs affect monitoring/exit SLA; Fusaka gas cap.</t>
  </si>
  <si>
    <t xml:space="preserve">Checklist widened; EIP list to be verified against the Glamsterdam meta-EIP (reviewer-cited EIPs not independently verified).</t>
  </si>
  <si>
    <t xml:space="preserve">Partially fixed (EIP list UNVERIFIED)</t>
  </si>
  <si>
    <t xml:space="preserve">RV-38</t>
  </si>
  <si>
    <t xml:space="preserve">FIDO2 keys are not on-chain signers.</t>
  </si>
  <si>
    <t xml:space="preserve">ID-10 admins only; signer hardware wallets in ID-00 + BC-11.</t>
  </si>
  <si>
    <t xml:space="preserve">RV-39</t>
  </si>
  <si>
    <t xml:space="preserve">Missing Solana account-validation checks and EVM storage-layout checks.</t>
  </si>
  <si>
    <t xml:space="preserve">Added to BC-08 and BC-13.</t>
  </si>
  <si>
    <t xml:space="preserve">RV-40</t>
  </si>
  <si>
    <t xml:space="preserve">No privileged-event monitoring before W12 (Defender gone).</t>
  </si>
  <si>
    <t xml:space="preserve">New BC-24 interim OZ Monitor W3-W5; MR-13 moved to W7-W9.</t>
  </si>
  <si>
    <t xml:space="preserve">RV-41</t>
  </si>
  <si>
    <t xml:space="preserve">Safe Harbor chain coverage (Solana) unconfirmed.</t>
  </si>
  <si>
    <t xml:space="preserve">Confirm with SEAL in D-09.</t>
  </si>
  <si>
    <t xml:space="preserve">RV-42</t>
  </si>
  <si>
    <t xml:space="preserve">Missing front-end/DNS integrity, deployer hygiene, immutability decision, pause drill, treasury hygiene, oracle risk, RPC security, MPC exit/co-signer, verified builds/IDL.</t>
  </si>
  <si>
    <t xml:space="preserve">Added BC-25, BC-26, BC-28, BC-29, BC-30, BC-31; immutability in BC-10; MPC exit in GC-28; co-signer in BC-12; verified builds/IDL in BC-13.</t>
  </si>
  <si>
    <t xml:space="preserve">RV-43</t>
  </si>
  <si>
    <t xml:space="preserve">Governance/PMO</t>
  </si>
  <si>
    <t xml:space="preserve">GC-15 / PM-13</t>
  </si>
  <si>
    <t xml:space="preserve">Type II window opened before the evergreen calendar was live; 'window open' not testable.</t>
  </si>
  <si>
    <t xml:space="preserve">PM-13 moved to W14-W16; Type I as-of Sun 21 Mar 2027 and Type II from Mon 22 Mar 2027 (gap-free); G4 criteria: engagement letter with period dates + first in-period evidence.</t>
  </si>
  <si>
    <t xml:space="preserve">RV-44</t>
  </si>
  <si>
    <t xml:space="preserve">Annual/one-off controls occur before the period.</t>
  </si>
  <si>
    <t xml:space="preserve">GC-07 agrees with CPA which pre-period runs are accepted; annual items repeat in BAU calendar.</t>
  </si>
  <si>
    <t xml:space="preserve">RV-45</t>
  </si>
  <si>
    <t xml:space="preserve">GC-01 / D-01</t>
  </si>
  <si>
    <t xml:space="preserve">Withdrawal flows suggest custody -&gt; FinCEN MSB, state licensing, FTC Safeguards.</t>
  </si>
  <si>
    <t xml:space="preserve">D-01 must answer custodial/MSB/states/Safeguards; assumption + R17; re-plan at G1 if yes.</t>
  </si>
  <si>
    <t xml:space="preserve">Fixed (contingent)</t>
  </si>
  <si>
    <t xml:space="preserve">RV-46</t>
  </si>
  <si>
    <t xml:space="preserve">GC-01 / PM-03</t>
  </si>
  <si>
    <t xml:space="preserve">Counsel booked too late; budget only at G1.</t>
  </si>
  <si>
    <t xml:space="preserve">Counsel engaged W0 inside GC-01; new PM-02A interim budget W1.</t>
  </si>
  <si>
    <t xml:space="preserve">RV-47</t>
  </si>
  <si>
    <t xml:space="preserve">Risk/exception process started W14; no risk or fraud assessment.</t>
  </si>
  <si>
    <t xml:space="preserve">GC-12 moved to W6-W7 (spreadsheet until platform); interim exception log in PM-07; new GC-17.</t>
  </si>
  <si>
    <t xml:space="preserve">RV-48</t>
  </si>
  <si>
    <t xml:space="preserve">RTO/RPO without BIA; no BCP.</t>
  </si>
  <si>
    <t xml:space="preserve">New GC-18 BIA W4-W5 feeding MR-06; new GC-19 BCP + crisis comms.</t>
  </si>
  <si>
    <t xml:space="preserve">RV-49</t>
  </si>
  <si>
    <t xml:space="preserve">Control matrix started before scope decision.</t>
  </si>
  <si>
    <t xml:space="preserve">GC-05 depends on GC-07 (W8-W11).</t>
  </si>
  <si>
    <t xml:space="preserve">RV-50</t>
  </si>
  <si>
    <t xml:space="preserve">GC-09/10/11</t>
  </si>
  <si>
    <t xml:space="preserve">Started in holiday freeze.</t>
  </si>
  <si>
    <t xml:space="preserve">GC-09 W6-W9; GC-10/GC-11 W11.</t>
  </si>
  <si>
    <t xml:space="preserve">RV-51</t>
  </si>
  <si>
    <t xml:space="preserve">GC-10/11/13/07</t>
  </si>
  <si>
    <t xml:space="preserve">Independence: GRC operating HR controls; readiness consultant reviewing own design; CPA as support.</t>
  </si>
  <si>
    <t xml:space="preserve">HR controls led by HRB; three separate firms (GRCC implements, RDA assesses readiness, CPA attests); CPA consulted only.</t>
  </si>
  <si>
    <t xml:space="preserve">RV-52</t>
  </si>
  <si>
    <t xml:space="preserve">IA reported to CEO (Steering chair); limited scope; no board oversight.</t>
  </si>
  <si>
    <t xml:space="preserve">IA reports to Board/Audit Committee; covers 1st and 2nd line; new GC-20 board oversight.</t>
  </si>
  <si>
    <t xml:space="preserve">RV-53</t>
  </si>
  <si>
    <t xml:space="preserve">Roles</t>
  </si>
  <si>
    <t xml:space="preserve">Lead-only cap ignores support load and PL forum load.</t>
  </si>
  <si>
    <t xml:space="preserve">Added weighted-load rule (lead 1 + support 0.25 &lt;= 4 x FTE); PMO coordinator; CSO raised to 1.0 FTE; supports trimmed; all roles pass.</t>
  </si>
  <si>
    <t xml:space="preserve">RV-54</t>
  </si>
  <si>
    <t xml:space="preserve">Forums</t>
  </si>
  <si>
    <t xml:space="preserve">Too many meetings for 5 FTE.</t>
  </si>
  <si>
    <t xml:space="preserve">ARB inside the weekly CAB slot fortnightly; CUKC fortnightly + ad hoc.</t>
  </si>
  <si>
    <t xml:space="preserve">RV-55</t>
  </si>
  <si>
    <t xml:space="preserve">No owners; denominators; medians; contractor KPI should be a KRI; no evidence timeliness.</t>
  </si>
  <si>
    <t xml:space="preserve">Owners and definitions added; p90; KRIs tab section; K23-K25 added.</t>
  </si>
  <si>
    <t xml:space="preserve">RV-56</t>
  </si>
  <si>
    <t xml:space="preserve">Evergreen</t>
  </si>
  <si>
    <t xml:space="preserve">No CAPA/management review; unlimited renewals; DR/pentest cadence too heavy.</t>
  </si>
  <si>
    <t xml:space="preserve">New GC-21; one renewal max; pentest annual + after major change; full DR annual with quarterly automated restore tests.</t>
  </si>
  <si>
    <t xml:space="preserve">RV-57</t>
  </si>
  <si>
    <t xml:space="preserve">G2 / G3</t>
  </si>
  <si>
    <t xml:space="preserve">No GRC criteria in gates.</t>
  </si>
  <si>
    <t xml:space="preserve">G2 includes GC-04/05/06/12; G3 includes GC-13.</t>
  </si>
  <si>
    <t xml:space="preserve">RV-58</t>
  </si>
  <si>
    <t xml:space="preserve">Missing GC-17..GC-31 items.</t>
  </si>
  <si>
    <t xml:space="preserve">Added PM-02A, GC-17, GC-18, GC-19, GC-20, GC-21, GC-22, GC-23, GC-25, GC-26, GC-27, GC-28; VDP in BC-25; evidence calendar in PM-13; AML programme contingent on D-01.</t>
  </si>
  <si>
    <t xml:space="preserve">Fixed / AML deferred (contingent)</t>
  </si>
  <si>
    <t xml:space="preserve">RV-59</t>
  </si>
  <si>
    <t xml:space="preserve">Lead re-verification</t>
  </si>
  <si>
    <t xml:space="preserve">Re-verified Alpenglow on solana.com: epoch 1064, ~15:00 UTC 21 Oct 2026; VAT 0.8 SOL per epoch burned; Agave-4.3.0-based clients only; Firedancer/Frankendancer unsupported during migration.</t>
  </si>
  <si>
    <t xml:space="preserve">Plan text aligned.</t>
  </si>
  <si>
    <t xml:space="preserve">Verified</t>
  </si>
  <si>
    <t xml:space="preserve">RV-60</t>
  </si>
  <si>
    <t xml:space="preserve">HD-02 / HD-16B</t>
  </si>
  <si>
    <t xml:space="preserve">Re-verified EKS calendar: 1.31 ext. EOS 26 Nov 2026; 1.32 ext. EOS 23 Mar 2027; 1.34 std. EOS 2 Dec 2026; 1.35 std. EOS 27 Mar 2027; auto-upgrade at end of extended support without notice or rollback; STANDARD policy auto-upgrades at end of standard support.</t>
  </si>
  <si>
    <t xml:space="preserve">Deadlines and HD-16B hard stop aligned.</t>
  </si>
  <si>
    <t xml:space="preserve">RV-61</t>
  </si>
  <si>
    <t xml:space="preserve">Re-verified Entra retention: sign-in/audit 30 days on P1/P2 (7 Free); Graph activity logs not retained unless exported; External ID Basic 7 days.</t>
  </si>
  <si>
    <t xml:space="preserve">MR-21 kept as Immediate action.</t>
  </si>
  <si>
    <t xml:space="preserve">RV-62</t>
  </si>
  <si>
    <t xml:space="preserve">Deferred</t>
  </si>
  <si>
    <t xml:space="preserve">Items not verifiable from public primary sources: CrowdStrike AL2023/Bottlerocket support (login-gated), Hexagate/Tenderly Solana coverage, SOC 2 minimum Type II period (AICPA FAQ login-gated), FIPS 206 status, Bottlerocket CIS reporting method, AWS Backup EKS support.</t>
  </si>
  <si>
    <t xml:space="preserve">Kept as UNVERIFIED with written-confirmation or validation tasks (HD-05, BC-09, GC-07, HD-26, MR-06).</t>
  </si>
  <si>
    <t xml:space="preserve">Deferred - validation tasks assigned</t>
  </si>
  <si>
    <t xml:space="preserve">Summary</t>
  </si>
  <si>
    <t xml:space="preserve">Not fully fixed</t>
  </si>
  <si>
    <t xml:space="preserve">Sources - primary sources checked 19 Oct 2026 (status: Verified / Partial / Secondary / Vendor claim / UNVERIFIED)</t>
  </si>
  <si>
    <t xml:space="preserve">#</t>
  </si>
  <si>
    <t xml:space="preserve">Topic</t>
  </si>
  <si>
    <t xml:space="preserve">Fact</t>
  </si>
  <si>
    <t xml:space="preserve">URL</t>
  </si>
  <si>
    <t xml:space="preserve">Checked</t>
  </si>
  <si>
    <t xml:space="preserve">AWS - CIS</t>
  </si>
  <si>
    <t xml:space="preserve">Latest CIS AWS Foundations Benchmark v7.1.0</t>
  </si>
  <si>
    <t xml:space="preserve">https://www.cisecurity.org/benchmark/amazon_web_services</t>
  </si>
  <si>
    <t xml:space="preserve">2026-10-19</t>
  </si>
  <si>
    <t xml:space="preserve">Security Hub CSPM automates CIS AWS Foundations v1.2.0, v1.4.0, v3.0.0, v5.0.0</t>
  </si>
  <si>
    <t xml:space="preserve">https://docs.aws.amazon.com/securityhub/latest/userguide/cis-aws-foundations-benchmark.html</t>
  </si>
  <si>
    <t xml:space="preserve">CIS Amazon Linux 2023 v1.0.0; CIS Amazon Linux 2 v4.0.0</t>
  </si>
  <si>
    <t xml:space="preserve">https://www.cisecurity.org/benchmark/amazon_linux</t>
  </si>
  <si>
    <t xml:space="preserve">CIS Kubernetes v2.1.0; CIS Amazon EKS v2.0.0; CIS EKS Auto Mode v1.0.0</t>
  </si>
  <si>
    <t xml:space="preserve">https://www.cisecurity.org/benchmark/kubernetes</t>
  </si>
  <si>
    <t xml:space="preserve">https://www.cisecurity.org/benchmark/bottlerocket</t>
  </si>
  <si>
    <t xml:space="preserve">Frameworks</t>
  </si>
  <si>
    <t xml:space="preserve">CIS Controls v8.1 (Jun 2024) with governance function</t>
  </si>
  <si>
    <t xml:space="preserve">https://www.cisecurity.org/controls</t>
  </si>
  <si>
    <t xml:space="preserve">AWS - lifecycle</t>
  </si>
  <si>
    <t xml:space="preserve">Amazon Linux 2 end of support 2026-06-30; AL2023 supported to Jun 2029</t>
  </si>
  <si>
    <t xml:space="preserve">https://aws.amazon.com/amazon-linux-2/faqs/</t>
  </si>
  <si>
    <t xml:space="preserve">EKS stopped publishing AL2 AMIs 2025-11-26; 1.32 is last version with AL2 AMIs</t>
  </si>
  <si>
    <t xml:space="preserve">https://docs.aws.amazon.com/eks/latest/userguide/eks-ami-deprecation-faqs.html</t>
  </si>
  <si>
    <t xml:space="preserve">EKS version calendar (1.31 ext. EOS 2026-11-26; 1.32 ext. EOS 2027-03-23; 1.34 std. EOS 2026-12-02; 1.35 std. EOS 2027-03-27); auto-upgrade behaviour; upgradePolicy</t>
  </si>
  <si>
    <t xml:space="preserve">Verified (lead re-check)</t>
  </si>
  <si>
    <t xml:space="preserve">https://docs.aws.amazon.com/eks/latest/userguide/kubernetes-versions.html</t>
  </si>
  <si>
    <t xml:space="preserve">EKS pricing: standard $0.10, extended $0.60 per cluster-hour</t>
  </si>
  <si>
    <t xml:space="preserve">https://aws.amazon.com/eks/pricing/</t>
  </si>
  <si>
    <t xml:space="preserve">AWS - services</t>
  </si>
  <si>
    <t xml:space="preserve">New AWS Security Hub GA 2025-12-02 (correlation, exposure, OCSF)</t>
  </si>
  <si>
    <t xml:space="preserve">https://aws.amazon.com/blogs/aws/aws-security-hub-now-generally-available-with-near-real-time-analytics-and-risk-prioritization/</t>
  </si>
  <si>
    <t xml:space="preserve">Security Hub CSPM posture checks (FSBP, CIS, PCI, NIST)</t>
  </si>
  <si>
    <t xml:space="preserve">https://docs.aws.amazon.com/securityhub/latest/userguide/what-is-securityhub.html</t>
  </si>
  <si>
    <t xml:space="preserve">Security Hub per-resource pricing (unit rate inferred from examples)</t>
  </si>
  <si>
    <t xml:space="preserve">Partial</t>
  </si>
  <si>
    <t xml:space="preserve">https://aws.amazon.com/security-hub/pricing/</t>
  </si>
  <si>
    <t xml:space="preserve">GuardDuty Runtime Monitoring: EKS on EC2, ECS (Fargate and EC2), EC2; not EKS on Fargate</t>
  </si>
  <si>
    <t xml:space="preserve">https://docs.aws.amazon.com/guardduty/latest/ug/runtime-monitoring.html</t>
  </si>
  <si>
    <t xml:space="preserve">GuardDuty Runtime Monitoring OS/kernel prerequisites</t>
  </si>
  <si>
    <t xml:space="preserve">https://docs.aws.amazon.com/guardduty/latest/ug/prereq-runtime-monitoring-cpu-os-kernel-support.html</t>
  </si>
  <si>
    <t xml:space="preserve">GuardDuty Extended Threat Detection</t>
  </si>
  <si>
    <t xml:space="preserve">https://docs.aws.amazon.com/guardduty/latest/ug/guardduty-extended-threat-detection.html</t>
  </si>
  <si>
    <t xml:space="preserve">Inspector CIS scans prerequisites (SSM, instance profile with AmazonInspector2ManagedCisPolicy)</t>
  </si>
  <si>
    <t xml:space="preserve">https://docs.aws.amazon.com/inspector/latest/user/scanning-cis.html</t>
  </si>
  <si>
    <t xml:space="preserve">Inspector CIS supported OS (AL2023 yes; AL2 and Bottlerocket no)</t>
  </si>
  <si>
    <t xml:space="preserve">https://docs.aws.amazon.com/inspector/latest/user/supported.html</t>
  </si>
  <si>
    <t xml:space="preserve">Inspector Code Security launched 2025-06-17</t>
  </si>
  <si>
    <t xml:space="preserve">https://aws.amazon.com/about-aws/whats-new/2025/06/amazon-inspector-code-security-shift-security-development</t>
  </si>
  <si>
    <t xml:space="preserve">EKS Pod Identity limits (no Fargate, Windows, Outposts)</t>
  </si>
  <si>
    <t xml:space="preserve">https://docs.aws.amazon.com/eks/latest/userguide/pod-identities.html</t>
  </si>
  <si>
    <t xml:space="preserve">EC2 declarative policies: 7 attributes; EBS default encryption not one</t>
  </si>
  <si>
    <t xml:space="preserve">https://docs.aws.amazon.com/organizations/latest/userguide/orgs_manage_policies_declarative_syntax.html</t>
  </si>
  <si>
    <t xml:space="preserve">ECR managed signing (AWS Signer) launched 2025-11-21</t>
  </si>
  <si>
    <t xml:space="preserve">https://aws.amazon.com/about-aws/whats-new/2025/11/amazon-ecr-managed-container-image-signing</t>
  </si>
  <si>
    <t xml:space="preserve">ECR tag immutability exclusions 2025-07-23</t>
  </si>
  <si>
    <t xml:space="preserve">https://aws.amazon.com/about-aws/whats-new/2025/07/amazon-ecr-exceptions-tag-immutability/</t>
  </si>
  <si>
    <t xml:space="preserve">IAM Access Analyzer internal access findings 2025-06-17</t>
  </si>
  <si>
    <t xml:space="preserve">https://aws.amazon.com/about-aws/whats-new/2025/06/iam-access-analyzer-aws-organization-access-resources</t>
  </si>
  <si>
    <t xml:space="preserve">Resource Control Policies launched 2024-11-13</t>
  </si>
  <si>
    <t xml:space="preserve">https://aws.amazon.com/about-aws/whats-new/2024/11/resource-control-policies-restrict-access-aws-resources</t>
  </si>
  <si>
    <t xml:space="preserve">Centralized root access management (Nov 2024)</t>
  </si>
  <si>
    <t xml:space="preserve">https://aws.amazon.com/about-aws/whats-new/2024/11/manage-root-access-aws-identity-access-management/</t>
  </si>
  <si>
    <t xml:space="preserve">AWS Backup direct backup to logically air-gapped vault 2025-11-17</t>
  </si>
  <si>
    <t xml:space="preserve">https://aws.amazon.com/about-aws/whats-new/2025/11/aws-backup-direct-to-logically-air-gapped-vault</t>
  </si>
  <si>
    <t xml:space="preserve">Control Tower 2026 release notes</t>
  </si>
  <si>
    <t xml:space="preserve">https://docs.aws.amazon.com/controltower/latest/userguide/2026-all.html</t>
  </si>
  <si>
    <t xml:space="preserve">AWS - controls</t>
  </si>
  <si>
    <t xml:space="preserve">Security Hub control reference (EC2.x, EKS.x, IAM.x, S3.x, etc. as cited)</t>
  </si>
  <si>
    <t xml:space="preserve">Verified (titles via summariser)</t>
  </si>
  <si>
    <t xml:space="preserve">https://docs.aws.amazon.com/securityhub/latest/userguide/ec2-controls.html (and per-service pages eks-, iam-, s3-, rds-controls.html etc.)</t>
  </si>
  <si>
    <t xml:space="preserve">Tooling</t>
  </si>
  <si>
    <t xml:space="preserve">CrowdStrike Falcon cloud workload coverage (AL2023/Bottlerocket support UNVERIFIED - login-gated)</t>
  </si>
  <si>
    <t xml:space="preserve">https://github.com/CrowdStrike/falcon-helm</t>
  </si>
  <si>
    <t xml:space="preserve">Splunk Add-on for AWS v8.2.2 (2026-08-19)</t>
  </si>
  <si>
    <t xml:space="preserve">https://splunkbase.splunk.com/app/1876/</t>
  </si>
  <si>
    <t xml:space="preserve">Splunk Add-on for AWS Security Hub (OCSF via EventBridge-&gt;HEC)</t>
  </si>
  <si>
    <t xml:space="preserve">Verified (reviewer)</t>
  </si>
  <si>
    <t xml:space="preserve">https://splunkbase.splunk.com/app/8642</t>
  </si>
  <si>
    <t xml:space="preserve">Splunk Add-on for Microsoft Cloud Services v6.3.3</t>
  </si>
  <si>
    <t xml:space="preserve">https://splunkbase.splunk.com/app/3110</t>
  </si>
  <si>
    <t xml:space="preserve">CrowdStrike Falcon Event Streams add-on v3.7.2</t>
  </si>
  <si>
    <t xml:space="preserve">https://splunkbase.splunk.com/app/5082/</t>
  </si>
  <si>
    <t xml:space="preserve">Splunk ES 8.7.1 release notes</t>
  </si>
  <si>
    <t xml:space="preserve">https://help.splunk.com/en/splunk-enterprise-security-8/release-notes-and-resources</t>
  </si>
  <si>
    <t xml:space="preserve">Splunk SOAR 8.7.0; Python 3.13 playbooks</t>
  </si>
  <si>
    <t xml:space="preserve">https://help.splunk.com/en/splunk-soar/soar-on-premises/release-notes</t>
  </si>
  <si>
    <t xml:space="preserve">Falcon Complete Next-Gen MDR</t>
  </si>
  <si>
    <t xml:space="preserve">https://crowdstrike.com/services/endpoint-security/falcon-complete-next-gen-mdr/</t>
  </si>
  <si>
    <t xml:space="preserve">Identity</t>
  </si>
  <si>
    <t xml:space="preserve">Azure AD B2C end of sale 1 May 2025; supported to at least May 2030; P2 discontinued 15 Mar 2026</t>
  </si>
  <si>
    <t xml:space="preserve">https://learn.microsoft.com/azure/active-directory-b2c/faq</t>
  </si>
  <si>
    <t xml:space="preserve">External ID: no IEF custom policies; migration planning</t>
  </si>
  <si>
    <t xml:space="preserve">https://learn.microsoft.com/en-us/entra/external-id/customers/plan-your-migration-from-b2c-to-external-id</t>
  </si>
  <si>
    <t xml:space="preserve">External ID supported features (no ID Protection / risk CA in external tenants)</t>
  </si>
  <si>
    <t xml:space="preserve">https://learn.microsoft.com/en-us/entra/external-id/customers/concept-supported-features-customers</t>
  </si>
  <si>
    <t xml:space="preserve">External ID customer passkeys (CA cannot require)</t>
  </si>
  <si>
    <t xml:space="preserve">Verified (GA status UNVERIFIED)</t>
  </si>
  <si>
    <t xml:space="preserve">https://learn.microsoft.com/en-us/entra/external-id/customers/how-to-sign-in-with-passkey</t>
  </si>
  <si>
    <t xml:space="preserve">Entra licensing (CA P1; PIM/ID Protection P2; ID Governance)</t>
  </si>
  <si>
    <t xml:space="preserve">https://learn.microsoft.com/et-ee/entra/fundamentals/licensing</t>
  </si>
  <si>
    <t xml:space="preserve">Mandatory Azure MFA phases; workload identities exempt</t>
  </si>
  <si>
    <t xml:space="preserve">https://learn.microsoft.com/entra/identity/authentication/concept-mandatory-multifactor-authentication</t>
  </si>
  <si>
    <t xml:space="preserve">Emergency access (break-glass) guidance</t>
  </si>
  <si>
    <t xml:space="preserve">https://learn.microsoft.com/en-us/entra/identity/role-based-access-control/security-emergency-access</t>
  </si>
  <si>
    <t xml:space="preserve">Authentication strengths (phishing-resistant)</t>
  </si>
  <si>
    <t xml:space="preserve">https://learn.microsoft.com/azure/active-directory/authentication/concept-authentication-strengths</t>
  </si>
  <si>
    <t xml:space="preserve">Entra log retention (30 days P1/P2; Graph activity must be exported)</t>
  </si>
  <si>
    <t xml:space="preserve">https://learn.microsoft.com/en-us/entra/identity/monitoring-health/reference-reports-data-retention</t>
  </si>
  <si>
    <t xml:space="preserve">Stream Entra logs to Event Hub</t>
  </si>
  <si>
    <t xml:space="preserve">https://learn.microsoft.com/ms-my/entra/identity/monitoring-health/howto-stream-logs-to-event-hub</t>
  </si>
  <si>
    <t xml:space="preserve">B2C logs via Azure Lighthouse / Azure Monitor</t>
  </si>
  <si>
    <t xml:space="preserve">https://learn.microsoft.com/el-gr/azure/active-directory-b2c/azure-monitor</t>
  </si>
  <si>
    <t xml:space="preserve">B2C claim resolvers (acr_values, max_age) for step-up</t>
  </si>
  <si>
    <t xml:space="preserve">https://learn.microsoft.com/en-us/azure/active-directory-b2c/claim-resolver-overview</t>
  </si>
  <si>
    <t xml:space="preserve">IAM Identity Center with Entra (SAML+SCIM) limitations</t>
  </si>
  <si>
    <t xml:space="preserve">https://docs.aws.amazon.com/singlesignon/latest/userguide/idp-microsoft-entra.html</t>
  </si>
  <si>
    <t xml:space="preserve">Microsoft Sentinel Azure-portal experience ends 31 Mar 2027 (not adopted here)</t>
  </si>
  <si>
    <t xml:space="preserve">https://learn.microsoft.com/partner-center/announcements/2026-february</t>
  </si>
  <si>
    <t xml:space="preserve">EIP-4361 Sign-In with Ethereum (Final)</t>
  </si>
  <si>
    <t xml:space="preserve">https://eips.ethereum.org/EIPS/eip-4361</t>
  </si>
  <si>
    <t xml:space="preserve">Solana Alpenglow mainnet epoch 1064 (~21 Oct 2026 15:00 UTC); VAT 0.8 SOL per epoch; Agave-4.3.0-based clients only</t>
  </si>
  <si>
    <t xml:space="preserve">https://solana.com/upgrades/alpenglow</t>
  </si>
  <si>
    <t xml:space="preserve">Agave releases (v4.2.2 latest; v4.3.0 candidate)</t>
  </si>
  <si>
    <t xml:space="preserve">https://github.com/anza-xyz/agave/releases</t>
  </si>
  <si>
    <t xml:space="preserve">Firedancer releases</t>
  </si>
  <si>
    <t xml:space="preserve">https://github.com/firedancer-io/firedancer/releases</t>
  </si>
  <si>
    <t xml:space="preserve">Solana vote-account key model (withdrawer cold)</t>
  </si>
  <si>
    <t xml:space="preserve">https://docs.anza.xyz/operations/guides/vote-accounts</t>
  </si>
  <si>
    <t xml:space="preserve">Solana stake and withdraw authorities</t>
  </si>
  <si>
    <t xml:space="preserve">https://docs.anza.xyz/cli/examples/delegate-stake</t>
  </si>
  <si>
    <t xml:space="preserve">Pectra mainnet 7 May 2025</t>
  </si>
  <si>
    <t xml:space="preserve">https://blog.ethereum.org/2025/04/23/pectra-mainnet</t>
  </si>
  <si>
    <t xml:space="preserve">EIP-7002 execution-layer triggerable withdrawals</t>
  </si>
  <si>
    <t xml:space="preserve">https://eips.ethereum.org/EIPS/eip-7002</t>
  </si>
  <si>
    <t xml:space="preserve">EIP-7251 max effective balance 2048 ETH (0x02)</t>
  </si>
  <si>
    <t xml:space="preserve">https://eips.ethereum.org/EIPS/eip-7251</t>
  </si>
  <si>
    <t xml:space="preserve">EIP-7702 EOA code delegation (security considerations)</t>
  </si>
  <si>
    <t xml:space="preserve">https://eips.ethereum.org/EIPS/eip-7702</t>
  </si>
  <si>
    <t xml:space="preserve">Fusaka mainnet 3 Dec 2025</t>
  </si>
  <si>
    <t xml:space="preserve">https://blog.ethereum.org/2025/11/06/fusaka-mainnet-announcement</t>
  </si>
  <si>
    <t xml:space="preserve">Glamsterdam on Hoodi 26 Oct 2026; no mainnet date</t>
  </si>
  <si>
    <t xml:space="preserve">https://blog.ethereum.org/2026/10/16/glamsterdam-hoodi-announcement</t>
  </si>
  <si>
    <t xml:space="preserve">Glamsterdam gas repricing testing guidance</t>
  </si>
  <si>
    <t xml:space="preserve">https://blog.ethereum.org/2026/08/24/glamsterdam-repricing-testing</t>
  </si>
  <si>
    <t xml:space="preserve">EIP-3076 slashing protection interchange (Last Call)</t>
  </si>
  <si>
    <t xml:space="preserve">https://eips.ethereum.org/EIPS/eip-3076</t>
  </si>
  <si>
    <t xml:space="preserve">Safe smart account v1.5.0</t>
  </si>
  <si>
    <t xml:space="preserve">Partial (release year not shown)</t>
  </si>
  <si>
    <t xml:space="preserve">https://github.com/safe-global/safe-smart-account/releases</t>
  </si>
  <si>
    <t xml:space="preserve">Squads v4 (audits, formal verification, time locks, spending limits)</t>
  </si>
  <si>
    <t xml:space="preserve">https://github.com/Squads-Protocol/v4</t>
  </si>
  <si>
    <t xml:space="preserve">solana-verify verified builds</t>
  </si>
  <si>
    <t xml:space="preserve">https://github.com/Ellipsis-Labs/solana-verifiable-build/releases</t>
  </si>
  <si>
    <t xml:space="preserve">Trident fuzzer</t>
  </si>
  <si>
    <t xml:space="preserve">https://github.com/Ackee-Blockchain/trident/releases</t>
  </si>
  <si>
    <t xml:space="preserve">Slither</t>
  </si>
  <si>
    <t xml:space="preserve">https://github.com/crytic/slither/releases</t>
  </si>
  <si>
    <t xml:space="preserve">Aderyn v0.6.8</t>
  </si>
  <si>
    <t xml:space="preserve">https://github.com/Cyfrin/aderyn/releases</t>
  </si>
  <si>
    <t xml:space="preserve">Foundry v1.8.3</t>
  </si>
  <si>
    <t xml:space="preserve">https://github.com/foundry-rs/foundry/releases</t>
  </si>
  <si>
    <t xml:space="preserve">Anchor v1.2.1 (6 Oct 2026)</t>
  </si>
  <si>
    <t xml:space="preserve">https://github.com/solana-foundation/anchor/releases</t>
  </si>
  <si>
    <t xml:space="preserve">OpenZeppelin Defender shut down 1 Jul 2026</t>
  </si>
  <si>
    <t xml:space="preserve">https://www.openzeppelin.com/news/doubling-down-on-open-source-and-phasing-out-defender</t>
  </si>
  <si>
    <t xml:space="preserve">OpenZeppelin Monitor (EVM, Stellar, Solana; AGPL-3.0)</t>
  </si>
  <si>
    <t xml:space="preserve">https://github.com/OpenZeppelin/openzeppelin-monitor</t>
  </si>
  <si>
    <t xml:space="preserve">Hypernative Solana monitoring (vendor claim - confirm in writing)</t>
  </si>
  <si>
    <t xml:space="preserve">Vendor claim</t>
  </si>
  <si>
    <t xml:space="preserve">https://www.hypernative.io/blog/solana-network-and-projects-building-on-it-are-now-secured-by-hypernative</t>
  </si>
  <si>
    <t xml:space="preserve">Hexagate chain coverage (Solana not named)</t>
  </si>
  <si>
    <t xml:space="preserve">https://www.chainalysis.com/product/hexagate/</t>
  </si>
  <si>
    <t xml:space="preserve">BSSC standards (NOS, TIS, KMS, GSP) May 2025</t>
  </si>
  <si>
    <t xml:space="preserve">Verified (press release)</t>
  </si>
  <si>
    <t xml:space="preserve">https://www.businesswire.com/news/home/20250513728554/en</t>
  </si>
  <si>
    <t xml:space="preserve">BSSC SCS, NOS v2, GSP update (14 May 2026)</t>
  </si>
  <si>
    <t xml:space="preserve">https://www.businesswire.com/news/home/20260514859476/en/BSSC-Unveils-Smart-Contract-Security-Standard-and-Major-Updates-to-Core-Specifications</t>
  </si>
  <si>
    <t xml:space="preserve">CCSS v9.0</t>
  </si>
  <si>
    <t xml:space="preserve">https://cryptoconsortium.org/standards-2/</t>
  </si>
  <si>
    <t xml:space="preserve">OWASP Smart Contract Top 10 (2026 edition)</t>
  </si>
  <si>
    <t xml:space="preserve">https://scs.owasp.org/</t>
  </si>
  <si>
    <t xml:space="preserve">OWASP SCSVS (incubator)</t>
  </si>
  <si>
    <t xml:space="preserve">https://owasp.org/www-project-smart-contract-security-verification-standard/</t>
  </si>
  <si>
    <t xml:space="preserve">SEAL Frameworks</t>
  </si>
  <si>
    <t xml:space="preserve">https://frameworks.securityalliance.org/</t>
  </si>
  <si>
    <t xml:space="preserve">SEAL 911</t>
  </si>
  <si>
    <t xml:space="preserve">https://securityalliance.org/our-work/seal-911</t>
  </si>
  <si>
    <t xml:space="preserve">SEAL Safe Harbor</t>
  </si>
  <si>
    <t xml:space="preserve">https://securityalliance.org/our-work/safe-harbor</t>
  </si>
  <si>
    <t xml:space="preserve">FBI attribution of Bybit $1.5B theft (Feb 2025)</t>
  </si>
  <si>
    <t xml:space="preserve">https://www.fbi.gov/investigate/cyber/alerts/2025/north-korea-responsible-for-1-5-billion-bybit-hack</t>
  </si>
  <si>
    <t xml:space="preserve">Bybit technical analysis (signer UI compromise)</t>
  </si>
  <si>
    <t xml:space="preserve">Secondary</t>
  </si>
  <si>
    <t xml:space="preserve">https://nccgroup.com/sg/research-blog/in-depth-technical-analysis-of-the-bybit-hack</t>
  </si>
  <si>
    <t xml:space="preserve">Drift (Apr 2026) Squads 2-of-5 no timelock, durable nonce</t>
  </si>
  <si>
    <t xml:space="preserve">https://blocksec.com/blog/drift-protocol-incident-multisig-governance-compromise-via-durable-nonce-exploitation</t>
  </si>
  <si>
    <t xml:space="preserve">Crypto-agility</t>
  </si>
  <si>
    <t xml:space="preserve">NIST FIPS 203/204/205 final (Aug 2024)</t>
  </si>
  <si>
    <t xml:space="preserve">https://csrc.nist.gov/Projects/post-quantum-cryptography/publications</t>
  </si>
  <si>
    <t xml:space="preserve">NIST IR 8547 (initial public draft) transition timeline</t>
  </si>
  <si>
    <t xml:space="preserve">Verified (draft)</t>
  </si>
  <si>
    <t xml:space="preserve">https://nvlpubs.nist.gov/nistpubs/ir/2024/NIST.IR.8547.ipd.pdf</t>
  </si>
  <si>
    <t xml:space="preserve">Regulatory</t>
  </si>
  <si>
    <t xml:space="preserve">MiCA Art 143 transitional measures (ended 1 Jul 2026 at latest)</t>
  </si>
  <si>
    <t xml:space="preserve">https://www.esma.europa.eu/publications-and-data/interactive-single-rulebook/mica/article-143-transitional-measures</t>
  </si>
  <si>
    <t xml:space="preserve">MiCA Art 61 reverse solicitation</t>
  </si>
  <si>
    <t xml:space="preserve">https://www.esma.europa.eu/publications-and-data/interactive-single-rulebook/mica/article-61-provision-crypto-asset-services</t>
  </si>
  <si>
    <t xml:space="preserve">ESMA reverse-solicitation guidelines</t>
  </si>
  <si>
    <t xml:space="preserve">https://www.esma.europa.eu/sites/default/files/2025-02/ESMA35-1872330276-2030_Guidelines_on_reverse_solicitation_under_MiCA.pdf</t>
  </si>
  <si>
    <t xml:space="preserve">DORA scope Art 2(1)(f) CASPs authorised under MiCA; applies 17 Jan 2025</t>
  </si>
  <si>
    <t xml:space="preserve">https://eur-lex.europa.eu/legal-content/EN/TXT/HTML/?uri=CELEX:32022R2554</t>
  </si>
  <si>
    <t xml:space="preserve">DORA incident reporting timelines (Del. Reg. 2025/301 Art 5)</t>
  </si>
  <si>
    <t xml:space="preserve">https://eur-lex.europa.eu/legal-content/EN/TXT/HTML/?uri=CELEX:32025R0301</t>
  </si>
  <si>
    <t xml:space="preserve">PCI DSS v4.0.1 future-dated requirements effective 31 Mar 2025</t>
  </si>
  <si>
    <t xml:space="preserve">https://blog.pcisecuritystandards.org/now-is-the-time-for-organizations-to-adopt-the-future-dated-requirements-of-pci-dss-v4-x</t>
  </si>
  <si>
    <t xml:space="preserve">PCI SAQ A update (Jan 2025)</t>
  </si>
  <si>
    <t xml:space="preserve">https://blog.pcisecuritystandards.org/important-updates-announced-for-merchants-validating-to-self-assessment-questionnaire-a</t>
  </si>
  <si>
    <t xml:space="preserve">FinCEN CVC guidance (DApp operators as money transmitters)</t>
  </si>
  <si>
    <t xml:space="preserve">https://www.fincen.gov/sites/default/files/2019-05/FinCEN%20Guidance%20CVC%20FINAL%20508.pdf</t>
  </si>
  <si>
    <t xml:space="preserve">OFAC sanctions compliance guidance for the virtual currency industry (Oct 2021)</t>
  </si>
  <si>
    <t xml:space="preserve">https://ofac.treasury.gov/recent-actions/20211015</t>
  </si>
  <si>
    <t xml:space="preserve">FTC Safeguards Rule notification requirement (May 2024)</t>
  </si>
  <si>
    <t xml:space="preserve">https://www.ftc.gov/business-guidance/blog/2024/05/safeguards-rule-notification-requirement-now-effect</t>
  </si>
  <si>
    <t xml:space="preserve">CLARITY Act stalled in Senate (Sep 2026)</t>
  </si>
  <si>
    <t xml:space="preserve">https://www.orrick.com/en/Insights/2026/10/The-CLARITY-Act-Stalls-in-the-Senate-Whats-Next-for-Digital-Asset-Regulation</t>
  </si>
  <si>
    <t xml:space="preserve">Assurance</t>
  </si>
  <si>
    <t xml:space="preserve">AICPA 2017 Trust Services Criteria (revised points of focus 2022)</t>
  </si>
  <si>
    <t xml:space="preserve">https://www.aicpa-cima.com/resources/download/2017-trust-services-criteria-with-revised-points-of-focus-2022</t>
  </si>
  <si>
    <t xml:space="preserve">SOC 2 description criteria</t>
  </si>
  <si>
    <t xml:space="preserve">https://www.aicpa-cima.com/resources/article/get-description-criteria-for-your-organizations-soc-2-r-report</t>
  </si>
  <si>
    <t xml:space="preserve">SOC 2 Type II minimum period (AICPA FAQ login-gated)</t>
  </si>
  <si>
    <t xml:space="preserve">UNVERIFIED</t>
  </si>
  <si>
    <t xml:space="preserve">https://www.aicpa-cima.com/resources/article/read-the-latest-faqs-for-soc-2-r-and-soc-3-r-examinations</t>
  </si>
  <si>
    <t xml:space="preserve">NIST CSF 2.0 (26 Feb 2024)</t>
  </si>
  <si>
    <t xml:space="preserve">https://www.nist.gov/news-events/news/2024/02/nist-releases-version-20-landmark-cybersecurity-framework</t>
  </si>
  <si>
    <t xml:space="preserve">NIST SP 800-61r3 (3 Apr 2025)</t>
  </si>
  <si>
    <t xml:space="preserve">https://www.nist.gov/news-events/news/2025/04/nist-revises-sp-800-61-incident-response-recommendations-and-considerations</t>
  </si>
  <si>
    <t xml:space="preserve">NIST SSDF v1.1 final; v1.2 draft</t>
  </si>
  <si>
    <t xml:space="preserve">https://csrc.nist.gov/pubs/sp/800/218/r1/ipd</t>
  </si>
  <si>
    <t xml:space="preserve">ISO/IEC 27001:2022 transition ended 31 Oct 2025 (IAF MD 26)</t>
  </si>
  <si>
    <t xml:space="preserve">https://iaf.nu/iaf_system/uploads/documents/IAF_MD26_Issue_2_15012023.pdf</t>
  </si>
  <si>
    <t xml:space="preserve">ISO/IEC 27001:2022/Amd 1:2024</t>
  </si>
  <si>
    <t xml:space="preserve">https://www.iso.org/standard/88435.html</t>
  </si>
  <si>
    <t xml:space="preserve">Vanta SOC 2 + Entra integration</t>
  </si>
  <si>
    <t xml:space="preserve">Vendor</t>
  </si>
  <si>
    <t xml:space="preserve">https://help.vanta.com/en/articles/11345655-connecting-vanta-microsoft-entra</t>
  </si>
  <si>
    <t xml:space="preserve">Drata Microsoft 365 integration</t>
  </si>
  <si>
    <t xml:space="preserve">https://help.drata.com/en/articles/4797766-microsoft-365-integration-guide</t>
  </si>
  <si>
    <t xml:space="preserve">Secureframe Entra ID integration</t>
  </si>
  <si>
    <t xml:space="preserve">https://support.secureframe.com/hc/en-us/articles/20710013602963-Microsoft-Entra-ID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</si>
</sst>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 mmm\ yyyy"/>
    <numFmt numFmtId="166" formatCode="ddd\ dd\ mmm\ yyyy"/>
    <numFmt numFmtId="167" formatCode="dd\-mmm"/>
    <numFmt numFmtId="168" formatCode="dd\-mmm\-yy"/>
    <numFmt numFmtId="169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7"/>
      <name val="Arial"/>
      <family val="0"/>
      <charset val="1"/>
    </font>
    <font>
      <sz val="8"/>
      <name val="Arial"/>
      <family val="0"/>
      <charset val="1"/>
    </font>
    <font>
      <sz val="8"/>
      <color rgb="FF0000FF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8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u val="single"/>
      <sz val="9"/>
      <color rgb="FF0563C1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1F3864"/>
        <bgColor rgb="FF333333"/>
      </patternFill>
    </fill>
    <fill>
      <patternFill patternType="solid">
        <fgColor rgb="FF2E75B6"/>
        <bgColor rgb="FF0563C1"/>
      </patternFill>
    </fill>
    <fill>
      <patternFill patternType="solid">
        <fgColor rgb="FF7030A0"/>
        <bgColor rgb="FF993366"/>
      </patternFill>
    </fill>
    <fill>
      <patternFill patternType="solid">
        <fgColor rgb="FFC55A11"/>
        <bgColor rgb="FF993300"/>
      </patternFill>
    </fill>
    <fill>
      <patternFill patternType="solid">
        <fgColor rgb="FF548235"/>
        <bgColor rgb="FF339966"/>
      </patternFill>
    </fill>
    <fill>
      <patternFill patternType="solid">
        <fgColor rgb="FFBF8F00"/>
        <bgColor rgb="FFC55A11"/>
      </patternFill>
    </fill>
    <fill>
      <patternFill patternType="solid">
        <fgColor rgb="FF595959"/>
        <bgColor rgb="FF548235"/>
      </patternFill>
    </fill>
    <fill>
      <patternFill patternType="solid">
        <fgColor rgb="FF7F7F7F"/>
        <bgColor rgb="FF969696"/>
      </patternFill>
    </fill>
    <fill>
      <patternFill patternType="solid">
        <fgColor rgb="FFFCE4D6"/>
        <bgColor rgb="FFFFF2CC"/>
      </patternFill>
    </fill>
    <fill>
      <patternFill patternType="solid">
        <fgColor rgb="FFD9E1F2"/>
        <bgColor rgb="FFBDD7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right" vertical="bottom" textRotation="9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1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5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1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>
          <bgColor rgb="FF2E75B6"/>
        </patternFill>
      </fill>
    </dxf>
    <dxf>
      <fill>
        <patternFill>
          <bgColor rgb="FF7030A0"/>
        </patternFill>
      </fill>
    </dxf>
    <dxf>
      <fill>
        <patternFill>
          <bgColor rgb="FFC55A11"/>
        </patternFill>
      </fill>
    </dxf>
    <dxf>
      <fill>
        <patternFill>
          <bgColor rgb="FF548235"/>
        </patternFill>
      </fill>
    </dxf>
    <dxf>
      <fill>
        <patternFill>
          <bgColor rgb="FFBF8F00"/>
        </patternFill>
      </fill>
    </dxf>
    <dxf>
      <fill>
        <patternFill>
          <bgColor rgb="FF595959"/>
        </patternFill>
      </fill>
    </dxf>
    <dxf>
      <fill>
        <patternFill>
          <bgColor rgb="FFFF9999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699"/>
        </patternFill>
      </fill>
    </dxf>
    <dxf>
      <fill>
        <patternFill>
          <bgColor rgb="FFF4B183"/>
        </patternFill>
      </fill>
    </dxf>
    <dxf>
      <fill>
        <patternFill>
          <bgColor rgb="FFBDD7E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7F7F7F"/>
      <rgbColor rgb="FF9999FF"/>
      <rgbColor rgb="FF7030A0"/>
      <rgbColor rgb="FFFFF2CC"/>
      <rgbColor rgb="FFD9E1F2"/>
      <rgbColor rgb="FF660066"/>
      <rgbColor rgb="FFF4B183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D6"/>
      <rgbColor rgb="FFC6EFCE"/>
      <rgbColor rgb="FFFFE699"/>
      <rgbColor rgb="FF99CCFF"/>
      <rgbColor rgb="FFFF9999"/>
      <rgbColor rgb="FFCC99FF"/>
      <rgbColor rgb="FFFFC7CE"/>
      <rgbColor rgb="FF2E75B6"/>
      <rgbColor rgb="FF33CCCC"/>
      <rgbColor rgb="FF99CC00"/>
      <rgbColor rgb="FFFFCC00"/>
      <rgbColor rgb="FFBF8F00"/>
      <rgbColor rgb="FFC55A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s://www.cisecurity.org/benchmark/amazon_web_services" TargetMode="External"/><Relationship Id="rId2" Type="http://schemas.openxmlformats.org/officeDocument/2006/relationships/hyperlink" Target="https://docs.aws.amazon.com/securityhub/latest/userguide/cis-aws-foundations-benchmark.html" TargetMode="External"/><Relationship Id="rId3" Type="http://schemas.openxmlformats.org/officeDocument/2006/relationships/hyperlink" Target="https://www.cisecurity.org/benchmark/amazon_linux" TargetMode="External"/><Relationship Id="rId4" Type="http://schemas.openxmlformats.org/officeDocument/2006/relationships/hyperlink" Target="https://www.cisecurity.org/benchmark/kubernetes" TargetMode="External"/><Relationship Id="rId5" Type="http://schemas.openxmlformats.org/officeDocument/2006/relationships/hyperlink" Target="https://www.cisecurity.org/benchmark/bottlerocket" TargetMode="External"/><Relationship Id="rId6" Type="http://schemas.openxmlformats.org/officeDocument/2006/relationships/hyperlink" Target="https://www.cisecurity.org/controls" TargetMode="External"/><Relationship Id="rId7" Type="http://schemas.openxmlformats.org/officeDocument/2006/relationships/hyperlink" Target="https://aws.amazon.com/amazon-linux-2/faqs/" TargetMode="External"/><Relationship Id="rId8" Type="http://schemas.openxmlformats.org/officeDocument/2006/relationships/hyperlink" Target="https://docs.aws.amazon.com/eks/latest/userguide/eks-ami-deprecation-faqs.html" TargetMode="External"/><Relationship Id="rId9" Type="http://schemas.openxmlformats.org/officeDocument/2006/relationships/hyperlink" Target="https://docs.aws.amazon.com/eks/latest/userguide/kubernetes-versions.html" TargetMode="External"/><Relationship Id="rId10" Type="http://schemas.openxmlformats.org/officeDocument/2006/relationships/hyperlink" Target="https://aws.amazon.com/eks/pricing/" TargetMode="External"/><Relationship Id="rId11" Type="http://schemas.openxmlformats.org/officeDocument/2006/relationships/hyperlink" Target="https://aws.amazon.com/blogs/aws/aws-security-hub-now-generally-available-with-near-real-time-analytics-and-risk-prioritization/" TargetMode="External"/><Relationship Id="rId12" Type="http://schemas.openxmlformats.org/officeDocument/2006/relationships/hyperlink" Target="https://docs.aws.amazon.com/securityhub/latest/userguide/what-is-securityhub.html" TargetMode="External"/><Relationship Id="rId13" Type="http://schemas.openxmlformats.org/officeDocument/2006/relationships/hyperlink" Target="https://aws.amazon.com/security-hub/pricing/" TargetMode="External"/><Relationship Id="rId14" Type="http://schemas.openxmlformats.org/officeDocument/2006/relationships/hyperlink" Target="https://docs.aws.amazon.com/guardduty/latest/ug/runtime-monitoring.html" TargetMode="External"/><Relationship Id="rId15" Type="http://schemas.openxmlformats.org/officeDocument/2006/relationships/hyperlink" Target="https://docs.aws.amazon.com/guardduty/latest/ug/prereq-runtime-monitoring-cpu-os-kernel-support.html" TargetMode="External"/><Relationship Id="rId16" Type="http://schemas.openxmlformats.org/officeDocument/2006/relationships/hyperlink" Target="https://docs.aws.amazon.com/guardduty/latest/ug/guardduty-extended-threat-detection.html" TargetMode="External"/><Relationship Id="rId17" Type="http://schemas.openxmlformats.org/officeDocument/2006/relationships/hyperlink" Target="https://docs.aws.amazon.com/inspector/latest/user/scanning-cis.html" TargetMode="External"/><Relationship Id="rId18" Type="http://schemas.openxmlformats.org/officeDocument/2006/relationships/hyperlink" Target="https://docs.aws.amazon.com/inspector/latest/user/supported.html" TargetMode="External"/><Relationship Id="rId19" Type="http://schemas.openxmlformats.org/officeDocument/2006/relationships/hyperlink" Target="https://aws.amazon.com/about-aws/whats-new/2025/06/amazon-inspector-code-security-shift-security-development" TargetMode="External"/><Relationship Id="rId20" Type="http://schemas.openxmlformats.org/officeDocument/2006/relationships/hyperlink" Target="https://docs.aws.amazon.com/eks/latest/userguide/pod-identities.html" TargetMode="External"/><Relationship Id="rId21" Type="http://schemas.openxmlformats.org/officeDocument/2006/relationships/hyperlink" Target="https://docs.aws.amazon.com/organizations/latest/userguide/orgs_manage_policies_declarative_syntax.html" TargetMode="External"/><Relationship Id="rId22" Type="http://schemas.openxmlformats.org/officeDocument/2006/relationships/hyperlink" Target="https://aws.amazon.com/about-aws/whats-new/2025/11/amazon-ecr-managed-container-image-signing" TargetMode="External"/><Relationship Id="rId23" Type="http://schemas.openxmlformats.org/officeDocument/2006/relationships/hyperlink" Target="https://aws.amazon.com/about-aws/whats-new/2025/07/amazon-ecr-exceptions-tag-immutability/" TargetMode="External"/><Relationship Id="rId24" Type="http://schemas.openxmlformats.org/officeDocument/2006/relationships/hyperlink" Target="https://aws.amazon.com/about-aws/whats-new/2025/06/iam-access-analyzer-aws-organization-access-resources" TargetMode="External"/><Relationship Id="rId25" Type="http://schemas.openxmlformats.org/officeDocument/2006/relationships/hyperlink" Target="https://aws.amazon.com/about-aws/whats-new/2024/11/resource-control-policies-restrict-access-aws-resources" TargetMode="External"/><Relationship Id="rId26" Type="http://schemas.openxmlformats.org/officeDocument/2006/relationships/hyperlink" Target="https://aws.amazon.com/about-aws/whats-new/2024/11/manage-root-access-aws-identity-access-management/" TargetMode="External"/><Relationship Id="rId27" Type="http://schemas.openxmlformats.org/officeDocument/2006/relationships/hyperlink" Target="https://aws.amazon.com/about-aws/whats-new/2025/11/aws-backup-direct-to-logically-air-gapped-vault" TargetMode="External"/><Relationship Id="rId28" Type="http://schemas.openxmlformats.org/officeDocument/2006/relationships/hyperlink" Target="https://docs.aws.amazon.com/controltower/latest/userguide/2026-all.html" TargetMode="External"/><Relationship Id="rId29" Type="http://schemas.openxmlformats.org/officeDocument/2006/relationships/hyperlink" Target="https://docs.aws.amazon.com/securityhub/latest/userguide/ec2-controls.html" TargetMode="External"/><Relationship Id="rId30" Type="http://schemas.openxmlformats.org/officeDocument/2006/relationships/hyperlink" Target="https://github.com/CrowdStrike/falcon-helm" TargetMode="External"/><Relationship Id="rId31" Type="http://schemas.openxmlformats.org/officeDocument/2006/relationships/hyperlink" Target="https://splunkbase.splunk.com/app/1876/" TargetMode="External"/><Relationship Id="rId32" Type="http://schemas.openxmlformats.org/officeDocument/2006/relationships/hyperlink" Target="https://splunkbase.splunk.com/app/8642" TargetMode="External"/><Relationship Id="rId33" Type="http://schemas.openxmlformats.org/officeDocument/2006/relationships/hyperlink" Target="https://splunkbase.splunk.com/app/3110" TargetMode="External"/><Relationship Id="rId34" Type="http://schemas.openxmlformats.org/officeDocument/2006/relationships/hyperlink" Target="https://splunkbase.splunk.com/app/5082/" TargetMode="External"/><Relationship Id="rId35" Type="http://schemas.openxmlformats.org/officeDocument/2006/relationships/hyperlink" Target="https://help.splunk.com/en/splunk-enterprise-security-8/release-notes-and-resources" TargetMode="External"/><Relationship Id="rId36" Type="http://schemas.openxmlformats.org/officeDocument/2006/relationships/hyperlink" Target="https://help.splunk.com/en/splunk-soar/soar-on-premises/release-notes" TargetMode="External"/><Relationship Id="rId37" Type="http://schemas.openxmlformats.org/officeDocument/2006/relationships/hyperlink" Target="https://crowdstrike.com/services/endpoint-security/falcon-complete-next-gen-mdr/" TargetMode="External"/><Relationship Id="rId38" Type="http://schemas.openxmlformats.org/officeDocument/2006/relationships/hyperlink" Target="https://learn.microsoft.com/azure/active-directory-b2c/faq" TargetMode="External"/><Relationship Id="rId39" Type="http://schemas.openxmlformats.org/officeDocument/2006/relationships/hyperlink" Target="https://learn.microsoft.com/en-us/entra/external-id/customers/plan-your-migration-from-b2c-to-external-id" TargetMode="External"/><Relationship Id="rId40" Type="http://schemas.openxmlformats.org/officeDocument/2006/relationships/hyperlink" Target="https://learn.microsoft.com/en-us/entra/external-id/customers/concept-supported-features-customers" TargetMode="External"/><Relationship Id="rId41" Type="http://schemas.openxmlformats.org/officeDocument/2006/relationships/hyperlink" Target="https://learn.microsoft.com/en-us/entra/external-id/customers/how-to-sign-in-with-passkey" TargetMode="External"/><Relationship Id="rId42" Type="http://schemas.openxmlformats.org/officeDocument/2006/relationships/hyperlink" Target="https://learn.microsoft.com/et-ee/entra/fundamentals/licensing" TargetMode="External"/><Relationship Id="rId43" Type="http://schemas.openxmlformats.org/officeDocument/2006/relationships/hyperlink" Target="https://learn.microsoft.com/entra/identity/authentication/concept-mandatory-multifactor-authentication" TargetMode="External"/><Relationship Id="rId44" Type="http://schemas.openxmlformats.org/officeDocument/2006/relationships/hyperlink" Target="https://learn.microsoft.com/en-us/entra/identity/role-based-access-control/security-emergency-access" TargetMode="External"/><Relationship Id="rId45" Type="http://schemas.openxmlformats.org/officeDocument/2006/relationships/hyperlink" Target="https://learn.microsoft.com/azure/active-directory/authentication/concept-authentication-strengths" TargetMode="External"/><Relationship Id="rId46" Type="http://schemas.openxmlformats.org/officeDocument/2006/relationships/hyperlink" Target="https://learn.microsoft.com/en-us/entra/identity/monitoring-health/reference-reports-data-retention" TargetMode="External"/><Relationship Id="rId47" Type="http://schemas.openxmlformats.org/officeDocument/2006/relationships/hyperlink" Target="https://learn.microsoft.com/ms-my/entra/identity/monitoring-health/howto-stream-logs-to-event-hub" TargetMode="External"/><Relationship Id="rId48" Type="http://schemas.openxmlformats.org/officeDocument/2006/relationships/hyperlink" Target="https://learn.microsoft.com/el-gr/azure/active-directory-b2c/azure-monitor" TargetMode="External"/><Relationship Id="rId49" Type="http://schemas.openxmlformats.org/officeDocument/2006/relationships/hyperlink" Target="https://learn.microsoft.com/en-us/azure/active-directory-b2c/claim-resolver-overview" TargetMode="External"/><Relationship Id="rId50" Type="http://schemas.openxmlformats.org/officeDocument/2006/relationships/hyperlink" Target="https://docs.aws.amazon.com/singlesignon/latest/userguide/idp-microsoft-entra.html" TargetMode="External"/><Relationship Id="rId51" Type="http://schemas.openxmlformats.org/officeDocument/2006/relationships/hyperlink" Target="https://learn.microsoft.com/partner-center/announcements/2026-february" TargetMode="External"/><Relationship Id="rId52" Type="http://schemas.openxmlformats.org/officeDocument/2006/relationships/hyperlink" Target="https://eips.ethereum.org/EIPS/eip-4361" TargetMode="External"/><Relationship Id="rId53" Type="http://schemas.openxmlformats.org/officeDocument/2006/relationships/hyperlink" Target="https://solana.com/upgrades/alpenglow" TargetMode="External"/><Relationship Id="rId54" Type="http://schemas.openxmlformats.org/officeDocument/2006/relationships/hyperlink" Target="https://github.com/anza-xyz/agave/releases" TargetMode="External"/><Relationship Id="rId55" Type="http://schemas.openxmlformats.org/officeDocument/2006/relationships/hyperlink" Target="https://github.com/firedancer-io/firedancer/releases" TargetMode="External"/><Relationship Id="rId56" Type="http://schemas.openxmlformats.org/officeDocument/2006/relationships/hyperlink" Target="https://docs.anza.xyz/operations/guides/vote-accounts" TargetMode="External"/><Relationship Id="rId57" Type="http://schemas.openxmlformats.org/officeDocument/2006/relationships/hyperlink" Target="https://docs.anza.xyz/cli/examples/delegate-stake" TargetMode="External"/><Relationship Id="rId58" Type="http://schemas.openxmlformats.org/officeDocument/2006/relationships/hyperlink" Target="https://blog.ethereum.org/2025/04/23/pectra-mainnet" TargetMode="External"/><Relationship Id="rId59" Type="http://schemas.openxmlformats.org/officeDocument/2006/relationships/hyperlink" Target="https://eips.ethereum.org/EIPS/eip-7002" TargetMode="External"/><Relationship Id="rId60" Type="http://schemas.openxmlformats.org/officeDocument/2006/relationships/hyperlink" Target="https://eips.ethereum.org/EIPS/eip-7251" TargetMode="External"/><Relationship Id="rId61" Type="http://schemas.openxmlformats.org/officeDocument/2006/relationships/hyperlink" Target="https://eips.ethereum.org/EIPS/eip-7702" TargetMode="External"/><Relationship Id="rId62" Type="http://schemas.openxmlformats.org/officeDocument/2006/relationships/hyperlink" Target="https://blog.ethereum.org/2025/11/06/fusaka-mainnet-announcement" TargetMode="External"/><Relationship Id="rId63" Type="http://schemas.openxmlformats.org/officeDocument/2006/relationships/hyperlink" Target="https://blog.ethereum.org/2026/10/16/glamsterdam-hoodi-announcement" TargetMode="External"/><Relationship Id="rId64" Type="http://schemas.openxmlformats.org/officeDocument/2006/relationships/hyperlink" Target="https://blog.ethereum.org/2026/08/24/glamsterdam-repricing-testing" TargetMode="External"/><Relationship Id="rId65" Type="http://schemas.openxmlformats.org/officeDocument/2006/relationships/hyperlink" Target="https://eips.ethereum.org/EIPS/eip-3076" TargetMode="External"/><Relationship Id="rId66" Type="http://schemas.openxmlformats.org/officeDocument/2006/relationships/hyperlink" Target="https://github.com/safe-global/safe-smart-account/releases" TargetMode="External"/><Relationship Id="rId67" Type="http://schemas.openxmlformats.org/officeDocument/2006/relationships/hyperlink" Target="https://github.com/Squads-Protocol/v4" TargetMode="External"/><Relationship Id="rId68" Type="http://schemas.openxmlformats.org/officeDocument/2006/relationships/hyperlink" Target="https://github.com/Ellipsis-Labs/solana-verifiable-build/releases" TargetMode="External"/><Relationship Id="rId69" Type="http://schemas.openxmlformats.org/officeDocument/2006/relationships/hyperlink" Target="https://github.com/Ackee-Blockchain/trident/releases" TargetMode="External"/><Relationship Id="rId70" Type="http://schemas.openxmlformats.org/officeDocument/2006/relationships/hyperlink" Target="https://github.com/crytic/slither/releases" TargetMode="External"/><Relationship Id="rId71" Type="http://schemas.openxmlformats.org/officeDocument/2006/relationships/hyperlink" Target="https://github.com/Cyfrin/aderyn/releases" TargetMode="External"/><Relationship Id="rId72" Type="http://schemas.openxmlformats.org/officeDocument/2006/relationships/hyperlink" Target="https://github.com/foundry-rs/foundry/releases" TargetMode="External"/><Relationship Id="rId73" Type="http://schemas.openxmlformats.org/officeDocument/2006/relationships/hyperlink" Target="https://github.com/solana-foundation/anchor/releases" TargetMode="External"/><Relationship Id="rId74" Type="http://schemas.openxmlformats.org/officeDocument/2006/relationships/hyperlink" Target="https://www.openzeppelin.com/news/doubling-down-on-open-source-and-phasing-out-defender" TargetMode="External"/><Relationship Id="rId75" Type="http://schemas.openxmlformats.org/officeDocument/2006/relationships/hyperlink" Target="https://github.com/OpenZeppelin/openzeppelin-monitor" TargetMode="External"/><Relationship Id="rId76" Type="http://schemas.openxmlformats.org/officeDocument/2006/relationships/hyperlink" Target="https://www.hypernative.io/blog/solana-network-and-projects-building-on-it-are-now-secured-by-hypernative" TargetMode="External"/><Relationship Id="rId77" Type="http://schemas.openxmlformats.org/officeDocument/2006/relationships/hyperlink" Target="https://www.chainalysis.com/product/hexagate/" TargetMode="External"/><Relationship Id="rId78" Type="http://schemas.openxmlformats.org/officeDocument/2006/relationships/hyperlink" Target="https://www.businesswire.com/news/home/20250513728554/en" TargetMode="External"/><Relationship Id="rId79" Type="http://schemas.openxmlformats.org/officeDocument/2006/relationships/hyperlink" Target="https://www.businesswire.com/news/home/20260514859476/en/BSSC-Unveils-Smart-Contract-Security-Standard-and-Major-Updates-to-Core-Specifications" TargetMode="External"/><Relationship Id="rId80" Type="http://schemas.openxmlformats.org/officeDocument/2006/relationships/hyperlink" Target="https://cryptoconsortium.org/standards-2/" TargetMode="External"/><Relationship Id="rId81" Type="http://schemas.openxmlformats.org/officeDocument/2006/relationships/hyperlink" Target="https://scs.owasp.org/" TargetMode="External"/><Relationship Id="rId82" Type="http://schemas.openxmlformats.org/officeDocument/2006/relationships/hyperlink" Target="https://owasp.org/www-project-smart-contract-security-verification-standard/" TargetMode="External"/><Relationship Id="rId83" Type="http://schemas.openxmlformats.org/officeDocument/2006/relationships/hyperlink" Target="https://frameworks.securityalliance.org/" TargetMode="External"/><Relationship Id="rId84" Type="http://schemas.openxmlformats.org/officeDocument/2006/relationships/hyperlink" Target="https://securityalliance.org/our-work/seal-911" TargetMode="External"/><Relationship Id="rId85" Type="http://schemas.openxmlformats.org/officeDocument/2006/relationships/hyperlink" Target="https://securityalliance.org/our-work/safe-harbor" TargetMode="External"/><Relationship Id="rId86" Type="http://schemas.openxmlformats.org/officeDocument/2006/relationships/hyperlink" Target="https://www.fbi.gov/investigate/cyber/alerts/2025/north-korea-responsible-for-1-5-billion-bybit-hack" TargetMode="External"/><Relationship Id="rId87" Type="http://schemas.openxmlformats.org/officeDocument/2006/relationships/hyperlink" Target="https://nccgroup.com/sg/research-blog/in-depth-technical-analysis-of-the-bybit-hack" TargetMode="External"/><Relationship Id="rId88" Type="http://schemas.openxmlformats.org/officeDocument/2006/relationships/hyperlink" Target="https://blocksec.com/blog/drift-protocol-incident-multisig-governance-compromise-via-durable-nonce-exploitation" TargetMode="External"/><Relationship Id="rId89" Type="http://schemas.openxmlformats.org/officeDocument/2006/relationships/hyperlink" Target="https://csrc.nist.gov/Projects/post-quantum-cryptography/publications" TargetMode="External"/><Relationship Id="rId90" Type="http://schemas.openxmlformats.org/officeDocument/2006/relationships/hyperlink" Target="https://nvlpubs.nist.gov/nistpubs/ir/2024/NIST.IR.8547.ipd.pdf" TargetMode="External"/><Relationship Id="rId91" Type="http://schemas.openxmlformats.org/officeDocument/2006/relationships/hyperlink" Target="https://www.esma.europa.eu/publications-and-data/interactive-single-rulebook/mica/article-143-transitional-measures" TargetMode="External"/><Relationship Id="rId92" Type="http://schemas.openxmlformats.org/officeDocument/2006/relationships/hyperlink" Target="https://www.esma.europa.eu/publications-and-data/interactive-single-rulebook/mica/article-61-provision-crypto-asset-services" TargetMode="External"/><Relationship Id="rId93" Type="http://schemas.openxmlformats.org/officeDocument/2006/relationships/hyperlink" Target="https://www.esma.europa.eu/sites/default/files/2025-02/ESMA35-1872330276-2030_Guidelines_on_reverse_solicitation_under_MiCA.pdf" TargetMode="External"/><Relationship Id="rId94" Type="http://schemas.openxmlformats.org/officeDocument/2006/relationships/hyperlink" Target="https://eur-lex.europa.eu/legal-content/EN/TXT/HTML/?uri=CELEX:32022R2554" TargetMode="External"/><Relationship Id="rId95" Type="http://schemas.openxmlformats.org/officeDocument/2006/relationships/hyperlink" Target="https://eur-lex.europa.eu/legal-content/EN/TXT/HTML/?uri=CELEX:32025R0301" TargetMode="External"/><Relationship Id="rId96" Type="http://schemas.openxmlformats.org/officeDocument/2006/relationships/hyperlink" Target="https://blog.pcisecuritystandards.org/now-is-the-time-for-organizations-to-adopt-the-future-dated-requirements-of-pci-dss-v4-x" TargetMode="External"/><Relationship Id="rId97" Type="http://schemas.openxmlformats.org/officeDocument/2006/relationships/hyperlink" Target="https://blog.pcisecuritystandards.org/important-updates-announced-for-merchants-validating-to-self-assessment-questionnaire-a" TargetMode="External"/><Relationship Id="rId98" Type="http://schemas.openxmlformats.org/officeDocument/2006/relationships/hyperlink" Target="https://www.fincen.gov/sites/default/files/2019-05/FinCEN%20Guidance%20CVC%20FINAL%20508.pdf" TargetMode="External"/><Relationship Id="rId99" Type="http://schemas.openxmlformats.org/officeDocument/2006/relationships/hyperlink" Target="https://ofac.treasury.gov/recent-actions/20211015" TargetMode="External"/><Relationship Id="rId100" Type="http://schemas.openxmlformats.org/officeDocument/2006/relationships/hyperlink" Target="https://www.ftc.gov/business-guidance/blog/2024/05/safeguards-rule-notification-requirement-now-effect" TargetMode="External"/><Relationship Id="rId101" Type="http://schemas.openxmlformats.org/officeDocument/2006/relationships/hyperlink" Target="https://www.orrick.com/en/Insights/2026/10/The-CLARITY-Act-Stalls-in-the-Senate-Whats-Next-for-Digital-Asset-Regulation" TargetMode="External"/><Relationship Id="rId102" Type="http://schemas.openxmlformats.org/officeDocument/2006/relationships/hyperlink" Target="https://www.aicpa-cima.com/resources/download/2017-trust-services-criteria-with-revised-points-of-focus-2022" TargetMode="External"/><Relationship Id="rId103" Type="http://schemas.openxmlformats.org/officeDocument/2006/relationships/hyperlink" Target="https://www.aicpa-cima.com/resources/article/get-description-criteria-for-your-organizations-soc-2-r-report" TargetMode="External"/><Relationship Id="rId104" Type="http://schemas.openxmlformats.org/officeDocument/2006/relationships/hyperlink" Target="https://www.aicpa-cima.com/resources/article/read-the-latest-faqs-for-soc-2-r-and-soc-3-r-examinations" TargetMode="External"/><Relationship Id="rId105" Type="http://schemas.openxmlformats.org/officeDocument/2006/relationships/hyperlink" Target="https://www.nist.gov/news-events/news/2024/02/nist-releases-version-20-landmark-cybersecurity-framework" TargetMode="External"/><Relationship Id="rId106" Type="http://schemas.openxmlformats.org/officeDocument/2006/relationships/hyperlink" Target="https://www.nist.gov/news-events/news/2025/04/nist-revises-sp-800-61-incident-response-recommendations-and-considerations" TargetMode="External"/><Relationship Id="rId107" Type="http://schemas.openxmlformats.org/officeDocument/2006/relationships/hyperlink" Target="https://csrc.nist.gov/pubs/sp/800/218/r1/ipd" TargetMode="External"/><Relationship Id="rId108" Type="http://schemas.openxmlformats.org/officeDocument/2006/relationships/hyperlink" Target="https://iaf.nu/iaf_system/uploads/documents/IAF_MD26_Issue_2_15012023.pdf" TargetMode="External"/><Relationship Id="rId109" Type="http://schemas.openxmlformats.org/officeDocument/2006/relationships/hyperlink" Target="https://www.iso.org/standard/88435.html" TargetMode="External"/><Relationship Id="rId110" Type="http://schemas.openxmlformats.org/officeDocument/2006/relationships/hyperlink" Target="https://help.vanta.com/en/articles/11345655-connecting-vanta-microsoft-entra" TargetMode="External"/><Relationship Id="rId111" Type="http://schemas.openxmlformats.org/officeDocument/2006/relationships/hyperlink" Target="https://help.drata.com/en/articles/4797766-microsoft-365-integration-guide" TargetMode="External"/><Relationship Id="rId112" Type="http://schemas.openxmlformats.org/officeDocument/2006/relationships/hyperlink" Target="https://support.secureframe.com/hc/en-us/articles/20710013602963-Microsoft-Entra-ID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70"/>
    <col collapsed="false" customWidth="true" hidden="false" outlineLevel="0" max="5" min="5" style="0" width="12"/>
    <col collapsed="false" customWidth="true" hidden="false" outlineLevel="0" max="6" min="6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v>46321</v>
      </c>
    </row>
    <row r="5" customFormat="false" ht="15" hidden="false" customHeight="false" outlineLevel="0" collapsed="false">
      <c r="A5" s="3" t="s">
        <v>3</v>
      </c>
      <c r="B5" s="5" t="n">
        <f aca="false">B4+7*26-1</f>
        <v>46502</v>
      </c>
    </row>
    <row r="6" customFormat="false" ht="15" hidden="false" customHeight="false" outlineLevel="0" collapsed="false">
      <c r="A6" s="3" t="s">
        <v>4</v>
      </c>
      <c r="B6" s="5" t="n">
        <f aca="false">B4-7</f>
        <v>46314</v>
      </c>
    </row>
    <row r="8" customFormat="false" ht="57.75" hidden="false" customHeight="true" outlineLevel="0" collapsed="false">
      <c r="A8" s="3" t="s">
        <v>5</v>
      </c>
      <c r="B8" s="6" t="s">
        <v>6</v>
      </c>
      <c r="C8" s="6"/>
      <c r="D8" s="6"/>
      <c r="E8" s="6"/>
      <c r="F8" s="6"/>
    </row>
    <row r="9" customFormat="false" ht="57.75" hidden="false" customHeight="true" outlineLevel="0" collapsed="false">
      <c r="A9" s="3" t="s">
        <v>7</v>
      </c>
      <c r="B9" s="6" t="s">
        <v>8</v>
      </c>
      <c r="C9" s="6"/>
      <c r="D9" s="6"/>
      <c r="E9" s="6"/>
      <c r="F9" s="6"/>
    </row>
    <row r="10" customFormat="false" ht="57.75" hidden="false" customHeight="true" outlineLevel="0" collapsed="false">
      <c r="A10" s="3" t="s">
        <v>9</v>
      </c>
      <c r="B10" s="6" t="s">
        <v>10</v>
      </c>
      <c r="C10" s="6"/>
      <c r="D10" s="6"/>
      <c r="E10" s="6"/>
      <c r="F10" s="6"/>
    </row>
    <row r="11" customFormat="false" ht="57.75" hidden="false" customHeight="true" outlineLevel="0" collapsed="false">
      <c r="A11" s="3" t="s">
        <v>11</v>
      </c>
      <c r="B11" s="6" t="s">
        <v>12</v>
      </c>
      <c r="C11" s="6"/>
      <c r="D11" s="6"/>
      <c r="E11" s="6"/>
      <c r="F11" s="6"/>
    </row>
    <row r="13" customFormat="false" ht="15" hidden="false" customHeight="false" outlineLevel="0" collapsed="false">
      <c r="A13" s="7" t="s">
        <v>13</v>
      </c>
    </row>
    <row r="14" customFormat="false" ht="15" hidden="false" customHeight="false" outlineLevel="0" collapsed="false">
      <c r="A14" s="8" t="s">
        <v>14</v>
      </c>
      <c r="B14" s="3" t="n">
        <f aca="false">COUNTA('Project Plan'!$A$7:$A$156)</f>
        <v>150</v>
      </c>
    </row>
    <row r="15" customFormat="false" ht="15" hidden="false" customHeight="false" outlineLevel="0" collapsed="false">
      <c r="A15" s="8" t="s">
        <v>15</v>
      </c>
      <c r="B15" s="3" t="n">
        <f aca="false">COUNTIF('Project Plan'!$U$7:$U$156,"?*")</f>
        <v>16</v>
      </c>
    </row>
    <row r="16" customFormat="false" ht="15" hidden="false" customHeight="false" outlineLevel="0" collapsed="false">
      <c r="A16" s="8" t="s">
        <v>16</v>
      </c>
      <c r="B16" s="3" t="n">
        <f aca="false">6</f>
        <v>6</v>
      </c>
    </row>
    <row r="17" customFormat="false" ht="15" hidden="false" customHeight="false" outlineLevel="0" collapsed="false">
      <c r="A17" s="8" t="s">
        <v>17</v>
      </c>
      <c r="B17" s="3" t="n">
        <f aca="false">COUNTA(A55:A58)</f>
        <v>4</v>
      </c>
    </row>
    <row r="18" customFormat="false" ht="15" hidden="false" customHeight="false" outlineLevel="0" collapsed="false">
      <c r="A18" s="8" t="s">
        <v>18</v>
      </c>
      <c r="B18" s="3" t="n">
        <f aca="false">'Roles &amp; Skills'!E27</f>
        <v>5</v>
      </c>
    </row>
    <row r="19" customFormat="false" ht="15" hidden="false" customHeight="false" outlineLevel="0" collapsed="false">
      <c r="A19" s="8" t="s">
        <v>19</v>
      </c>
      <c r="B19" s="3" t="n">
        <f aca="false">'Roles &amp; Skills'!E28</f>
        <v>6.5</v>
      </c>
    </row>
    <row r="20" customFormat="false" ht="15" hidden="false" customHeight="false" outlineLevel="0" collapsed="false">
      <c r="A20" s="8" t="s">
        <v>20</v>
      </c>
      <c r="B20" s="3" t="n">
        <f aca="false">'Roles &amp; Skills'!H27</f>
        <v>133</v>
      </c>
    </row>
    <row r="21" customFormat="false" ht="15" hidden="false" customHeight="false" outlineLevel="0" collapsed="false">
      <c r="A21" s="8" t="s">
        <v>21</v>
      </c>
      <c r="B21" s="3" t="n">
        <f aca="false">'Roles &amp; Skills'!E29</f>
        <v>7</v>
      </c>
    </row>
    <row r="22" customFormat="false" ht="15" hidden="false" customHeight="false" outlineLevel="0" collapsed="false">
      <c r="A22" s="8" t="s">
        <v>22</v>
      </c>
      <c r="B22" s="3" t="n">
        <f aca="false">COUNTA(KPIs!A5:A29)</f>
        <v>25</v>
      </c>
    </row>
    <row r="23" customFormat="false" ht="15" hidden="false" customHeight="false" outlineLevel="0" collapsed="false">
      <c r="A23" s="8" t="s">
        <v>23</v>
      </c>
      <c r="B23" s="3" t="n">
        <f aca="false">COUNTA('Risks and Decisions'!A30:A46)</f>
        <v>17</v>
      </c>
    </row>
    <row r="24" customFormat="false" ht="15" hidden="false" customHeight="false" outlineLevel="0" collapsed="false">
      <c r="A24" s="8" t="s">
        <v>24</v>
      </c>
      <c r="B24" s="3" t="n">
        <f aca="false">COUNTA('Risks and Decisions'!A5:A26)</f>
        <v>22</v>
      </c>
    </row>
    <row r="25" customFormat="false" ht="15" hidden="false" customHeight="false" outlineLevel="0" collapsed="false">
      <c r="A25" s="8" t="s">
        <v>25</v>
      </c>
      <c r="B25" s="3" t="n">
        <f aca="false">COUNTA('Review Log'!A5:A66)</f>
        <v>62</v>
      </c>
    </row>
    <row r="26" customFormat="false" ht="15" hidden="false" customHeight="false" outlineLevel="0" collapsed="false">
      <c r="A26" s="8" t="s">
        <v>26</v>
      </c>
      <c r="B26" s="3" t="n">
        <f aca="false">COUNTIF('Project Plan'!$K$7:$K$156,"VIOLATION")</f>
        <v>0</v>
      </c>
    </row>
    <row r="27" customFormat="false" ht="15" hidden="false" customHeight="false" outlineLevel="0" collapsed="false">
      <c r="A27" s="8" t="s">
        <v>27</v>
      </c>
      <c r="B27" s="3" t="n">
        <f aca="false">COUNTIF('Project Plan'!$L$7:$L$156,"LATE")</f>
        <v>0</v>
      </c>
    </row>
    <row r="28" customFormat="false" ht="15" hidden="false" customHeight="false" outlineLevel="0" collapsed="false">
      <c r="A28" s="8" t="s">
        <v>28</v>
      </c>
      <c r="B28" s="3" t="n">
        <f aca="false">COUNTIF('Risks and Decisions'!J30:J46,"MISALIGNED")</f>
        <v>0</v>
      </c>
    </row>
    <row r="29" customFormat="false" ht="15" hidden="false" customHeight="false" outlineLevel="0" collapsed="false">
      <c r="A29" s="8" t="s">
        <v>29</v>
      </c>
      <c r="B29" s="3" t="n">
        <f aca="false">COUNTIF('Roles &amp; Skills'!P5:P26,"OVER")</f>
        <v>0</v>
      </c>
    </row>
    <row r="31" customFormat="false" ht="15" hidden="false" customHeight="false" outlineLevel="0" collapsed="false">
      <c r="A31" s="7" t="s">
        <v>30</v>
      </c>
    </row>
    <row r="32" customFormat="false" ht="30" hidden="false" customHeight="true" outlineLevel="0" collapsed="false">
      <c r="A32" s="9" t="s">
        <v>31</v>
      </c>
      <c r="B32" s="9"/>
      <c r="C32" s="9"/>
      <c r="D32" s="9"/>
      <c r="E32" s="9"/>
      <c r="F32" s="9"/>
    </row>
    <row r="33" customFormat="false" ht="30" hidden="false" customHeight="true" outlineLevel="0" collapsed="false">
      <c r="A33" s="9" t="s">
        <v>32</v>
      </c>
      <c r="B33" s="9"/>
      <c r="C33" s="9"/>
      <c r="D33" s="9"/>
      <c r="E33" s="9"/>
      <c r="F33" s="9"/>
    </row>
    <row r="34" customFormat="false" ht="30" hidden="false" customHeight="true" outlineLevel="0" collapsed="false">
      <c r="A34" s="9" t="s">
        <v>33</v>
      </c>
      <c r="B34" s="9"/>
      <c r="C34" s="9"/>
      <c r="D34" s="9"/>
      <c r="E34" s="9"/>
      <c r="F34" s="9"/>
    </row>
    <row r="35" customFormat="false" ht="30" hidden="false" customHeight="true" outlineLevel="0" collapsed="false">
      <c r="A35" s="9" t="s">
        <v>34</v>
      </c>
      <c r="B35" s="9"/>
      <c r="C35" s="9"/>
      <c r="D35" s="9"/>
      <c r="E35" s="9"/>
      <c r="F35" s="9"/>
    </row>
    <row r="36" customFormat="false" ht="30" hidden="false" customHeight="true" outlineLevel="0" collapsed="false">
      <c r="A36" s="9" t="s">
        <v>35</v>
      </c>
      <c r="B36" s="9"/>
      <c r="C36" s="9"/>
      <c r="D36" s="9"/>
      <c r="E36" s="9"/>
      <c r="F36" s="9"/>
    </row>
    <row r="37" customFormat="false" ht="30" hidden="false" customHeight="true" outlineLevel="0" collapsed="false">
      <c r="A37" s="9" t="s">
        <v>36</v>
      </c>
      <c r="B37" s="9"/>
      <c r="C37" s="9"/>
      <c r="D37" s="9"/>
      <c r="E37" s="9"/>
      <c r="F37" s="9"/>
    </row>
    <row r="38" customFormat="false" ht="30" hidden="false" customHeight="true" outlineLevel="0" collapsed="false">
      <c r="A38" s="9" t="s">
        <v>37</v>
      </c>
      <c r="B38" s="9"/>
      <c r="C38" s="9"/>
      <c r="D38" s="9"/>
      <c r="E38" s="9"/>
      <c r="F38" s="9"/>
    </row>
    <row r="39" customFormat="false" ht="30" hidden="false" customHeight="true" outlineLevel="0" collapsed="false">
      <c r="A39" s="9" t="s">
        <v>38</v>
      </c>
      <c r="B39" s="9"/>
      <c r="C39" s="9"/>
      <c r="D39" s="9"/>
      <c r="E39" s="9"/>
      <c r="F39" s="9"/>
    </row>
    <row r="40" customFormat="false" ht="30" hidden="false" customHeight="true" outlineLevel="0" collapsed="false">
      <c r="A40" s="9" t="s">
        <v>39</v>
      </c>
      <c r="B40" s="9"/>
      <c r="C40" s="9"/>
      <c r="D40" s="9"/>
      <c r="E40" s="9"/>
      <c r="F40" s="9"/>
    </row>
    <row r="41" customFormat="false" ht="30" hidden="false" customHeight="true" outlineLevel="0" collapsed="false">
      <c r="A41" s="9" t="s">
        <v>40</v>
      </c>
      <c r="B41" s="9"/>
      <c r="C41" s="9"/>
      <c r="D41" s="9"/>
      <c r="E41" s="9"/>
      <c r="F41" s="9"/>
    </row>
    <row r="42" customFormat="false" ht="30" hidden="false" customHeight="true" outlineLevel="0" collapsed="false">
      <c r="A42" s="9" t="s">
        <v>41</v>
      </c>
      <c r="B42" s="9"/>
      <c r="C42" s="9"/>
      <c r="D42" s="9"/>
      <c r="E42" s="9"/>
      <c r="F42" s="9"/>
    </row>
    <row r="44" customFormat="false" ht="15" hidden="false" customHeight="false" outlineLevel="0" collapsed="false">
      <c r="A44" s="7" t="s">
        <v>42</v>
      </c>
    </row>
    <row r="45" customFormat="false" ht="15" hidden="false" customHeight="false" outlineLevel="0" collapsed="false">
      <c r="A45" s="10" t="s">
        <v>43</v>
      </c>
      <c r="B45" s="10" t="s">
        <v>44</v>
      </c>
      <c r="C45" s="10" t="s">
        <v>45</v>
      </c>
      <c r="D45" s="10" t="s">
        <v>46</v>
      </c>
      <c r="E45" s="10" t="s">
        <v>47</v>
      </c>
      <c r="F45" s="10" t="s">
        <v>48</v>
      </c>
    </row>
    <row r="46" customFormat="false" ht="43.25" hidden="false" customHeight="false" outlineLevel="0" collapsed="false">
      <c r="A46" s="11" t="s">
        <v>49</v>
      </c>
      <c r="B46" s="11" t="s">
        <v>50</v>
      </c>
      <c r="C46" s="11" t="n">
        <v>0</v>
      </c>
      <c r="D46" s="11" t="n">
        <v>2</v>
      </c>
      <c r="E46" s="12" t="n">
        <f aca="false">$B$4+7*(C46-1)</f>
        <v>46314</v>
      </c>
      <c r="F46" s="11" t="s">
        <v>51</v>
      </c>
    </row>
    <row r="47" customFormat="false" ht="43.25" hidden="false" customHeight="false" outlineLevel="0" collapsed="false">
      <c r="A47" s="11" t="s">
        <v>52</v>
      </c>
      <c r="B47" s="11" t="s">
        <v>53</v>
      </c>
      <c r="C47" s="11" t="n">
        <v>1</v>
      </c>
      <c r="D47" s="11" t="n">
        <v>6</v>
      </c>
      <c r="E47" s="12" t="n">
        <f aca="false">$B$4+7*(C47-1)</f>
        <v>46321</v>
      </c>
      <c r="F47" s="11" t="s">
        <v>54</v>
      </c>
    </row>
    <row r="48" customFormat="false" ht="32.8" hidden="false" customHeight="false" outlineLevel="0" collapsed="false">
      <c r="A48" s="11" t="s">
        <v>55</v>
      </c>
      <c r="B48" s="11" t="s">
        <v>56</v>
      </c>
      <c r="C48" s="11" t="n">
        <v>2</v>
      </c>
      <c r="D48" s="11" t="n">
        <v>10</v>
      </c>
      <c r="E48" s="12" t="n">
        <f aca="false">$B$4+7*(C48-1)</f>
        <v>46328</v>
      </c>
      <c r="F48" s="11" t="s">
        <v>57</v>
      </c>
    </row>
    <row r="49" customFormat="false" ht="32.8" hidden="false" customHeight="false" outlineLevel="0" collapsed="false">
      <c r="A49" s="11" t="s">
        <v>58</v>
      </c>
      <c r="B49" s="11" t="s">
        <v>59</v>
      </c>
      <c r="C49" s="11" t="n">
        <v>6</v>
      </c>
      <c r="D49" s="11" t="n">
        <v>20</v>
      </c>
      <c r="E49" s="12" t="n">
        <f aca="false">$B$4+7*(C49-1)</f>
        <v>46356</v>
      </c>
      <c r="F49" s="11" t="s">
        <v>60</v>
      </c>
    </row>
    <row r="50" customFormat="false" ht="32.8" hidden="false" customHeight="false" outlineLevel="0" collapsed="false">
      <c r="A50" s="11" t="s">
        <v>61</v>
      </c>
      <c r="B50" s="11" t="s">
        <v>62</v>
      </c>
      <c r="C50" s="11" t="n">
        <v>10</v>
      </c>
      <c r="D50" s="11" t="n">
        <v>22</v>
      </c>
      <c r="E50" s="12" t="n">
        <f aca="false">$B$4+7*(C50-1)</f>
        <v>46384</v>
      </c>
      <c r="F50" s="11" t="s">
        <v>63</v>
      </c>
    </row>
    <row r="51" customFormat="false" ht="43.25" hidden="false" customHeight="false" outlineLevel="0" collapsed="false">
      <c r="A51" s="11" t="s">
        <v>64</v>
      </c>
      <c r="B51" s="11" t="s">
        <v>65</v>
      </c>
      <c r="C51" s="11" t="n">
        <v>14</v>
      </c>
      <c r="D51" s="11" t="n">
        <v>26</v>
      </c>
      <c r="E51" s="12" t="n">
        <f aca="false">$B$4+7*(C51-1)</f>
        <v>46412</v>
      </c>
      <c r="F51" s="11" t="s">
        <v>66</v>
      </c>
    </row>
    <row r="53" customFormat="false" ht="15" hidden="false" customHeight="false" outlineLevel="0" collapsed="false">
      <c r="A53" s="7" t="s">
        <v>67</v>
      </c>
    </row>
    <row r="54" customFormat="false" ht="15" hidden="false" customHeight="false" outlineLevel="0" collapsed="false">
      <c r="A54" s="10" t="s">
        <v>68</v>
      </c>
      <c r="B54" s="10" t="s">
        <v>69</v>
      </c>
      <c r="C54" s="10" t="s">
        <v>44</v>
      </c>
      <c r="D54" s="10" t="s">
        <v>70</v>
      </c>
      <c r="E54" s="10" t="s">
        <v>71</v>
      </c>
      <c r="F54" s="10" t="s">
        <v>72</v>
      </c>
    </row>
    <row r="55" customFormat="false" ht="75" hidden="false" customHeight="true" outlineLevel="0" collapsed="false">
      <c r="A55" s="11" t="s">
        <v>73</v>
      </c>
      <c r="B55" s="11" t="n">
        <v>6</v>
      </c>
      <c r="C55" s="11" t="s">
        <v>74</v>
      </c>
      <c r="D55" s="11" t="s">
        <v>75</v>
      </c>
      <c r="E55" s="11" t="s">
        <v>76</v>
      </c>
      <c r="F55" s="13" t="n">
        <f aca="false">$B$4+7*(B55-1)+4</f>
        <v>46360</v>
      </c>
    </row>
    <row r="56" customFormat="false" ht="75" hidden="false" customHeight="true" outlineLevel="0" collapsed="false">
      <c r="A56" s="11" t="s">
        <v>77</v>
      </c>
      <c r="B56" s="11" t="n">
        <v>15</v>
      </c>
      <c r="C56" s="11" t="s">
        <v>78</v>
      </c>
      <c r="D56" s="11" t="s">
        <v>79</v>
      </c>
      <c r="E56" s="11" t="s">
        <v>80</v>
      </c>
      <c r="F56" s="13" t="n">
        <f aca="false">$B$4+7*(B56-1)+4</f>
        <v>46423</v>
      </c>
    </row>
    <row r="57" customFormat="false" ht="75" hidden="false" customHeight="true" outlineLevel="0" collapsed="false">
      <c r="A57" s="11" t="s">
        <v>81</v>
      </c>
      <c r="B57" s="11" t="n">
        <v>20</v>
      </c>
      <c r="C57" s="11" t="s">
        <v>82</v>
      </c>
      <c r="D57" s="11" t="s">
        <v>83</v>
      </c>
      <c r="E57" s="11" t="s">
        <v>84</v>
      </c>
      <c r="F57" s="13" t="n">
        <f aca="false">$B$4+7*(B57-1)+4</f>
        <v>46458</v>
      </c>
    </row>
    <row r="58" customFormat="false" ht="75" hidden="false" customHeight="true" outlineLevel="0" collapsed="false">
      <c r="A58" s="11" t="s">
        <v>85</v>
      </c>
      <c r="B58" s="11" t="n">
        <v>26</v>
      </c>
      <c r="C58" s="11" t="s">
        <v>86</v>
      </c>
      <c r="D58" s="11" t="s">
        <v>87</v>
      </c>
      <c r="E58" s="11" t="s">
        <v>88</v>
      </c>
      <c r="F58" s="13" t="n">
        <f aca="false">$B$4+7*(B58-1)+4</f>
        <v>46500</v>
      </c>
    </row>
  </sheetData>
  <mergeCells count="15">
    <mergeCell ref="B8:F8"/>
    <mergeCell ref="B9:F9"/>
    <mergeCell ref="B10:F10"/>
    <mergeCell ref="B11:F11"/>
    <mergeCell ref="A32:F32"/>
    <mergeCell ref="A33:F33"/>
    <mergeCell ref="A34:F34"/>
    <mergeCell ref="A35:F35"/>
    <mergeCell ref="A36:F36"/>
    <mergeCell ref="A37:F37"/>
    <mergeCell ref="A38:F38"/>
    <mergeCell ref="A39:F39"/>
    <mergeCell ref="A40:F40"/>
    <mergeCell ref="A41:F41"/>
    <mergeCell ref="A42:F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1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6" topLeftCell="E7" activePane="bottomRight" state="frozen"/>
      <selection pane="topLeft" activeCell="A1" activeCellId="0" sqref="A1"/>
      <selection pane="topRight" activeCell="E1" activeCellId="0" sqref="E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6"/>
    <col collapsed="false" customWidth="true" hidden="false" outlineLevel="0" max="4" min="4" style="0" width="34"/>
    <col collapsed="false" customWidth="true" hidden="false" outlineLevel="0" max="5" min="5" style="0" width="50"/>
    <col collapsed="false" customWidth="true" hidden="false" outlineLevel="0" max="8" min="6" style="0" width="6"/>
    <col collapsed="false" customWidth="true" hidden="false" outlineLevel="0" max="9" min="9" style="0" width="16"/>
    <col collapsed="false" customWidth="true" hidden="false" outlineLevel="0" max="10" min="10" style="0" width="7"/>
    <col collapsed="false" customWidth="true" hidden="false" outlineLevel="0" max="11" min="11" style="0" width="9"/>
    <col collapsed="false" customWidth="true" hidden="false" outlineLevel="0" max="12" min="12" style="0" width="8"/>
    <col collapsed="false" customWidth="true" hidden="false" outlineLevel="0" max="14" min="13" style="0" width="10"/>
    <col collapsed="false" customWidth="true" hidden="false" outlineLevel="0" max="15" min="15" style="0" width="7"/>
    <col collapsed="false" customWidth="true" hidden="false" outlineLevel="0" max="16" min="16" style="0" width="14"/>
    <col collapsed="false" customWidth="true" hidden="false" outlineLevel="0" max="17" min="17" style="0" width="18"/>
    <col collapsed="false" customWidth="true" hidden="false" outlineLevel="0" max="18" min="18" style="0" width="22"/>
    <col collapsed="false" customWidth="true" hidden="false" outlineLevel="0" max="19" min="19" style="0" width="26"/>
    <col collapsed="false" customWidth="true" hidden="false" outlineLevel="0" max="20" min="20" style="0" width="11"/>
    <col collapsed="false" customWidth="true" hidden="false" outlineLevel="0" max="21" min="21" style="0" width="24"/>
    <col collapsed="false" customWidth="true" hidden="true" outlineLevel="0" max="22" min="22" style="0" width="4"/>
    <col collapsed="false" customWidth="true" hidden="false" outlineLevel="0" max="49" min="23" style="0" width="3.2"/>
  </cols>
  <sheetData>
    <row r="1" customFormat="false" ht="17.35" hidden="false" customHeight="false" outlineLevel="0" collapsed="false">
      <c r="A1" s="1" t="s">
        <v>89</v>
      </c>
    </row>
    <row r="2" customFormat="false" ht="15" hidden="false" customHeight="false" outlineLevel="0" collapsed="false">
      <c r="A2" s="2" t="s">
        <v>90</v>
      </c>
    </row>
    <row r="4" customFormat="false" ht="15" hidden="false" customHeight="false" outlineLevel="0" collapsed="false">
      <c r="A4" s="14" t="s">
        <v>91</v>
      </c>
      <c r="B4" s="15" t="s">
        <v>92</v>
      </c>
      <c r="C4" s="16" t="s">
        <v>93</v>
      </c>
      <c r="D4" s="17" t="s">
        <v>94</v>
      </c>
      <c r="E4" s="18" t="s">
        <v>95</v>
      </c>
      <c r="F4" s="19" t="s">
        <v>96</v>
      </c>
      <c r="G4" s="20" t="s">
        <v>97</v>
      </c>
    </row>
    <row r="5" customFormat="false" ht="23.1" hidden="false" customHeight="false" outlineLevel="0" collapsed="false">
      <c r="W5" s="21" t="n">
        <f aca="false">Overview!$B$4+7*(W6-1)</f>
        <v>46314</v>
      </c>
      <c r="X5" s="21" t="n">
        <f aca="false">Overview!$B$4+7*(X6-1)</f>
        <v>46321</v>
      </c>
      <c r="Y5" s="21" t="n">
        <f aca="false">Overview!$B$4+7*(Y6-1)</f>
        <v>46328</v>
      </c>
      <c r="Z5" s="21" t="n">
        <f aca="false">Overview!$B$4+7*(Z6-1)</f>
        <v>46335</v>
      </c>
      <c r="AA5" s="21" t="n">
        <f aca="false">Overview!$B$4+7*(AA6-1)</f>
        <v>46342</v>
      </c>
      <c r="AB5" s="21" t="n">
        <f aca="false">Overview!$B$4+7*(AB6-1)</f>
        <v>46349</v>
      </c>
      <c r="AC5" s="21" t="n">
        <f aca="false">Overview!$B$4+7*(AC6-1)</f>
        <v>46356</v>
      </c>
      <c r="AD5" s="21" t="n">
        <f aca="false">Overview!$B$4+7*(AD6-1)</f>
        <v>46363</v>
      </c>
      <c r="AE5" s="21" t="n">
        <f aca="false">Overview!$B$4+7*(AE6-1)</f>
        <v>46370</v>
      </c>
      <c r="AF5" s="21" t="n">
        <f aca="false">Overview!$B$4+7*(AF6-1)</f>
        <v>46377</v>
      </c>
      <c r="AG5" s="21" t="n">
        <f aca="false">Overview!$B$4+7*(AG6-1)</f>
        <v>46384</v>
      </c>
      <c r="AH5" s="21" t="n">
        <f aca="false">Overview!$B$4+7*(AH6-1)</f>
        <v>46391</v>
      </c>
      <c r="AI5" s="21" t="n">
        <f aca="false">Overview!$B$4+7*(AI6-1)</f>
        <v>46398</v>
      </c>
      <c r="AJ5" s="21" t="n">
        <f aca="false">Overview!$B$4+7*(AJ6-1)</f>
        <v>46405</v>
      </c>
      <c r="AK5" s="21" t="n">
        <f aca="false">Overview!$B$4+7*(AK6-1)</f>
        <v>46412</v>
      </c>
      <c r="AL5" s="21" t="n">
        <f aca="false">Overview!$B$4+7*(AL6-1)</f>
        <v>46419</v>
      </c>
      <c r="AM5" s="21" t="n">
        <f aca="false">Overview!$B$4+7*(AM6-1)</f>
        <v>46426</v>
      </c>
      <c r="AN5" s="21" t="n">
        <f aca="false">Overview!$B$4+7*(AN6-1)</f>
        <v>46433</v>
      </c>
      <c r="AO5" s="21" t="n">
        <f aca="false">Overview!$B$4+7*(AO6-1)</f>
        <v>46440</v>
      </c>
      <c r="AP5" s="21" t="n">
        <f aca="false">Overview!$B$4+7*(AP6-1)</f>
        <v>46447</v>
      </c>
      <c r="AQ5" s="21" t="n">
        <f aca="false">Overview!$B$4+7*(AQ6-1)</f>
        <v>46454</v>
      </c>
      <c r="AR5" s="21" t="n">
        <f aca="false">Overview!$B$4+7*(AR6-1)</f>
        <v>46461</v>
      </c>
      <c r="AS5" s="21" t="n">
        <f aca="false">Overview!$B$4+7*(AS6-1)</f>
        <v>46468</v>
      </c>
      <c r="AT5" s="21" t="n">
        <f aca="false">Overview!$B$4+7*(AT6-1)</f>
        <v>46475</v>
      </c>
      <c r="AU5" s="21" t="n">
        <f aca="false">Overview!$B$4+7*(AU6-1)</f>
        <v>46482</v>
      </c>
      <c r="AV5" s="21" t="n">
        <f aca="false">Overview!$B$4+7*(AV6-1)</f>
        <v>46489</v>
      </c>
      <c r="AW5" s="21" t="n">
        <f aca="false">Overview!$B$4+7*(AW6-1)</f>
        <v>46496</v>
      </c>
    </row>
    <row r="6" customFormat="false" ht="202.95" hidden="false" customHeight="false" outlineLevel="0" collapsed="false">
      <c r="A6" s="10" t="s">
        <v>98</v>
      </c>
      <c r="B6" s="10" t="s">
        <v>43</v>
      </c>
      <c r="C6" s="10" t="s">
        <v>99</v>
      </c>
      <c r="D6" s="10" t="s">
        <v>100</v>
      </c>
      <c r="E6" s="10" t="s">
        <v>101</v>
      </c>
      <c r="F6" s="10" t="s">
        <v>45</v>
      </c>
      <c r="G6" s="10" t="s">
        <v>102</v>
      </c>
      <c r="H6" s="10" t="s">
        <v>46</v>
      </c>
      <c r="I6" s="10" t="s">
        <v>103</v>
      </c>
      <c r="J6" s="10" t="s">
        <v>104</v>
      </c>
      <c r="K6" s="10" t="s">
        <v>105</v>
      </c>
      <c r="L6" s="10" t="s">
        <v>106</v>
      </c>
      <c r="M6" s="10" t="s">
        <v>47</v>
      </c>
      <c r="N6" s="10" t="s">
        <v>107</v>
      </c>
      <c r="O6" s="10" t="s">
        <v>108</v>
      </c>
      <c r="P6" s="10" t="s">
        <v>109</v>
      </c>
      <c r="Q6" s="10" t="s">
        <v>110</v>
      </c>
      <c r="R6" s="10" t="s">
        <v>111</v>
      </c>
      <c r="S6" s="10" t="s">
        <v>112</v>
      </c>
      <c r="T6" s="10" t="s">
        <v>113</v>
      </c>
      <c r="U6" s="10" t="s">
        <v>114</v>
      </c>
      <c r="V6" s="10" t="s">
        <v>115</v>
      </c>
      <c r="W6" s="10" t="n">
        <v>0</v>
      </c>
      <c r="X6" s="10" t="n">
        <v>1</v>
      </c>
      <c r="Y6" s="10" t="n">
        <v>2</v>
      </c>
      <c r="Z6" s="10" t="n">
        <v>3</v>
      </c>
      <c r="AA6" s="10" t="n">
        <v>4</v>
      </c>
      <c r="AB6" s="10" t="n">
        <v>5</v>
      </c>
      <c r="AC6" s="10" t="n">
        <v>6</v>
      </c>
      <c r="AD6" s="10" t="n">
        <v>7</v>
      </c>
      <c r="AE6" s="10" t="n">
        <v>8</v>
      </c>
      <c r="AF6" s="22" t="n">
        <v>9</v>
      </c>
      <c r="AG6" s="22" t="n">
        <v>10</v>
      </c>
      <c r="AH6" s="10" t="n">
        <v>11</v>
      </c>
      <c r="AI6" s="10" t="n">
        <v>12</v>
      </c>
      <c r="AJ6" s="10" t="n">
        <v>13</v>
      </c>
      <c r="AK6" s="10" t="n">
        <v>14</v>
      </c>
      <c r="AL6" s="10" t="n">
        <v>15</v>
      </c>
      <c r="AM6" s="10" t="n">
        <v>16</v>
      </c>
      <c r="AN6" s="10" t="n">
        <v>17</v>
      </c>
      <c r="AO6" s="10" t="n">
        <v>18</v>
      </c>
      <c r="AP6" s="10" t="n">
        <v>19</v>
      </c>
      <c r="AQ6" s="10" t="n">
        <v>20</v>
      </c>
      <c r="AR6" s="10" t="n">
        <v>21</v>
      </c>
      <c r="AS6" s="10" t="n">
        <v>22</v>
      </c>
      <c r="AT6" s="10" t="n">
        <v>23</v>
      </c>
      <c r="AU6" s="10" t="n">
        <v>24</v>
      </c>
      <c r="AV6" s="10" t="n">
        <v>25</v>
      </c>
      <c r="AW6" s="10" t="n">
        <v>26</v>
      </c>
    </row>
    <row r="7" customFormat="false" ht="19.4" hidden="false" customHeight="false" outlineLevel="0" collapsed="false">
      <c r="A7" s="23" t="s">
        <v>116</v>
      </c>
      <c r="B7" s="23" t="s">
        <v>117</v>
      </c>
      <c r="C7" s="23" t="s">
        <v>118</v>
      </c>
      <c r="D7" s="24" t="s">
        <v>119</v>
      </c>
      <c r="E7" s="24" t="s">
        <v>120</v>
      </c>
      <c r="F7" s="25" t="n">
        <v>0</v>
      </c>
      <c r="G7" s="25" t="n">
        <v>1</v>
      </c>
      <c r="H7" s="23" t="n">
        <f aca="false">F7+G7-1</f>
        <v>0</v>
      </c>
      <c r="I7" s="24"/>
      <c r="J7" s="23" t="str">
        <f aca="false">IF(I7="","",SUMPRODUCT(MAX(ISNUMBER(SEARCH(","&amp;$A$7:$A$156&amp;",",","&amp;SUBSTITUTE(I7," ","")&amp;","))*$H$7:$H$156)))</f>
        <v/>
      </c>
      <c r="K7" s="23" t="str">
        <f aca="false">IF(I7="","OK",IF(F7&gt;J7,"OK","VIOLATION"))</f>
        <v>OK</v>
      </c>
      <c r="L7" s="23" t="str">
        <f aca="false">IF(H7&lt;=26,"OK","LATE")</f>
        <v>OK</v>
      </c>
      <c r="M7" s="26" t="n">
        <f aca="false">Overview!$B$4+7*(F7-1)</f>
        <v>46314</v>
      </c>
      <c r="N7" s="26" t="n">
        <f aca="false">Overview!$B$4+7*(H7-1)+4</f>
        <v>46318</v>
      </c>
      <c r="O7" s="23" t="s">
        <v>121</v>
      </c>
      <c r="P7" s="24" t="s">
        <v>122</v>
      </c>
      <c r="Q7" s="24" t="s">
        <v>123</v>
      </c>
      <c r="R7" s="24" t="s">
        <v>124</v>
      </c>
      <c r="S7" s="24" t="s">
        <v>125</v>
      </c>
      <c r="T7" s="23" t="s">
        <v>126</v>
      </c>
      <c r="U7" s="27" t="s">
        <v>127</v>
      </c>
      <c r="V7" s="23" t="str">
        <f aca="false">";"&amp;SUBSTITUTE(P7," ","")&amp;";"</f>
        <v>;CSE;ISE;BSE;GRC;</v>
      </c>
    </row>
    <row r="8" customFormat="false" ht="19.4" hidden="false" customHeight="false" outlineLevel="0" collapsed="false">
      <c r="A8" s="23" t="s">
        <v>128</v>
      </c>
      <c r="B8" s="23" t="s">
        <v>117</v>
      </c>
      <c r="C8" s="23" t="s">
        <v>98</v>
      </c>
      <c r="D8" s="24" t="s">
        <v>129</v>
      </c>
      <c r="E8" s="24" t="s">
        <v>130</v>
      </c>
      <c r="F8" s="25" t="n">
        <v>0</v>
      </c>
      <c r="G8" s="25" t="n">
        <v>1</v>
      </c>
      <c r="H8" s="23" t="n">
        <f aca="false">F8+G8-1</f>
        <v>0</v>
      </c>
      <c r="I8" s="24"/>
      <c r="J8" s="23" t="str">
        <f aca="false">IF(I8="","",SUMPRODUCT(MAX(ISNUMBER(SEARCH(","&amp;$A$7:$A$156&amp;",",","&amp;SUBSTITUTE(I8," ","")&amp;","))*$H$7:$H$156)))</f>
        <v/>
      </c>
      <c r="K8" s="23" t="str">
        <f aca="false">IF(I8="","OK",IF(F8&gt;J8,"OK","VIOLATION"))</f>
        <v>OK</v>
      </c>
      <c r="L8" s="23" t="str">
        <f aca="false">IF(H8&lt;=26,"OK","LATE")</f>
        <v>OK</v>
      </c>
      <c r="M8" s="26" t="n">
        <f aca="false">Overview!$B$4+7*(F8-1)</f>
        <v>46314</v>
      </c>
      <c r="N8" s="26" t="n">
        <f aca="false">Overview!$B$4+7*(H8-1)+4</f>
        <v>46318</v>
      </c>
      <c r="O8" s="23" t="s">
        <v>121</v>
      </c>
      <c r="P8" s="24" t="s">
        <v>131</v>
      </c>
      <c r="Q8" s="24" t="s">
        <v>132</v>
      </c>
      <c r="R8" s="24" t="s">
        <v>133</v>
      </c>
      <c r="S8" s="24" t="s">
        <v>134</v>
      </c>
      <c r="T8" s="23" t="s">
        <v>126</v>
      </c>
      <c r="U8" s="27" t="s">
        <v>135</v>
      </c>
      <c r="V8" s="23" t="str">
        <f aca="false">";"&amp;SUBSTITUTE(P8," ","")&amp;";"</f>
        <v>;ISE;BSE;</v>
      </c>
    </row>
    <row r="9" customFormat="false" ht="37.3" hidden="false" customHeight="false" outlineLevel="0" collapsed="false">
      <c r="A9" s="23" t="s">
        <v>136</v>
      </c>
      <c r="B9" s="23" t="s">
        <v>117</v>
      </c>
      <c r="C9" s="23" t="s">
        <v>137</v>
      </c>
      <c r="D9" s="24" t="s">
        <v>138</v>
      </c>
      <c r="E9" s="24" t="s">
        <v>139</v>
      </c>
      <c r="F9" s="25" t="n">
        <v>0</v>
      </c>
      <c r="G9" s="25" t="n">
        <v>5</v>
      </c>
      <c r="H9" s="23" t="n">
        <f aca="false">F9+G9-1</f>
        <v>4</v>
      </c>
      <c r="I9" s="24"/>
      <c r="J9" s="23" t="str">
        <f aca="false">IF(I9="","",SUMPRODUCT(MAX(ISNUMBER(SEARCH(","&amp;$A$7:$A$156&amp;",",","&amp;SUBSTITUTE(I9," ","")&amp;","))*$H$7:$H$156)))</f>
        <v/>
      </c>
      <c r="K9" s="23" t="str">
        <f aca="false">IF(I9="","OK",IF(F9&gt;J9,"OK","VIOLATION"))</f>
        <v>OK</v>
      </c>
      <c r="L9" s="23" t="str">
        <f aca="false">IF(H9&lt;=26,"OK","LATE")</f>
        <v>OK</v>
      </c>
      <c r="M9" s="26" t="n">
        <f aca="false">Overview!$B$4+7*(F9-1)</f>
        <v>46314</v>
      </c>
      <c r="N9" s="26" t="n">
        <f aca="false">Overview!$B$4+7*(H9-1)+4</f>
        <v>46346</v>
      </c>
      <c r="O9" s="23" t="s">
        <v>140</v>
      </c>
      <c r="P9" s="24" t="s">
        <v>141</v>
      </c>
      <c r="Q9" s="24" t="s">
        <v>142</v>
      </c>
      <c r="R9" s="24" t="s">
        <v>143</v>
      </c>
      <c r="S9" s="24" t="s">
        <v>144</v>
      </c>
      <c r="T9" s="23" t="s">
        <v>126</v>
      </c>
      <c r="U9" s="27" t="s">
        <v>145</v>
      </c>
      <c r="V9" s="23" t="str">
        <f aca="false">";"&amp;SUBSTITUTE(P9," ","")&amp;";"</f>
        <v>;LEG;PL;</v>
      </c>
    </row>
    <row r="10" customFormat="false" ht="46.25" hidden="false" customHeight="false" outlineLevel="0" collapsed="false">
      <c r="A10" s="23" t="s">
        <v>146</v>
      </c>
      <c r="B10" s="23" t="s">
        <v>117</v>
      </c>
      <c r="C10" s="23" t="s">
        <v>147</v>
      </c>
      <c r="D10" s="24" t="s">
        <v>148</v>
      </c>
      <c r="E10" s="24" t="s">
        <v>149</v>
      </c>
      <c r="F10" s="25" t="n">
        <v>0</v>
      </c>
      <c r="G10" s="25" t="n">
        <v>2</v>
      </c>
      <c r="H10" s="23" t="n">
        <f aca="false">F10+G10-1</f>
        <v>1</v>
      </c>
      <c r="I10" s="24"/>
      <c r="J10" s="23" t="str">
        <f aca="false">IF(I10="","",SUMPRODUCT(MAX(ISNUMBER(SEARCH(","&amp;$A$7:$A$156&amp;",",","&amp;SUBSTITUTE(I10," ","")&amp;","))*$H$7:$H$156)))</f>
        <v/>
      </c>
      <c r="K10" s="23" t="str">
        <f aca="false">IF(I10="","OK",IF(F10&gt;J10,"OK","VIOLATION"))</f>
        <v>OK</v>
      </c>
      <c r="L10" s="23" t="str">
        <f aca="false">IF(H10&lt;=26,"OK","LATE")</f>
        <v>OK</v>
      </c>
      <c r="M10" s="26" t="n">
        <f aca="false">Overview!$B$4+7*(F10-1)</f>
        <v>46314</v>
      </c>
      <c r="N10" s="26" t="n">
        <f aca="false">Overview!$B$4+7*(H10-1)+4</f>
        <v>46325</v>
      </c>
      <c r="O10" s="23" t="s">
        <v>150</v>
      </c>
      <c r="P10" s="24"/>
      <c r="Q10" s="24" t="s">
        <v>151</v>
      </c>
      <c r="R10" s="24" t="s">
        <v>152</v>
      </c>
      <c r="S10" s="24" t="s">
        <v>153</v>
      </c>
      <c r="T10" s="23" t="s">
        <v>126</v>
      </c>
      <c r="U10" s="27" t="s">
        <v>154</v>
      </c>
      <c r="V10" s="23" t="str">
        <f aca="false">";"&amp;SUBSTITUTE(P10," ","")&amp;";"</f>
        <v>;;</v>
      </c>
    </row>
    <row r="11" customFormat="false" ht="46.25" hidden="false" customHeight="false" outlineLevel="0" collapsed="false">
      <c r="A11" s="23" t="s">
        <v>155</v>
      </c>
      <c r="B11" s="23" t="s">
        <v>117</v>
      </c>
      <c r="C11" s="23" t="s">
        <v>147</v>
      </c>
      <c r="D11" s="24" t="s">
        <v>156</v>
      </c>
      <c r="E11" s="24" t="s">
        <v>157</v>
      </c>
      <c r="F11" s="25" t="n">
        <v>0</v>
      </c>
      <c r="G11" s="25" t="n">
        <v>2</v>
      </c>
      <c r="H11" s="23" t="n">
        <f aca="false">F11+G11-1</f>
        <v>1</v>
      </c>
      <c r="I11" s="24"/>
      <c r="J11" s="23" t="str">
        <f aca="false">IF(I11="","",SUMPRODUCT(MAX(ISNUMBER(SEARCH(","&amp;$A$7:$A$156&amp;",",","&amp;SUBSTITUTE(I11," ","")&amp;","))*$H$7:$H$156)))</f>
        <v/>
      </c>
      <c r="K11" s="23" t="str">
        <f aca="false">IF(I11="","OK",IF(F11&gt;J11,"OK","VIOLATION"))</f>
        <v>OK</v>
      </c>
      <c r="L11" s="23" t="str">
        <f aca="false">IF(H11&lt;=26,"OK","LATE")</f>
        <v>OK</v>
      </c>
      <c r="M11" s="26" t="n">
        <f aca="false">Overview!$B$4+7*(F11-1)</f>
        <v>46314</v>
      </c>
      <c r="N11" s="26" t="n">
        <f aca="false">Overview!$B$4+7*(H11-1)+4</f>
        <v>46325</v>
      </c>
      <c r="O11" s="23" t="s">
        <v>150</v>
      </c>
      <c r="P11" s="24" t="s">
        <v>158</v>
      </c>
      <c r="Q11" s="24" t="s">
        <v>159</v>
      </c>
      <c r="R11" s="24" t="s">
        <v>160</v>
      </c>
      <c r="S11" s="24" t="s">
        <v>161</v>
      </c>
      <c r="T11" s="23" t="s">
        <v>126</v>
      </c>
      <c r="U11" s="27" t="s">
        <v>162</v>
      </c>
      <c r="V11" s="23" t="str">
        <f aca="false">";"&amp;SUBSTITUTE(P11," ","")&amp;";"</f>
        <v>;CSO;</v>
      </c>
    </row>
    <row r="12" customFormat="false" ht="28.35" hidden="false" customHeight="false" outlineLevel="0" collapsed="false">
      <c r="A12" s="23" t="s">
        <v>163</v>
      </c>
      <c r="B12" s="23" t="s">
        <v>117</v>
      </c>
      <c r="C12" s="23" t="s">
        <v>147</v>
      </c>
      <c r="D12" s="24" t="s">
        <v>164</v>
      </c>
      <c r="E12" s="24" t="s">
        <v>165</v>
      </c>
      <c r="F12" s="25" t="n">
        <v>0</v>
      </c>
      <c r="G12" s="25" t="n">
        <v>3</v>
      </c>
      <c r="H12" s="23" t="n">
        <f aca="false">F12+G12-1</f>
        <v>2</v>
      </c>
      <c r="I12" s="24"/>
      <c r="J12" s="23" t="str">
        <f aca="false">IF(I12="","",SUMPRODUCT(MAX(ISNUMBER(SEARCH(","&amp;$A$7:$A$156&amp;",",","&amp;SUBSTITUTE(I12," ","")&amp;","))*$H$7:$H$156)))</f>
        <v/>
      </c>
      <c r="K12" s="23" t="str">
        <f aca="false">IF(I12="","OK",IF(F12&gt;J12,"OK","VIOLATION"))</f>
        <v>OK</v>
      </c>
      <c r="L12" s="23" t="str">
        <f aca="false">IF(H12&lt;=26,"OK","LATE")</f>
        <v>OK</v>
      </c>
      <c r="M12" s="26" t="n">
        <f aca="false">Overview!$B$4+7*(F12-1)</f>
        <v>46314</v>
      </c>
      <c r="N12" s="26" t="n">
        <f aca="false">Overview!$B$4+7*(H12-1)+4</f>
        <v>46332</v>
      </c>
      <c r="O12" s="23" t="s">
        <v>150</v>
      </c>
      <c r="P12" s="24" t="s">
        <v>158</v>
      </c>
      <c r="Q12" s="24" t="s">
        <v>166</v>
      </c>
      <c r="R12" s="24" t="s">
        <v>167</v>
      </c>
      <c r="S12" s="24" t="s">
        <v>168</v>
      </c>
      <c r="T12" s="23" t="s">
        <v>126</v>
      </c>
      <c r="U12" s="27" t="s">
        <v>169</v>
      </c>
      <c r="V12" s="23" t="str">
        <f aca="false">";"&amp;SUBSTITUTE(P12," ","")&amp;";"</f>
        <v>;CSO;</v>
      </c>
    </row>
    <row r="13" customFormat="false" ht="46.25" hidden="false" customHeight="false" outlineLevel="0" collapsed="false">
      <c r="A13" s="23" t="s">
        <v>170</v>
      </c>
      <c r="B13" s="23" t="s">
        <v>117</v>
      </c>
      <c r="C13" s="23" t="s">
        <v>171</v>
      </c>
      <c r="D13" s="24" t="s">
        <v>172</v>
      </c>
      <c r="E13" s="24" t="s">
        <v>173</v>
      </c>
      <c r="F13" s="25" t="n">
        <v>0</v>
      </c>
      <c r="G13" s="25" t="n">
        <v>2</v>
      </c>
      <c r="H13" s="23" t="n">
        <f aca="false">F13+G13-1</f>
        <v>1</v>
      </c>
      <c r="I13" s="24"/>
      <c r="J13" s="23" t="str">
        <f aca="false">IF(I13="","",SUMPRODUCT(MAX(ISNUMBER(SEARCH(","&amp;$A$7:$A$156&amp;",",","&amp;SUBSTITUTE(I13," ","")&amp;","))*$H$7:$H$156)))</f>
        <v/>
      </c>
      <c r="K13" s="23" t="str">
        <f aca="false">IF(I13="","OK",IF(F13&gt;J13,"OK","VIOLATION"))</f>
        <v>OK</v>
      </c>
      <c r="L13" s="23" t="str">
        <f aca="false">IF(H13&lt;=26,"OK","LATE")</f>
        <v>OK</v>
      </c>
      <c r="M13" s="26" t="n">
        <f aca="false">Overview!$B$4+7*(F13-1)</f>
        <v>46314</v>
      </c>
      <c r="N13" s="26" t="n">
        <f aca="false">Overview!$B$4+7*(H13-1)+4</f>
        <v>46325</v>
      </c>
      <c r="O13" s="23" t="s">
        <v>174</v>
      </c>
      <c r="P13" s="24" t="s">
        <v>175</v>
      </c>
      <c r="Q13" s="24" t="s">
        <v>176</v>
      </c>
      <c r="R13" s="24" t="s">
        <v>177</v>
      </c>
      <c r="S13" s="24" t="s">
        <v>178</v>
      </c>
      <c r="T13" s="23" t="s">
        <v>126</v>
      </c>
      <c r="U13" s="27" t="s">
        <v>179</v>
      </c>
      <c r="V13" s="23" t="str">
        <f aca="false">";"&amp;SUBSTITUTE(P13," ","")&amp;";"</f>
        <v>;ENG;</v>
      </c>
    </row>
    <row r="14" customFormat="false" ht="46.25" hidden="false" customHeight="false" outlineLevel="0" collapsed="false">
      <c r="A14" s="23" t="s">
        <v>180</v>
      </c>
      <c r="B14" s="23" t="s">
        <v>117</v>
      </c>
      <c r="C14" s="23" t="s">
        <v>181</v>
      </c>
      <c r="D14" s="24" t="s">
        <v>182</v>
      </c>
      <c r="E14" s="24" t="s">
        <v>183</v>
      </c>
      <c r="F14" s="25" t="n">
        <v>0</v>
      </c>
      <c r="G14" s="25" t="n">
        <v>2</v>
      </c>
      <c r="H14" s="23" t="n">
        <f aca="false">F14+G14-1</f>
        <v>1</v>
      </c>
      <c r="I14" s="24"/>
      <c r="J14" s="23" t="str">
        <f aca="false">IF(I14="","",SUMPRODUCT(MAX(ISNUMBER(SEARCH(","&amp;$A$7:$A$156&amp;",",","&amp;SUBSTITUTE(I14," ","")&amp;","))*$H$7:$H$156)))</f>
        <v/>
      </c>
      <c r="K14" s="23" t="str">
        <f aca="false">IF(I14="","OK",IF(F14&gt;J14,"OK","VIOLATION"))</f>
        <v>OK</v>
      </c>
      <c r="L14" s="23" t="str">
        <f aca="false">IF(H14&lt;=26,"OK","LATE")</f>
        <v>OK</v>
      </c>
      <c r="M14" s="26" t="n">
        <f aca="false">Overview!$B$4+7*(F14-1)</f>
        <v>46314</v>
      </c>
      <c r="N14" s="26" t="n">
        <f aca="false">Overview!$B$4+7*(H14-1)+4</f>
        <v>46325</v>
      </c>
      <c r="O14" s="23" t="s">
        <v>174</v>
      </c>
      <c r="P14" s="24" t="s">
        <v>184</v>
      </c>
      <c r="Q14" s="24" t="s">
        <v>185</v>
      </c>
      <c r="R14" s="24" t="s">
        <v>186</v>
      </c>
      <c r="S14" s="24" t="s">
        <v>187</v>
      </c>
      <c r="T14" s="23" t="s">
        <v>126</v>
      </c>
      <c r="U14" s="27" t="s">
        <v>179</v>
      </c>
      <c r="V14" s="23" t="str">
        <f aca="false">";"&amp;SUBSTITUTE(P14," ","")&amp;";"</f>
        <v>;ISE;</v>
      </c>
    </row>
    <row r="15" customFormat="false" ht="28.35" hidden="false" customHeight="false" outlineLevel="0" collapsed="false">
      <c r="A15" s="23" t="s">
        <v>188</v>
      </c>
      <c r="B15" s="23" t="s">
        <v>117</v>
      </c>
      <c r="C15" s="23" t="s">
        <v>181</v>
      </c>
      <c r="D15" s="24" t="s">
        <v>189</v>
      </c>
      <c r="E15" s="24" t="s">
        <v>190</v>
      </c>
      <c r="F15" s="25" t="n">
        <v>0</v>
      </c>
      <c r="G15" s="25" t="n">
        <v>2</v>
      </c>
      <c r="H15" s="23" t="n">
        <f aca="false">F15+G15-1</f>
        <v>1</v>
      </c>
      <c r="I15" s="24"/>
      <c r="J15" s="23" t="str">
        <f aca="false">IF(I15="","",SUMPRODUCT(MAX(ISNUMBER(SEARCH(","&amp;$A$7:$A$156&amp;",",","&amp;SUBSTITUTE(I15," ","")&amp;","))*$H$7:$H$156)))</f>
        <v/>
      </c>
      <c r="K15" s="23" t="str">
        <f aca="false">IF(I15="","OK",IF(F15&gt;J15,"OK","VIOLATION"))</f>
        <v>OK</v>
      </c>
      <c r="L15" s="23" t="str">
        <f aca="false">IF(H15&lt;=26,"OK","LATE")</f>
        <v>OK</v>
      </c>
      <c r="M15" s="26" t="n">
        <f aca="false">Overview!$B$4+7*(F15-1)</f>
        <v>46314</v>
      </c>
      <c r="N15" s="26" t="n">
        <f aca="false">Overview!$B$4+7*(H15-1)+4</f>
        <v>46325</v>
      </c>
      <c r="O15" s="23" t="s">
        <v>174</v>
      </c>
      <c r="P15" s="24" t="s">
        <v>184</v>
      </c>
      <c r="Q15" s="24" t="s">
        <v>191</v>
      </c>
      <c r="R15" s="24" t="s">
        <v>192</v>
      </c>
      <c r="S15" s="24" t="s">
        <v>193</v>
      </c>
      <c r="T15" s="23" t="s">
        <v>126</v>
      </c>
      <c r="U15" s="27" t="s">
        <v>179</v>
      </c>
      <c r="V15" s="23" t="str">
        <f aca="false">";"&amp;SUBSTITUTE(P15," ","")&amp;";"</f>
        <v>;ISE;</v>
      </c>
    </row>
    <row r="16" customFormat="false" ht="28.35" hidden="false" customHeight="false" outlineLevel="0" collapsed="false">
      <c r="A16" s="23" t="s">
        <v>194</v>
      </c>
      <c r="B16" s="23" t="s">
        <v>117</v>
      </c>
      <c r="C16" s="23" t="s">
        <v>181</v>
      </c>
      <c r="D16" s="24" t="s">
        <v>195</v>
      </c>
      <c r="E16" s="24" t="s">
        <v>196</v>
      </c>
      <c r="F16" s="25" t="n">
        <v>0</v>
      </c>
      <c r="G16" s="25" t="n">
        <v>2</v>
      </c>
      <c r="H16" s="23" t="n">
        <f aca="false">F16+G16-1</f>
        <v>1</v>
      </c>
      <c r="I16" s="24"/>
      <c r="J16" s="23" t="str">
        <f aca="false">IF(I16="","",SUMPRODUCT(MAX(ISNUMBER(SEARCH(","&amp;$A$7:$A$156&amp;",",","&amp;SUBSTITUTE(I16," ","")&amp;","))*$H$7:$H$156)))</f>
        <v/>
      </c>
      <c r="K16" s="23" t="str">
        <f aca="false">IF(I16="","OK",IF(F16&gt;J16,"OK","VIOLATION"))</f>
        <v>OK</v>
      </c>
      <c r="L16" s="23" t="str">
        <f aca="false">IF(H16&lt;=26,"OK","LATE")</f>
        <v>OK</v>
      </c>
      <c r="M16" s="26" t="n">
        <f aca="false">Overview!$B$4+7*(F16-1)</f>
        <v>46314</v>
      </c>
      <c r="N16" s="26" t="n">
        <f aca="false">Overview!$B$4+7*(H16-1)+4</f>
        <v>46325</v>
      </c>
      <c r="O16" s="23" t="s">
        <v>184</v>
      </c>
      <c r="P16" s="24" t="s">
        <v>150</v>
      </c>
      <c r="Q16" s="24" t="s">
        <v>197</v>
      </c>
      <c r="R16" s="24" t="s">
        <v>198</v>
      </c>
      <c r="S16" s="24" t="s">
        <v>199</v>
      </c>
      <c r="T16" s="23" t="s">
        <v>126</v>
      </c>
      <c r="U16" s="27" t="s">
        <v>200</v>
      </c>
      <c r="V16" s="23" t="str">
        <f aca="false">";"&amp;SUBSTITUTE(P16," ","")&amp;";"</f>
        <v>;BSE;</v>
      </c>
    </row>
    <row r="17" customFormat="false" ht="37.3" hidden="false" customHeight="false" outlineLevel="0" collapsed="false">
      <c r="A17" s="23" t="s">
        <v>201</v>
      </c>
      <c r="B17" s="23" t="s">
        <v>117</v>
      </c>
      <c r="C17" s="23" t="s">
        <v>98</v>
      </c>
      <c r="D17" s="24" t="s">
        <v>202</v>
      </c>
      <c r="E17" s="24" t="s">
        <v>203</v>
      </c>
      <c r="F17" s="25" t="n">
        <v>0</v>
      </c>
      <c r="G17" s="25" t="n">
        <v>2</v>
      </c>
      <c r="H17" s="23" t="n">
        <f aca="false">F17+G17-1</f>
        <v>1</v>
      </c>
      <c r="I17" s="24"/>
      <c r="J17" s="23" t="str">
        <f aca="false">IF(I17="","",SUMPRODUCT(MAX(ISNUMBER(SEARCH(","&amp;$A$7:$A$156&amp;",",","&amp;SUBSTITUTE(I17," ","")&amp;","))*$H$7:$H$156)))</f>
        <v/>
      </c>
      <c r="K17" s="23" t="str">
        <f aca="false">IF(I17="","OK",IF(F17&gt;J17,"OK","VIOLATION"))</f>
        <v>OK</v>
      </c>
      <c r="L17" s="23" t="str">
        <f aca="false">IF(H17&lt;=26,"OK","LATE")</f>
        <v>OK</v>
      </c>
      <c r="M17" s="26" t="n">
        <f aca="false">Overview!$B$4+7*(F17-1)</f>
        <v>46314</v>
      </c>
      <c r="N17" s="26" t="n">
        <f aca="false">Overview!$B$4+7*(H17-1)+4</f>
        <v>46325</v>
      </c>
      <c r="O17" s="23" t="s">
        <v>184</v>
      </c>
      <c r="P17" s="24"/>
      <c r="Q17" s="24" t="s">
        <v>204</v>
      </c>
      <c r="R17" s="24" t="s">
        <v>205</v>
      </c>
      <c r="S17" s="24" t="s">
        <v>206</v>
      </c>
      <c r="T17" s="23" t="s">
        <v>126</v>
      </c>
      <c r="U17" s="27" t="s">
        <v>200</v>
      </c>
      <c r="V17" s="23" t="str">
        <f aca="false">";"&amp;SUBSTITUTE(P17," ","")&amp;";"</f>
        <v>;;</v>
      </c>
    </row>
    <row r="18" customFormat="false" ht="28.35" hidden="false" customHeight="false" outlineLevel="0" collapsed="false">
      <c r="A18" s="23" t="s">
        <v>207</v>
      </c>
      <c r="B18" s="23" t="s">
        <v>117</v>
      </c>
      <c r="C18" s="23" t="s">
        <v>98</v>
      </c>
      <c r="D18" s="24" t="s">
        <v>208</v>
      </c>
      <c r="E18" s="24" t="s">
        <v>209</v>
      </c>
      <c r="F18" s="25" t="n">
        <v>0</v>
      </c>
      <c r="G18" s="25" t="n">
        <v>3</v>
      </c>
      <c r="H18" s="23" t="n">
        <f aca="false">F18+G18-1</f>
        <v>2</v>
      </c>
      <c r="I18" s="24"/>
      <c r="J18" s="23" t="str">
        <f aca="false">IF(I18="","",SUMPRODUCT(MAX(ISNUMBER(SEARCH(","&amp;$A$7:$A$156&amp;",",","&amp;SUBSTITUTE(I18," ","")&amp;","))*$H$7:$H$156)))</f>
        <v/>
      </c>
      <c r="K18" s="23" t="str">
        <f aca="false">IF(I18="","OK",IF(F18&gt;J18,"OK","VIOLATION"))</f>
        <v>OK</v>
      </c>
      <c r="L18" s="23" t="str">
        <f aca="false">IF(H18&lt;=26,"OK","LATE")</f>
        <v>OK</v>
      </c>
      <c r="M18" s="26" t="n">
        <f aca="false">Overview!$B$4+7*(F18-1)</f>
        <v>46314</v>
      </c>
      <c r="N18" s="26" t="n">
        <f aca="false">Overview!$B$4+7*(H18-1)+4</f>
        <v>46332</v>
      </c>
      <c r="O18" s="23" t="s">
        <v>184</v>
      </c>
      <c r="P18" s="24" t="s">
        <v>175</v>
      </c>
      <c r="Q18" s="24" t="s">
        <v>210</v>
      </c>
      <c r="R18" s="24" t="s">
        <v>211</v>
      </c>
      <c r="S18" s="24" t="s">
        <v>212</v>
      </c>
      <c r="T18" s="23" t="s">
        <v>126</v>
      </c>
      <c r="U18" s="27" t="s">
        <v>213</v>
      </c>
      <c r="V18" s="23" t="str">
        <f aca="false">";"&amp;SUBSTITUTE(P18," ","")&amp;";"</f>
        <v>;ENG;</v>
      </c>
    </row>
    <row r="19" customFormat="false" ht="19.4" hidden="false" customHeight="false" outlineLevel="0" collapsed="false">
      <c r="A19" s="23" t="s">
        <v>214</v>
      </c>
      <c r="B19" s="23" t="s">
        <v>215</v>
      </c>
      <c r="C19" s="23" t="s">
        <v>118</v>
      </c>
      <c r="D19" s="24" t="s">
        <v>216</v>
      </c>
      <c r="E19" s="24" t="s">
        <v>217</v>
      </c>
      <c r="F19" s="25" t="n">
        <v>1</v>
      </c>
      <c r="G19" s="25" t="n">
        <v>1</v>
      </c>
      <c r="H19" s="23" t="n">
        <f aca="false">F19+G19-1</f>
        <v>1</v>
      </c>
      <c r="I19" s="24" t="s">
        <v>116</v>
      </c>
      <c r="J19" s="23" t="n">
        <f aca="false">IF(I19="","",SUMPRODUCT(MAX(ISNUMBER(SEARCH(","&amp;$A$7:$A$156&amp;",",","&amp;SUBSTITUTE(I19," ","")&amp;","))*$H$7:$H$156)))</f>
        <v>0</v>
      </c>
      <c r="K19" s="23" t="str">
        <f aca="false">IF(I19="","OK",IF(F19&gt;J19,"OK","VIOLATION"))</f>
        <v>OK</v>
      </c>
      <c r="L19" s="23" t="str">
        <f aca="false">IF(H19&lt;=26,"OK","LATE")</f>
        <v>OK</v>
      </c>
      <c r="M19" s="26" t="n">
        <f aca="false">Overview!$B$4+7*(F19-1)</f>
        <v>46321</v>
      </c>
      <c r="N19" s="26" t="n">
        <f aca="false">Overview!$B$4+7*(H19-1)+4</f>
        <v>46325</v>
      </c>
      <c r="O19" s="23" t="s">
        <v>121</v>
      </c>
      <c r="P19" s="24" t="s">
        <v>218</v>
      </c>
      <c r="Q19" s="24" t="s">
        <v>123</v>
      </c>
      <c r="R19" s="24" t="s">
        <v>219</v>
      </c>
      <c r="S19" s="24" t="s">
        <v>220</v>
      </c>
      <c r="T19" s="23" t="s">
        <v>126</v>
      </c>
      <c r="U19" s="24"/>
      <c r="V19" s="23" t="str">
        <f aca="false">";"&amp;SUBSTITUTE(P19," ","")&amp;";"</f>
        <v>;GRC;PMC;</v>
      </c>
    </row>
    <row r="20" customFormat="false" ht="19.4" hidden="false" customHeight="false" outlineLevel="0" collapsed="false">
      <c r="A20" s="23" t="s">
        <v>221</v>
      </c>
      <c r="B20" s="23" t="s">
        <v>117</v>
      </c>
      <c r="C20" s="23" t="s">
        <v>118</v>
      </c>
      <c r="D20" s="24" t="s">
        <v>222</v>
      </c>
      <c r="E20" s="24" t="s">
        <v>223</v>
      </c>
      <c r="F20" s="25" t="n">
        <v>0</v>
      </c>
      <c r="G20" s="25" t="n">
        <v>1</v>
      </c>
      <c r="H20" s="23" t="n">
        <f aca="false">F20+G20-1</f>
        <v>0</v>
      </c>
      <c r="I20" s="24"/>
      <c r="J20" s="23" t="str">
        <f aca="false">IF(I20="","",SUMPRODUCT(MAX(ISNUMBER(SEARCH(","&amp;$A$7:$A$156&amp;",",","&amp;SUBSTITUTE(I20," ","")&amp;","))*$H$7:$H$156)))</f>
        <v/>
      </c>
      <c r="K20" s="23" t="str">
        <f aca="false">IF(I20="","OK",IF(F20&gt;J20,"OK","VIOLATION"))</f>
        <v>OK</v>
      </c>
      <c r="L20" s="23" t="str">
        <f aca="false">IF(H20&lt;=26,"OK","LATE")</f>
        <v>OK</v>
      </c>
      <c r="M20" s="26" t="n">
        <f aca="false">Overview!$B$4+7*(F20-1)</f>
        <v>46314</v>
      </c>
      <c r="N20" s="26" t="n">
        <f aca="false">Overview!$B$4+7*(H20-1)+4</f>
        <v>46318</v>
      </c>
      <c r="O20" s="23" t="s">
        <v>121</v>
      </c>
      <c r="P20" s="24" t="s">
        <v>224</v>
      </c>
      <c r="Q20" s="24" t="s">
        <v>225</v>
      </c>
      <c r="R20" s="24" t="s">
        <v>226</v>
      </c>
      <c r="S20" s="24" t="s">
        <v>227</v>
      </c>
      <c r="T20" s="23" t="s">
        <v>126</v>
      </c>
      <c r="U20" s="24"/>
      <c r="V20" s="23" t="str">
        <f aca="false">";"&amp;SUBSTITUTE(P20," ","")&amp;";"</f>
        <v>;PMC;</v>
      </c>
    </row>
    <row r="21" customFormat="false" ht="37.3" hidden="false" customHeight="false" outlineLevel="0" collapsed="false">
      <c r="A21" s="23" t="s">
        <v>228</v>
      </c>
      <c r="B21" s="23" t="s">
        <v>215</v>
      </c>
      <c r="C21" s="23" t="s">
        <v>118</v>
      </c>
      <c r="D21" s="24" t="s">
        <v>229</v>
      </c>
      <c r="E21" s="24" t="s">
        <v>230</v>
      </c>
      <c r="F21" s="25" t="n">
        <v>1</v>
      </c>
      <c r="G21" s="25" t="n">
        <v>2</v>
      </c>
      <c r="H21" s="23" t="n">
        <f aca="false">F21+G21-1</f>
        <v>2</v>
      </c>
      <c r="I21" s="24" t="s">
        <v>231</v>
      </c>
      <c r="J21" s="23" t="n">
        <f aca="false">IF(I21="","",SUMPRODUCT(MAX(ISNUMBER(SEARCH(","&amp;$A$7:$A$156&amp;",",","&amp;SUBSTITUTE(I21," ","")&amp;","))*$H$7:$H$156)))</f>
        <v>0</v>
      </c>
      <c r="K21" s="23" t="str">
        <f aca="false">IF(I21="","OK",IF(F21&gt;J21,"OK","VIOLATION"))</f>
        <v>OK</v>
      </c>
      <c r="L21" s="23" t="str">
        <f aca="false">IF(H21&lt;=26,"OK","LATE")</f>
        <v>OK</v>
      </c>
      <c r="M21" s="26" t="n">
        <f aca="false">Overview!$B$4+7*(F21-1)</f>
        <v>46321</v>
      </c>
      <c r="N21" s="26" t="n">
        <f aca="false">Overview!$B$4+7*(H21-1)+4</f>
        <v>46332</v>
      </c>
      <c r="O21" s="23" t="s">
        <v>121</v>
      </c>
      <c r="P21" s="24" t="s">
        <v>232</v>
      </c>
      <c r="Q21" s="24" t="s">
        <v>132</v>
      </c>
      <c r="R21" s="24" t="s">
        <v>233</v>
      </c>
      <c r="S21" s="24" t="s">
        <v>234</v>
      </c>
      <c r="T21" s="23" t="s">
        <v>126</v>
      </c>
      <c r="U21" s="24"/>
      <c r="V21" s="23" t="str">
        <f aca="false">";"&amp;SUBSTITUTE(P21," ","")&amp;";"</f>
        <v>;GRC;BSE;ISE;PMC;</v>
      </c>
    </row>
    <row r="22" customFormat="false" ht="19.4" hidden="false" customHeight="false" outlineLevel="0" collapsed="false">
      <c r="A22" s="23" t="s">
        <v>235</v>
      </c>
      <c r="B22" s="23" t="s">
        <v>215</v>
      </c>
      <c r="C22" s="23" t="s">
        <v>118</v>
      </c>
      <c r="D22" s="24" t="s">
        <v>236</v>
      </c>
      <c r="E22" s="24" t="s">
        <v>237</v>
      </c>
      <c r="F22" s="25" t="n">
        <v>2</v>
      </c>
      <c r="G22" s="25" t="n">
        <v>2</v>
      </c>
      <c r="H22" s="23" t="n">
        <f aca="false">F22+G22-1</f>
        <v>3</v>
      </c>
      <c r="I22" s="24" t="s">
        <v>214</v>
      </c>
      <c r="J22" s="23" t="n">
        <f aca="false">IF(I22="","",SUMPRODUCT(MAX(ISNUMBER(SEARCH(","&amp;$A$7:$A$156&amp;",",","&amp;SUBSTITUTE(I22," ","")&amp;","))*$H$7:$H$156)))</f>
        <v>1</v>
      </c>
      <c r="K22" s="23" t="str">
        <f aca="false">IF(I22="","OK",IF(F22&gt;J22,"OK","VIOLATION"))</f>
        <v>OK</v>
      </c>
      <c r="L22" s="23" t="str">
        <f aca="false">IF(H22&lt;=26,"OK","LATE")</f>
        <v>OK</v>
      </c>
      <c r="M22" s="26" t="n">
        <f aca="false">Overview!$B$4+7*(F22-1)</f>
        <v>46328</v>
      </c>
      <c r="N22" s="26" t="n">
        <f aca="false">Overview!$B$4+7*(H22-1)+4</f>
        <v>46339</v>
      </c>
      <c r="O22" s="23" t="s">
        <v>121</v>
      </c>
      <c r="P22" s="24" t="s">
        <v>238</v>
      </c>
      <c r="Q22" s="24" t="s">
        <v>239</v>
      </c>
      <c r="R22" s="24" t="s">
        <v>240</v>
      </c>
      <c r="S22" s="24" t="s">
        <v>241</v>
      </c>
      <c r="T22" s="23" t="s">
        <v>126</v>
      </c>
      <c r="U22" s="24"/>
      <c r="V22" s="23" t="str">
        <f aca="false">";"&amp;SUBSTITUTE(P22," ","")&amp;";"</f>
        <v>;GRC;BSE;</v>
      </c>
    </row>
    <row r="23" customFormat="false" ht="19.4" hidden="false" customHeight="false" outlineLevel="0" collapsed="false">
      <c r="A23" s="23" t="s">
        <v>242</v>
      </c>
      <c r="B23" s="23" t="s">
        <v>215</v>
      </c>
      <c r="C23" s="23" t="s">
        <v>118</v>
      </c>
      <c r="D23" s="24" t="s">
        <v>243</v>
      </c>
      <c r="E23" s="24" t="s">
        <v>244</v>
      </c>
      <c r="F23" s="25" t="n">
        <v>2</v>
      </c>
      <c r="G23" s="25" t="n">
        <v>1</v>
      </c>
      <c r="H23" s="23" t="n">
        <f aca="false">F23+G23-1</f>
        <v>2</v>
      </c>
      <c r="I23" s="24" t="s">
        <v>214</v>
      </c>
      <c r="J23" s="23" t="n">
        <f aca="false">IF(I23="","",SUMPRODUCT(MAX(ISNUMBER(SEARCH(","&amp;$A$7:$A$156&amp;",",","&amp;SUBSTITUTE(I23," ","")&amp;","))*$H$7:$H$156)))</f>
        <v>1</v>
      </c>
      <c r="K23" s="23" t="str">
        <f aca="false">IF(I23="","OK",IF(F23&gt;J23,"OK","VIOLATION"))</f>
        <v>OK</v>
      </c>
      <c r="L23" s="23" t="str">
        <f aca="false">IF(H23&lt;=26,"OK","LATE")</f>
        <v>OK</v>
      </c>
      <c r="M23" s="26" t="n">
        <f aca="false">Overview!$B$4+7*(F23-1)</f>
        <v>46328</v>
      </c>
      <c r="N23" s="26" t="n">
        <f aca="false">Overview!$B$4+7*(H23-1)+4</f>
        <v>46332</v>
      </c>
      <c r="O23" s="23" t="s">
        <v>224</v>
      </c>
      <c r="P23" s="24" t="s">
        <v>121</v>
      </c>
      <c r="Q23" s="24" t="s">
        <v>245</v>
      </c>
      <c r="R23" s="24" t="s">
        <v>246</v>
      </c>
      <c r="S23" s="24" t="s">
        <v>247</v>
      </c>
      <c r="T23" s="23" t="s">
        <v>126</v>
      </c>
      <c r="U23" s="24"/>
      <c r="V23" s="23" t="str">
        <f aca="false">";"&amp;SUBSTITUTE(P23," ","")&amp;";"</f>
        <v>;PL;</v>
      </c>
    </row>
    <row r="24" customFormat="false" ht="37.3" hidden="false" customHeight="false" outlineLevel="0" collapsed="false">
      <c r="A24" s="23" t="s">
        <v>248</v>
      </c>
      <c r="B24" s="23" t="s">
        <v>215</v>
      </c>
      <c r="C24" s="23" t="s">
        <v>118</v>
      </c>
      <c r="D24" s="24" t="s">
        <v>249</v>
      </c>
      <c r="E24" s="24" t="s">
        <v>250</v>
      </c>
      <c r="F24" s="25" t="n">
        <v>3</v>
      </c>
      <c r="G24" s="25" t="n">
        <v>3</v>
      </c>
      <c r="H24" s="23" t="n">
        <f aca="false">F24+G24-1</f>
        <v>5</v>
      </c>
      <c r="I24" s="24" t="s">
        <v>214</v>
      </c>
      <c r="J24" s="23" t="n">
        <f aca="false">IF(I24="","",SUMPRODUCT(MAX(ISNUMBER(SEARCH(","&amp;$A$7:$A$156&amp;",",","&amp;SUBSTITUTE(I24," ","")&amp;","))*$H$7:$H$156)))</f>
        <v>1</v>
      </c>
      <c r="K24" s="23" t="str">
        <f aca="false">IF(I24="","OK",IF(F24&gt;J24,"OK","VIOLATION"))</f>
        <v>OK</v>
      </c>
      <c r="L24" s="23" t="str">
        <f aca="false">IF(H24&lt;=26,"OK","LATE")</f>
        <v>OK</v>
      </c>
      <c r="M24" s="26" t="n">
        <f aca="false">Overview!$B$4+7*(F24-1)</f>
        <v>46335</v>
      </c>
      <c r="N24" s="26" t="n">
        <f aca="false">Overview!$B$4+7*(H24-1)+4</f>
        <v>46353</v>
      </c>
      <c r="O24" s="23" t="s">
        <v>121</v>
      </c>
      <c r="P24" s="24" t="s">
        <v>251</v>
      </c>
      <c r="Q24" s="24" t="s">
        <v>252</v>
      </c>
      <c r="R24" s="24" t="s">
        <v>253</v>
      </c>
      <c r="S24" s="24" t="s">
        <v>254</v>
      </c>
      <c r="T24" s="23" t="s">
        <v>126</v>
      </c>
      <c r="U24" s="24"/>
      <c r="V24" s="23" t="str">
        <f aca="false">";"&amp;SUBSTITUTE(P24," ","")&amp;";"</f>
        <v>;CSE;ISE;BSE;</v>
      </c>
    </row>
    <row r="25" customFormat="false" ht="19.4" hidden="false" customHeight="false" outlineLevel="0" collapsed="false">
      <c r="A25" s="23" t="s">
        <v>255</v>
      </c>
      <c r="B25" s="23" t="s">
        <v>215</v>
      </c>
      <c r="C25" s="23" t="s">
        <v>118</v>
      </c>
      <c r="D25" s="24" t="s">
        <v>256</v>
      </c>
      <c r="E25" s="24" t="s">
        <v>257</v>
      </c>
      <c r="F25" s="25" t="n">
        <v>3</v>
      </c>
      <c r="G25" s="25" t="n">
        <v>3</v>
      </c>
      <c r="H25" s="23" t="n">
        <f aca="false">F25+G25-1</f>
        <v>5</v>
      </c>
      <c r="I25" s="24" t="s">
        <v>258</v>
      </c>
      <c r="J25" s="23" t="n">
        <f aca="false">IF(I25="","",SUMPRODUCT(MAX(ISNUMBER(SEARCH(","&amp;$A$7:$A$156&amp;",",","&amp;SUBSTITUTE(I25," ","")&amp;","))*$H$7:$H$156)))</f>
        <v>1</v>
      </c>
      <c r="K25" s="23" t="str">
        <f aca="false">IF(I25="","OK",IF(F25&gt;J25,"OK","VIOLATION"))</f>
        <v>OK</v>
      </c>
      <c r="L25" s="23" t="str">
        <f aca="false">IF(H25&lt;=26,"OK","LATE")</f>
        <v>OK</v>
      </c>
      <c r="M25" s="26" t="n">
        <f aca="false">Overview!$B$4+7*(F25-1)</f>
        <v>46335</v>
      </c>
      <c r="N25" s="26" t="n">
        <f aca="false">Overview!$B$4+7*(H25-1)+4</f>
        <v>46353</v>
      </c>
      <c r="O25" s="23" t="s">
        <v>140</v>
      </c>
      <c r="P25" s="24"/>
      <c r="Q25" s="24" t="s">
        <v>259</v>
      </c>
      <c r="R25" s="24" t="s">
        <v>260</v>
      </c>
      <c r="S25" s="24" t="s">
        <v>261</v>
      </c>
      <c r="T25" s="23" t="s">
        <v>126</v>
      </c>
      <c r="U25" s="24"/>
      <c r="V25" s="23" t="str">
        <f aca="false">";"&amp;SUBSTITUTE(P25," ","")&amp;";"</f>
        <v>;;</v>
      </c>
    </row>
    <row r="26" customFormat="false" ht="28.35" hidden="false" customHeight="false" outlineLevel="0" collapsed="false">
      <c r="A26" s="23" t="s">
        <v>262</v>
      </c>
      <c r="B26" s="23" t="s">
        <v>215</v>
      </c>
      <c r="C26" s="23" t="s">
        <v>137</v>
      </c>
      <c r="D26" s="24" t="s">
        <v>263</v>
      </c>
      <c r="E26" s="24" t="s">
        <v>264</v>
      </c>
      <c r="F26" s="25" t="n">
        <v>3</v>
      </c>
      <c r="G26" s="25" t="n">
        <v>2</v>
      </c>
      <c r="H26" s="23" t="n">
        <f aca="false">F26+G26-1</f>
        <v>4</v>
      </c>
      <c r="I26" s="24" t="s">
        <v>265</v>
      </c>
      <c r="J26" s="23" t="n">
        <f aca="false">IF(I26="","",SUMPRODUCT(MAX(ISNUMBER(SEARCH(","&amp;$A$7:$A$156&amp;",",","&amp;SUBSTITUTE(I26," ","")&amp;","))*$H$7:$H$156)))</f>
        <v>2</v>
      </c>
      <c r="K26" s="23" t="str">
        <f aca="false">IF(I26="","OK",IF(F26&gt;J26,"OK","VIOLATION"))</f>
        <v>OK</v>
      </c>
      <c r="L26" s="23" t="str">
        <f aca="false">IF(H26&lt;=26,"OK","LATE")</f>
        <v>OK</v>
      </c>
      <c r="M26" s="26" t="n">
        <f aca="false">Overview!$B$4+7*(F26-1)</f>
        <v>46335</v>
      </c>
      <c r="N26" s="26" t="n">
        <f aca="false">Overview!$B$4+7*(H26-1)+4</f>
        <v>46346</v>
      </c>
      <c r="O26" s="23" t="s">
        <v>121</v>
      </c>
      <c r="P26" s="24" t="s">
        <v>140</v>
      </c>
      <c r="Q26" s="24" t="s">
        <v>266</v>
      </c>
      <c r="R26" s="24" t="s">
        <v>267</v>
      </c>
      <c r="S26" s="24" t="s">
        <v>268</v>
      </c>
      <c r="T26" s="23" t="s">
        <v>126</v>
      </c>
      <c r="U26" s="24"/>
      <c r="V26" s="23" t="str">
        <f aca="false">";"&amp;SUBSTITUTE(P26," ","")&amp;";"</f>
        <v>;GRC;</v>
      </c>
    </row>
    <row r="27" customFormat="false" ht="28.35" hidden="false" customHeight="false" outlineLevel="0" collapsed="false">
      <c r="A27" s="23" t="s">
        <v>269</v>
      </c>
      <c r="B27" s="23" t="s">
        <v>215</v>
      </c>
      <c r="C27" s="23" t="s">
        <v>181</v>
      </c>
      <c r="D27" s="24" t="s">
        <v>270</v>
      </c>
      <c r="E27" s="24" t="s">
        <v>271</v>
      </c>
      <c r="F27" s="25" t="n">
        <v>3</v>
      </c>
      <c r="G27" s="25" t="n">
        <v>2</v>
      </c>
      <c r="H27" s="23" t="n">
        <f aca="false">F27+G27-1</f>
        <v>4</v>
      </c>
      <c r="I27" s="24" t="s">
        <v>228</v>
      </c>
      <c r="J27" s="23" t="n">
        <f aca="false">IF(I27="","",SUMPRODUCT(MAX(ISNUMBER(SEARCH(","&amp;$A$7:$A$156&amp;",",","&amp;SUBSTITUTE(I27," ","")&amp;","))*$H$7:$H$156)))</f>
        <v>2</v>
      </c>
      <c r="K27" s="23" t="str">
        <f aca="false">IF(I27="","OK",IF(F27&gt;J27,"OK","VIOLATION"))</f>
        <v>OK</v>
      </c>
      <c r="L27" s="23" t="str">
        <f aca="false">IF(H27&lt;=26,"OK","LATE")</f>
        <v>OK</v>
      </c>
      <c r="M27" s="26" t="n">
        <f aca="false">Overview!$B$4+7*(F27-1)</f>
        <v>46335</v>
      </c>
      <c r="N27" s="26" t="n">
        <f aca="false">Overview!$B$4+7*(H27-1)+4</f>
        <v>46346</v>
      </c>
      <c r="O27" s="23" t="s">
        <v>184</v>
      </c>
      <c r="P27" s="24" t="s">
        <v>121</v>
      </c>
      <c r="Q27" s="24" t="s">
        <v>272</v>
      </c>
      <c r="R27" s="24" t="s">
        <v>273</v>
      </c>
      <c r="S27" s="24" t="s">
        <v>274</v>
      </c>
      <c r="T27" s="23" t="s">
        <v>126</v>
      </c>
      <c r="U27" s="24"/>
      <c r="V27" s="23" t="str">
        <f aca="false">";"&amp;SUBSTITUTE(P27," ","")&amp;";"</f>
        <v>;PL;</v>
      </c>
    </row>
    <row r="28" customFormat="false" ht="19.4" hidden="false" customHeight="false" outlineLevel="0" collapsed="false">
      <c r="A28" s="23" t="s">
        <v>275</v>
      </c>
      <c r="B28" s="23" t="s">
        <v>215</v>
      </c>
      <c r="C28" s="23" t="s">
        <v>181</v>
      </c>
      <c r="D28" s="24" t="s">
        <v>276</v>
      </c>
      <c r="E28" s="24" t="s">
        <v>277</v>
      </c>
      <c r="F28" s="25" t="n">
        <v>3</v>
      </c>
      <c r="G28" s="25" t="n">
        <v>2</v>
      </c>
      <c r="H28" s="23" t="n">
        <f aca="false">F28+G28-1</f>
        <v>4</v>
      </c>
      <c r="I28" s="24" t="s">
        <v>180</v>
      </c>
      <c r="J28" s="23" t="n">
        <f aca="false">IF(I28="","",SUMPRODUCT(MAX(ISNUMBER(SEARCH(","&amp;$A$7:$A$156&amp;",",","&amp;SUBSTITUTE(I28," ","")&amp;","))*$H$7:$H$156)))</f>
        <v>1</v>
      </c>
      <c r="K28" s="23" t="str">
        <f aca="false">IF(I28="","OK",IF(F28&gt;J28,"OK","VIOLATION"))</f>
        <v>OK</v>
      </c>
      <c r="L28" s="23" t="str">
        <f aca="false">IF(H28&lt;=26,"OK","LATE")</f>
        <v>OK</v>
      </c>
      <c r="M28" s="26" t="n">
        <f aca="false">Overview!$B$4+7*(F28-1)</f>
        <v>46335</v>
      </c>
      <c r="N28" s="26" t="n">
        <f aca="false">Overview!$B$4+7*(H28-1)+4</f>
        <v>46346</v>
      </c>
      <c r="O28" s="23" t="s">
        <v>224</v>
      </c>
      <c r="P28" s="24"/>
      <c r="Q28" s="24" t="s">
        <v>278</v>
      </c>
      <c r="R28" s="24" t="s">
        <v>279</v>
      </c>
      <c r="S28" s="24" t="s">
        <v>280</v>
      </c>
      <c r="T28" s="23" t="s">
        <v>126</v>
      </c>
      <c r="U28" s="24"/>
      <c r="V28" s="23" t="str">
        <f aca="false">";"&amp;SUBSTITUTE(P28," ","")&amp;";"</f>
        <v>;;</v>
      </c>
    </row>
    <row r="29" customFormat="false" ht="19.4" hidden="false" customHeight="false" outlineLevel="0" collapsed="false">
      <c r="A29" s="23" t="s">
        <v>281</v>
      </c>
      <c r="B29" s="23" t="s">
        <v>215</v>
      </c>
      <c r="C29" s="23" t="s">
        <v>137</v>
      </c>
      <c r="D29" s="24" t="s">
        <v>282</v>
      </c>
      <c r="E29" s="24" t="s">
        <v>283</v>
      </c>
      <c r="F29" s="25" t="n">
        <v>3</v>
      </c>
      <c r="G29" s="25" t="n">
        <v>2</v>
      </c>
      <c r="H29" s="23" t="n">
        <f aca="false">F29+G29-1</f>
        <v>4</v>
      </c>
      <c r="I29" s="24" t="s">
        <v>228</v>
      </c>
      <c r="J29" s="23" t="n">
        <f aca="false">IF(I29="","",SUMPRODUCT(MAX(ISNUMBER(SEARCH(","&amp;$A$7:$A$156&amp;",",","&amp;SUBSTITUTE(I29," ","")&amp;","))*$H$7:$H$156)))</f>
        <v>2</v>
      </c>
      <c r="K29" s="23" t="str">
        <f aca="false">IF(I29="","OK",IF(F29&gt;J29,"OK","VIOLATION"))</f>
        <v>OK</v>
      </c>
      <c r="L29" s="23" t="str">
        <f aca="false">IF(H29&lt;=26,"OK","LATE")</f>
        <v>OK</v>
      </c>
      <c r="M29" s="26" t="n">
        <f aca="false">Overview!$B$4+7*(F29-1)</f>
        <v>46335</v>
      </c>
      <c r="N29" s="26" t="n">
        <f aca="false">Overview!$B$4+7*(H29-1)+4</f>
        <v>46346</v>
      </c>
      <c r="O29" s="23" t="s">
        <v>284</v>
      </c>
      <c r="P29" s="24" t="s">
        <v>140</v>
      </c>
      <c r="Q29" s="24" t="s">
        <v>285</v>
      </c>
      <c r="R29" s="24" t="s">
        <v>286</v>
      </c>
      <c r="S29" s="24" t="s">
        <v>287</v>
      </c>
      <c r="T29" s="23" t="s">
        <v>126</v>
      </c>
      <c r="U29" s="24"/>
      <c r="V29" s="23" t="str">
        <f aca="false">";"&amp;SUBSTITUTE(P29," ","")&amp;";"</f>
        <v>;GRC;</v>
      </c>
    </row>
    <row r="30" customFormat="false" ht="19.4" hidden="false" customHeight="false" outlineLevel="0" collapsed="false">
      <c r="A30" s="23" t="s">
        <v>288</v>
      </c>
      <c r="B30" s="23" t="s">
        <v>215</v>
      </c>
      <c r="C30" s="23" t="s">
        <v>137</v>
      </c>
      <c r="D30" s="24" t="s">
        <v>289</v>
      </c>
      <c r="E30" s="24" t="s">
        <v>290</v>
      </c>
      <c r="F30" s="25" t="n">
        <v>4</v>
      </c>
      <c r="G30" s="25" t="n">
        <v>2</v>
      </c>
      <c r="H30" s="23" t="n">
        <f aca="false">F30+G30-1</f>
        <v>5</v>
      </c>
      <c r="I30" s="24" t="s">
        <v>214</v>
      </c>
      <c r="J30" s="23" t="n">
        <f aca="false">IF(I30="","",SUMPRODUCT(MAX(ISNUMBER(SEARCH(","&amp;$A$7:$A$156&amp;",",","&amp;SUBSTITUTE(I30," ","")&amp;","))*$H$7:$H$156)))</f>
        <v>1</v>
      </c>
      <c r="K30" s="23" t="str">
        <f aca="false">IF(I30="","OK",IF(F30&gt;J30,"OK","VIOLATION"))</f>
        <v>OK</v>
      </c>
      <c r="L30" s="23" t="str">
        <f aca="false">IF(H30&lt;=26,"OK","LATE")</f>
        <v>OK</v>
      </c>
      <c r="M30" s="26" t="n">
        <f aca="false">Overview!$B$4+7*(F30-1)</f>
        <v>46342</v>
      </c>
      <c r="N30" s="26" t="n">
        <f aca="false">Overview!$B$4+7*(H30-1)+4</f>
        <v>46353</v>
      </c>
      <c r="O30" s="23" t="s">
        <v>140</v>
      </c>
      <c r="P30" s="24" t="s">
        <v>291</v>
      </c>
      <c r="Q30" s="24" t="s">
        <v>292</v>
      </c>
      <c r="R30" s="24" t="s">
        <v>293</v>
      </c>
      <c r="S30" s="24" t="s">
        <v>294</v>
      </c>
      <c r="T30" s="23" t="s">
        <v>126</v>
      </c>
      <c r="U30" s="24"/>
      <c r="V30" s="23" t="str">
        <f aca="false">";"&amp;SUBSTITUTE(P30," ","")&amp;";"</f>
        <v>;PL;CSE;BSE;</v>
      </c>
    </row>
    <row r="31" customFormat="false" ht="19.4" hidden="false" customHeight="false" outlineLevel="0" collapsed="false">
      <c r="A31" s="23" t="s">
        <v>295</v>
      </c>
      <c r="B31" s="23" t="s">
        <v>215</v>
      </c>
      <c r="C31" s="23" t="s">
        <v>137</v>
      </c>
      <c r="D31" s="24" t="s">
        <v>296</v>
      </c>
      <c r="E31" s="24" t="s">
        <v>297</v>
      </c>
      <c r="F31" s="25" t="n">
        <v>5</v>
      </c>
      <c r="G31" s="25" t="n">
        <v>2</v>
      </c>
      <c r="H31" s="23" t="n">
        <f aca="false">F31+G31-1</f>
        <v>6</v>
      </c>
      <c r="I31" s="24" t="s">
        <v>214</v>
      </c>
      <c r="J31" s="23" t="n">
        <f aca="false">IF(I31="","",SUMPRODUCT(MAX(ISNUMBER(SEARCH(","&amp;$A$7:$A$156&amp;",",","&amp;SUBSTITUTE(I31," ","")&amp;","))*$H$7:$H$156)))</f>
        <v>1</v>
      </c>
      <c r="K31" s="23" t="str">
        <f aca="false">IF(I31="","OK",IF(F31&gt;J31,"OK","VIOLATION"))</f>
        <v>OK</v>
      </c>
      <c r="L31" s="23" t="str">
        <f aca="false">IF(H31&lt;=26,"OK","LATE")</f>
        <v>OK</v>
      </c>
      <c r="M31" s="26" t="n">
        <f aca="false">Overview!$B$4+7*(F31-1)</f>
        <v>46349</v>
      </c>
      <c r="N31" s="26" t="n">
        <f aca="false">Overview!$B$4+7*(H31-1)+4</f>
        <v>46360</v>
      </c>
      <c r="O31" s="23" t="s">
        <v>121</v>
      </c>
      <c r="P31" s="24" t="s">
        <v>140</v>
      </c>
      <c r="Q31" s="24" t="s">
        <v>298</v>
      </c>
      <c r="R31" s="24" t="s">
        <v>299</v>
      </c>
      <c r="S31" s="24" t="s">
        <v>300</v>
      </c>
      <c r="T31" s="23" t="s">
        <v>126</v>
      </c>
      <c r="U31" s="24"/>
      <c r="V31" s="23" t="str">
        <f aca="false">";"&amp;SUBSTITUTE(P31," ","")&amp;";"</f>
        <v>;GRC;</v>
      </c>
    </row>
    <row r="32" customFormat="false" ht="19.4" hidden="false" customHeight="false" outlineLevel="0" collapsed="false">
      <c r="A32" s="23" t="s">
        <v>301</v>
      </c>
      <c r="B32" s="23" t="s">
        <v>215</v>
      </c>
      <c r="C32" s="23" t="s">
        <v>137</v>
      </c>
      <c r="D32" s="24" t="s">
        <v>302</v>
      </c>
      <c r="E32" s="24" t="s">
        <v>303</v>
      </c>
      <c r="F32" s="25" t="n">
        <v>5</v>
      </c>
      <c r="G32" s="25" t="n">
        <v>2</v>
      </c>
      <c r="H32" s="23" t="n">
        <f aca="false">F32+G32-1</f>
        <v>6</v>
      </c>
      <c r="I32" s="24" t="s">
        <v>262</v>
      </c>
      <c r="J32" s="23" t="n">
        <f aca="false">IF(I32="","",SUMPRODUCT(MAX(ISNUMBER(SEARCH(","&amp;$A$7:$A$156&amp;",",","&amp;SUBSTITUTE(I32," ","")&amp;","))*$H$7:$H$156)))</f>
        <v>4</v>
      </c>
      <c r="K32" s="23" t="str">
        <f aca="false">IF(I32="","OK",IF(F32&gt;J32,"OK","VIOLATION"))</f>
        <v>OK</v>
      </c>
      <c r="L32" s="23" t="str">
        <f aca="false">IF(H32&lt;=26,"OK","LATE")</f>
        <v>OK</v>
      </c>
      <c r="M32" s="26" t="n">
        <f aca="false">Overview!$B$4+7*(F32-1)</f>
        <v>46349</v>
      </c>
      <c r="N32" s="26" t="n">
        <f aca="false">Overview!$B$4+7*(H32-1)+4</f>
        <v>46360</v>
      </c>
      <c r="O32" s="23" t="s">
        <v>224</v>
      </c>
      <c r="P32" s="24" t="s">
        <v>121</v>
      </c>
      <c r="Q32" s="24" t="s">
        <v>304</v>
      </c>
      <c r="R32" s="24" t="s">
        <v>305</v>
      </c>
      <c r="S32" s="24" t="s">
        <v>306</v>
      </c>
      <c r="T32" s="23" t="s">
        <v>126</v>
      </c>
      <c r="U32" s="24"/>
      <c r="V32" s="23" t="str">
        <f aca="false">";"&amp;SUBSTITUTE(P32," ","")&amp;";"</f>
        <v>;PL;</v>
      </c>
    </row>
    <row r="33" customFormat="false" ht="46.25" hidden="false" customHeight="false" outlineLevel="0" collapsed="false">
      <c r="A33" s="23" t="s">
        <v>76</v>
      </c>
      <c r="B33" s="23" t="s">
        <v>215</v>
      </c>
      <c r="C33" s="23" t="s">
        <v>118</v>
      </c>
      <c r="D33" s="24" t="s">
        <v>307</v>
      </c>
      <c r="E33" s="24" t="s">
        <v>308</v>
      </c>
      <c r="F33" s="25" t="n">
        <v>6</v>
      </c>
      <c r="G33" s="25" t="n">
        <v>1</v>
      </c>
      <c r="H33" s="23" t="n">
        <f aca="false">F33+G33-1</f>
        <v>6</v>
      </c>
      <c r="I33" s="24" t="s">
        <v>309</v>
      </c>
      <c r="J33" s="23" t="n">
        <f aca="false">IF(I33="","",SUMPRODUCT(MAX(ISNUMBER(SEARCH(","&amp;$A$7:$A$156&amp;",",","&amp;SUBSTITUTE(I33," ","")&amp;","))*$H$7:$H$156)))</f>
        <v>5</v>
      </c>
      <c r="K33" s="23" t="str">
        <f aca="false">IF(I33="","OK",IF(F33&gt;J33,"OK","VIOLATION"))</f>
        <v>OK</v>
      </c>
      <c r="L33" s="23" t="str">
        <f aca="false">IF(H33&lt;=26,"OK","LATE")</f>
        <v>OK</v>
      </c>
      <c r="M33" s="26" t="n">
        <f aca="false">Overview!$B$4+7*(F33-1)</f>
        <v>46356</v>
      </c>
      <c r="N33" s="26" t="n">
        <f aca="false">Overview!$B$4+7*(H33-1)+4</f>
        <v>46360</v>
      </c>
      <c r="O33" s="23" t="s">
        <v>121</v>
      </c>
      <c r="P33" s="24" t="s">
        <v>224</v>
      </c>
      <c r="Q33" s="24" t="s">
        <v>310</v>
      </c>
      <c r="R33" s="24" t="s">
        <v>311</v>
      </c>
      <c r="S33" s="24" t="s">
        <v>312</v>
      </c>
      <c r="T33" s="23" t="s">
        <v>126</v>
      </c>
      <c r="U33" s="24"/>
      <c r="V33" s="23" t="str">
        <f aca="false">";"&amp;SUBSTITUTE(P33," ","")&amp;";"</f>
        <v>;PMC;</v>
      </c>
    </row>
    <row r="34" customFormat="false" ht="64.15" hidden="false" customHeight="false" outlineLevel="0" collapsed="false">
      <c r="A34" s="23" t="s">
        <v>313</v>
      </c>
      <c r="B34" s="23" t="s">
        <v>314</v>
      </c>
      <c r="C34" s="23" t="s">
        <v>171</v>
      </c>
      <c r="D34" s="24" t="s">
        <v>315</v>
      </c>
      <c r="E34" s="24" t="s">
        <v>316</v>
      </c>
      <c r="F34" s="25" t="n">
        <v>3</v>
      </c>
      <c r="G34" s="25" t="n">
        <v>3</v>
      </c>
      <c r="H34" s="23" t="n">
        <f aca="false">F34+G34-1</f>
        <v>5</v>
      </c>
      <c r="I34" s="24" t="s">
        <v>317</v>
      </c>
      <c r="J34" s="23" t="n">
        <f aca="false">IF(I34="","",SUMPRODUCT(MAX(ISNUMBER(SEARCH(","&amp;$A$7:$A$156&amp;",",","&amp;SUBSTITUTE(I34," ","")&amp;","))*$H$7:$H$156)))</f>
        <v>1</v>
      </c>
      <c r="K34" s="23" t="str">
        <f aca="false">IF(I34="","OK",IF(F34&gt;J34,"OK","VIOLATION"))</f>
        <v>OK</v>
      </c>
      <c r="L34" s="23" t="str">
        <f aca="false">IF(H34&lt;=26,"OK","LATE")</f>
        <v>OK</v>
      </c>
      <c r="M34" s="26" t="n">
        <f aca="false">Overview!$B$4+7*(F34-1)</f>
        <v>46335</v>
      </c>
      <c r="N34" s="26" t="n">
        <f aca="false">Overview!$B$4+7*(H34-1)+4</f>
        <v>46353</v>
      </c>
      <c r="O34" s="23" t="s">
        <v>174</v>
      </c>
      <c r="P34" s="24" t="s">
        <v>318</v>
      </c>
      <c r="Q34" s="24" t="s">
        <v>319</v>
      </c>
      <c r="R34" s="24" t="s">
        <v>320</v>
      </c>
      <c r="S34" s="24" t="s">
        <v>321</v>
      </c>
      <c r="T34" s="23" t="s">
        <v>126</v>
      </c>
      <c r="U34" s="24"/>
      <c r="V34" s="23" t="str">
        <f aca="false">";"&amp;SUBSTITUTE(P34," ","")&amp;";"</f>
        <v>;KHE;</v>
      </c>
    </row>
    <row r="35" customFormat="false" ht="37.3" hidden="false" customHeight="false" outlineLevel="0" collapsed="false">
      <c r="A35" s="23" t="s">
        <v>322</v>
      </c>
      <c r="B35" s="23" t="s">
        <v>314</v>
      </c>
      <c r="C35" s="23" t="s">
        <v>171</v>
      </c>
      <c r="D35" s="24" t="s">
        <v>323</v>
      </c>
      <c r="E35" s="24" t="s">
        <v>324</v>
      </c>
      <c r="F35" s="25" t="n">
        <v>2</v>
      </c>
      <c r="G35" s="25" t="n">
        <v>3</v>
      </c>
      <c r="H35" s="23" t="n">
        <f aca="false">F35+G35-1</f>
        <v>4</v>
      </c>
      <c r="I35" s="24" t="s">
        <v>170</v>
      </c>
      <c r="J35" s="23" t="n">
        <f aca="false">IF(I35="","",SUMPRODUCT(MAX(ISNUMBER(SEARCH(","&amp;$A$7:$A$156&amp;",",","&amp;SUBSTITUTE(I35," ","")&amp;","))*$H$7:$H$156)))</f>
        <v>1</v>
      </c>
      <c r="K35" s="23" t="str">
        <f aca="false">IF(I35="","OK",IF(F35&gt;J35,"OK","VIOLATION"))</f>
        <v>OK</v>
      </c>
      <c r="L35" s="23" t="str">
        <f aca="false">IF(H35&lt;=26,"OK","LATE")</f>
        <v>OK</v>
      </c>
      <c r="M35" s="26" t="n">
        <f aca="false">Overview!$B$4+7*(F35-1)</f>
        <v>46328</v>
      </c>
      <c r="N35" s="26" t="n">
        <f aca="false">Overview!$B$4+7*(H35-1)+4</f>
        <v>46346</v>
      </c>
      <c r="O35" s="23" t="s">
        <v>318</v>
      </c>
      <c r="P35" s="24" t="s">
        <v>174</v>
      </c>
      <c r="Q35" s="24" t="s">
        <v>325</v>
      </c>
      <c r="R35" s="24" t="s">
        <v>326</v>
      </c>
      <c r="S35" s="24" t="s">
        <v>327</v>
      </c>
      <c r="T35" s="23" t="s">
        <v>126</v>
      </c>
      <c r="U35" s="24"/>
      <c r="V35" s="23" t="str">
        <f aca="false">";"&amp;SUBSTITUTE(P35," ","")&amp;";"</f>
        <v>;CSE;</v>
      </c>
    </row>
    <row r="36" customFormat="false" ht="19.4" hidden="false" customHeight="false" outlineLevel="0" collapsed="false">
      <c r="A36" s="23" t="s">
        <v>328</v>
      </c>
      <c r="B36" s="23" t="s">
        <v>314</v>
      </c>
      <c r="C36" s="23" t="s">
        <v>171</v>
      </c>
      <c r="D36" s="24" t="s">
        <v>329</v>
      </c>
      <c r="E36" s="24" t="s">
        <v>330</v>
      </c>
      <c r="F36" s="25" t="n">
        <v>2</v>
      </c>
      <c r="G36" s="25" t="n">
        <v>3</v>
      </c>
      <c r="H36" s="23" t="n">
        <f aca="false">F36+G36-1</f>
        <v>4</v>
      </c>
      <c r="I36" s="24" t="s">
        <v>170</v>
      </c>
      <c r="J36" s="23" t="n">
        <f aca="false">IF(I36="","",SUMPRODUCT(MAX(ISNUMBER(SEARCH(","&amp;$A$7:$A$156&amp;",",","&amp;SUBSTITUTE(I36," ","")&amp;","))*$H$7:$H$156)))</f>
        <v>1</v>
      </c>
      <c r="K36" s="23" t="str">
        <f aca="false">IF(I36="","OK",IF(F36&gt;J36,"OK","VIOLATION"))</f>
        <v>OK</v>
      </c>
      <c r="L36" s="23" t="str">
        <f aca="false">IF(H36&lt;=26,"OK","LATE")</f>
        <v>OK</v>
      </c>
      <c r="M36" s="26" t="n">
        <f aca="false">Overview!$B$4+7*(F36-1)</f>
        <v>46328</v>
      </c>
      <c r="N36" s="26" t="n">
        <f aca="false">Overview!$B$4+7*(H36-1)+4</f>
        <v>46346</v>
      </c>
      <c r="O36" s="23" t="s">
        <v>318</v>
      </c>
      <c r="P36" s="24" t="s">
        <v>175</v>
      </c>
      <c r="Q36" s="24" t="s">
        <v>331</v>
      </c>
      <c r="R36" s="24" t="s">
        <v>332</v>
      </c>
      <c r="S36" s="24" t="s">
        <v>333</v>
      </c>
      <c r="T36" s="23" t="s">
        <v>126</v>
      </c>
      <c r="U36" s="24"/>
      <c r="V36" s="23" t="str">
        <f aca="false">";"&amp;SUBSTITUTE(P36," ","")&amp;";"</f>
        <v>;ENG;</v>
      </c>
    </row>
    <row r="37" customFormat="false" ht="37.3" hidden="false" customHeight="false" outlineLevel="0" collapsed="false">
      <c r="A37" s="23" t="s">
        <v>334</v>
      </c>
      <c r="B37" s="23" t="s">
        <v>314</v>
      </c>
      <c r="C37" s="23" t="s">
        <v>171</v>
      </c>
      <c r="D37" s="24" t="s">
        <v>335</v>
      </c>
      <c r="E37" s="24" t="s">
        <v>336</v>
      </c>
      <c r="F37" s="25" t="n">
        <v>2</v>
      </c>
      <c r="G37" s="25" t="n">
        <v>5</v>
      </c>
      <c r="H37" s="23" t="n">
        <f aca="false">F37+G37-1</f>
        <v>6</v>
      </c>
      <c r="I37" s="24" t="s">
        <v>170</v>
      </c>
      <c r="J37" s="23" t="n">
        <f aca="false">IF(I37="","",SUMPRODUCT(MAX(ISNUMBER(SEARCH(","&amp;$A$7:$A$156&amp;",",","&amp;SUBSTITUTE(I37," ","")&amp;","))*$H$7:$H$156)))</f>
        <v>1</v>
      </c>
      <c r="K37" s="23" t="str">
        <f aca="false">IF(I37="","OK",IF(F37&gt;J37,"OK","VIOLATION"))</f>
        <v>OK</v>
      </c>
      <c r="L37" s="23" t="str">
        <f aca="false">IF(H37&lt;=26,"OK","LATE")</f>
        <v>OK</v>
      </c>
      <c r="M37" s="26" t="n">
        <f aca="false">Overview!$B$4+7*(F37-1)</f>
        <v>46328</v>
      </c>
      <c r="N37" s="26" t="n">
        <f aca="false">Overview!$B$4+7*(H37-1)+4</f>
        <v>46360</v>
      </c>
      <c r="O37" s="23" t="s">
        <v>318</v>
      </c>
      <c r="P37" s="24" t="s">
        <v>175</v>
      </c>
      <c r="Q37" s="24" t="s">
        <v>337</v>
      </c>
      <c r="R37" s="24" t="s">
        <v>338</v>
      </c>
      <c r="S37" s="24" t="s">
        <v>339</v>
      </c>
      <c r="T37" s="23" t="s">
        <v>126</v>
      </c>
      <c r="U37" s="24"/>
      <c r="V37" s="23" t="str">
        <f aca="false">";"&amp;SUBSTITUTE(P37," ","")&amp;";"</f>
        <v>;ENG;</v>
      </c>
    </row>
    <row r="38" customFormat="false" ht="28.35" hidden="false" customHeight="false" outlineLevel="0" collapsed="false">
      <c r="A38" s="23" t="s">
        <v>340</v>
      </c>
      <c r="B38" s="23" t="s">
        <v>314</v>
      </c>
      <c r="C38" s="23" t="s">
        <v>171</v>
      </c>
      <c r="D38" s="24" t="s">
        <v>341</v>
      </c>
      <c r="E38" s="24" t="s">
        <v>342</v>
      </c>
      <c r="F38" s="25" t="n">
        <v>3</v>
      </c>
      <c r="G38" s="25" t="n">
        <v>3</v>
      </c>
      <c r="H38" s="23" t="n">
        <f aca="false">F38+G38-1</f>
        <v>5</v>
      </c>
      <c r="I38" s="24" t="s">
        <v>180</v>
      </c>
      <c r="J38" s="23" t="n">
        <f aca="false">IF(I38="","",SUMPRODUCT(MAX(ISNUMBER(SEARCH(","&amp;$A$7:$A$156&amp;",",","&amp;SUBSTITUTE(I38," ","")&amp;","))*$H$7:$H$156)))</f>
        <v>1</v>
      </c>
      <c r="K38" s="23" t="str">
        <f aca="false">IF(I38="","OK",IF(F38&gt;J38,"OK","VIOLATION"))</f>
        <v>OK</v>
      </c>
      <c r="L38" s="23" t="str">
        <f aca="false">IF(H38&lt;=26,"OK","LATE")</f>
        <v>OK</v>
      </c>
      <c r="M38" s="26" t="n">
        <f aca="false">Overview!$B$4+7*(F38-1)</f>
        <v>46335</v>
      </c>
      <c r="N38" s="26" t="n">
        <f aca="false">Overview!$B$4+7*(H38-1)+4</f>
        <v>46353</v>
      </c>
      <c r="O38" s="23" t="s">
        <v>343</v>
      </c>
      <c r="P38" s="24"/>
      <c r="Q38" s="24" t="s">
        <v>344</v>
      </c>
      <c r="R38" s="24" t="s">
        <v>341</v>
      </c>
      <c r="S38" s="24" t="s">
        <v>345</v>
      </c>
      <c r="T38" s="23" t="s">
        <v>126</v>
      </c>
      <c r="U38" s="24"/>
      <c r="V38" s="23" t="str">
        <f aca="false">";"&amp;SUBSTITUTE(P38," ","")&amp;";"</f>
        <v>;;</v>
      </c>
    </row>
    <row r="39" customFormat="false" ht="28.35" hidden="false" customHeight="false" outlineLevel="0" collapsed="false">
      <c r="A39" s="23" t="s">
        <v>346</v>
      </c>
      <c r="B39" s="23" t="s">
        <v>215</v>
      </c>
      <c r="C39" s="23" t="s">
        <v>171</v>
      </c>
      <c r="D39" s="24" t="s">
        <v>347</v>
      </c>
      <c r="E39" s="24" t="s">
        <v>348</v>
      </c>
      <c r="F39" s="25" t="n">
        <v>2</v>
      </c>
      <c r="G39" s="25" t="n">
        <v>4</v>
      </c>
      <c r="H39" s="23" t="n">
        <f aca="false">F39+G39-1</f>
        <v>5</v>
      </c>
      <c r="I39" s="24" t="s">
        <v>170</v>
      </c>
      <c r="J39" s="23" t="n">
        <f aca="false">IF(I39="","",SUMPRODUCT(MAX(ISNUMBER(SEARCH(","&amp;$A$7:$A$156&amp;",",","&amp;SUBSTITUTE(I39," ","")&amp;","))*$H$7:$H$156)))</f>
        <v>1</v>
      </c>
      <c r="K39" s="23" t="str">
        <f aca="false">IF(I39="","OK",IF(F39&gt;J39,"OK","VIOLATION"))</f>
        <v>OK</v>
      </c>
      <c r="L39" s="23" t="str">
        <f aca="false">IF(H39&lt;=26,"OK","LATE")</f>
        <v>OK</v>
      </c>
      <c r="M39" s="26" t="n">
        <f aca="false">Overview!$B$4+7*(F39-1)</f>
        <v>46328</v>
      </c>
      <c r="N39" s="26" t="n">
        <f aca="false">Overview!$B$4+7*(H39-1)+4</f>
        <v>46353</v>
      </c>
      <c r="O39" s="23" t="s">
        <v>174</v>
      </c>
      <c r="P39" s="24" t="s">
        <v>349</v>
      </c>
      <c r="Q39" s="24" t="s">
        <v>350</v>
      </c>
      <c r="R39" s="24" t="s">
        <v>351</v>
      </c>
      <c r="S39" s="24" t="s">
        <v>352</v>
      </c>
      <c r="T39" s="23" t="s">
        <v>126</v>
      </c>
      <c r="U39" s="27" t="s">
        <v>353</v>
      </c>
      <c r="V39" s="23" t="str">
        <f aca="false">";"&amp;SUBSTITUTE(P39," ","")&amp;";"</f>
        <v>;KHE;ENG;</v>
      </c>
    </row>
    <row r="40" customFormat="false" ht="19.4" hidden="false" customHeight="false" outlineLevel="0" collapsed="false">
      <c r="A40" s="23" t="s">
        <v>354</v>
      </c>
      <c r="B40" s="23" t="s">
        <v>215</v>
      </c>
      <c r="C40" s="23" t="s">
        <v>171</v>
      </c>
      <c r="D40" s="24" t="s">
        <v>355</v>
      </c>
      <c r="E40" s="24" t="s">
        <v>356</v>
      </c>
      <c r="F40" s="25" t="n">
        <v>2</v>
      </c>
      <c r="G40" s="25" t="n">
        <v>2</v>
      </c>
      <c r="H40" s="23" t="n">
        <f aca="false">F40+G40-1</f>
        <v>3</v>
      </c>
      <c r="I40" s="24" t="s">
        <v>170</v>
      </c>
      <c r="J40" s="23" t="n">
        <f aca="false">IF(I40="","",SUMPRODUCT(MAX(ISNUMBER(SEARCH(","&amp;$A$7:$A$156&amp;",",","&amp;SUBSTITUTE(I40," ","")&amp;","))*$H$7:$H$156)))</f>
        <v>1</v>
      </c>
      <c r="K40" s="23" t="str">
        <f aca="false">IF(I40="","OK",IF(F40&gt;J40,"OK","VIOLATION"))</f>
        <v>OK</v>
      </c>
      <c r="L40" s="23" t="str">
        <f aca="false">IF(H40&lt;=26,"OK","LATE")</f>
        <v>OK</v>
      </c>
      <c r="M40" s="26" t="n">
        <f aca="false">Overview!$B$4+7*(F40-1)</f>
        <v>46328</v>
      </c>
      <c r="N40" s="26" t="n">
        <f aca="false">Overview!$B$4+7*(H40-1)+4</f>
        <v>46339</v>
      </c>
      <c r="O40" s="23" t="s">
        <v>174</v>
      </c>
      <c r="P40" s="24" t="s">
        <v>175</v>
      </c>
      <c r="Q40" s="24" t="s">
        <v>357</v>
      </c>
      <c r="R40" s="24" t="s">
        <v>358</v>
      </c>
      <c r="S40" s="24" t="s">
        <v>359</v>
      </c>
      <c r="T40" s="23" t="s">
        <v>126</v>
      </c>
      <c r="U40" s="27" t="s">
        <v>360</v>
      </c>
      <c r="V40" s="23" t="str">
        <f aca="false">";"&amp;SUBSTITUTE(P40," ","")&amp;";"</f>
        <v>;ENG;</v>
      </c>
    </row>
    <row r="41" customFormat="false" ht="37.3" hidden="false" customHeight="false" outlineLevel="0" collapsed="false">
      <c r="A41" s="23" t="s">
        <v>361</v>
      </c>
      <c r="B41" s="23" t="s">
        <v>314</v>
      </c>
      <c r="C41" s="23" t="s">
        <v>171</v>
      </c>
      <c r="D41" s="24" t="s">
        <v>362</v>
      </c>
      <c r="E41" s="24" t="s">
        <v>363</v>
      </c>
      <c r="F41" s="25" t="n">
        <v>6</v>
      </c>
      <c r="G41" s="25" t="n">
        <v>2</v>
      </c>
      <c r="H41" s="23" t="n">
        <f aca="false">F41+G41-1</f>
        <v>7</v>
      </c>
      <c r="I41" s="24" t="s">
        <v>248</v>
      </c>
      <c r="J41" s="23" t="n">
        <f aca="false">IF(I41="","",SUMPRODUCT(MAX(ISNUMBER(SEARCH(","&amp;$A$7:$A$156&amp;",",","&amp;SUBSTITUTE(I41," ","")&amp;","))*$H$7:$H$156)))</f>
        <v>5</v>
      </c>
      <c r="K41" s="23" t="str">
        <f aca="false">IF(I41="","OK",IF(F41&gt;J41,"OK","VIOLATION"))</f>
        <v>OK</v>
      </c>
      <c r="L41" s="23" t="str">
        <f aca="false">IF(H41&lt;=26,"OK","LATE")</f>
        <v>OK</v>
      </c>
      <c r="M41" s="26" t="n">
        <f aca="false">Overview!$B$4+7*(F41-1)</f>
        <v>46356</v>
      </c>
      <c r="N41" s="26" t="n">
        <f aca="false">Overview!$B$4+7*(H41-1)+4</f>
        <v>46367</v>
      </c>
      <c r="O41" s="23" t="s">
        <v>318</v>
      </c>
      <c r="P41" s="24" t="s">
        <v>174</v>
      </c>
      <c r="Q41" s="24" t="s">
        <v>364</v>
      </c>
      <c r="R41" s="24" t="s">
        <v>365</v>
      </c>
      <c r="S41" s="24" t="s">
        <v>366</v>
      </c>
      <c r="T41" s="23" t="s">
        <v>126</v>
      </c>
      <c r="U41" s="24"/>
      <c r="V41" s="23" t="str">
        <f aca="false">";"&amp;SUBSTITUTE(P41," ","")&amp;";"</f>
        <v>;CSE;</v>
      </c>
    </row>
    <row r="42" customFormat="false" ht="37.3" hidden="false" customHeight="false" outlineLevel="0" collapsed="false">
      <c r="A42" s="23" t="s">
        <v>367</v>
      </c>
      <c r="B42" s="23" t="s">
        <v>314</v>
      </c>
      <c r="C42" s="23" t="s">
        <v>171</v>
      </c>
      <c r="D42" s="24" t="s">
        <v>368</v>
      </c>
      <c r="E42" s="24" t="s">
        <v>369</v>
      </c>
      <c r="F42" s="25" t="n">
        <v>5</v>
      </c>
      <c r="G42" s="25" t="n">
        <v>2</v>
      </c>
      <c r="H42" s="23" t="n">
        <f aca="false">F42+G42-1</f>
        <v>6</v>
      </c>
      <c r="I42" s="24" t="s">
        <v>322</v>
      </c>
      <c r="J42" s="23" t="n">
        <f aca="false">IF(I42="","",SUMPRODUCT(MAX(ISNUMBER(SEARCH(","&amp;$A$7:$A$156&amp;",",","&amp;SUBSTITUTE(I42," ","")&amp;","))*$H$7:$H$156)))</f>
        <v>4</v>
      </c>
      <c r="K42" s="23" t="str">
        <f aca="false">IF(I42="","OK",IF(F42&gt;J42,"OK","VIOLATION"))</f>
        <v>OK</v>
      </c>
      <c r="L42" s="23" t="str">
        <f aca="false">IF(H42&lt;=26,"OK","LATE")</f>
        <v>OK</v>
      </c>
      <c r="M42" s="26" t="n">
        <f aca="false">Overview!$B$4+7*(F42-1)</f>
        <v>46349</v>
      </c>
      <c r="N42" s="26" t="n">
        <f aca="false">Overview!$B$4+7*(H42-1)+4</f>
        <v>46360</v>
      </c>
      <c r="O42" s="23" t="s">
        <v>174</v>
      </c>
      <c r="P42" s="24" t="s">
        <v>318</v>
      </c>
      <c r="Q42" s="24" t="s">
        <v>370</v>
      </c>
      <c r="R42" s="24" t="s">
        <v>371</v>
      </c>
      <c r="S42" s="24" t="s">
        <v>372</v>
      </c>
      <c r="T42" s="23" t="s">
        <v>126</v>
      </c>
      <c r="U42" s="24"/>
      <c r="V42" s="23" t="str">
        <f aca="false">";"&amp;SUBSTITUTE(P42," ","")&amp;";"</f>
        <v>;KHE;</v>
      </c>
    </row>
    <row r="43" customFormat="false" ht="19.4" hidden="false" customHeight="false" outlineLevel="0" collapsed="false">
      <c r="A43" s="23" t="s">
        <v>373</v>
      </c>
      <c r="B43" s="23" t="s">
        <v>314</v>
      </c>
      <c r="C43" s="23" t="s">
        <v>171</v>
      </c>
      <c r="D43" s="24" t="s">
        <v>374</v>
      </c>
      <c r="E43" s="24" t="s">
        <v>375</v>
      </c>
      <c r="F43" s="25" t="n">
        <v>6</v>
      </c>
      <c r="G43" s="25" t="n">
        <v>2</v>
      </c>
      <c r="H43" s="23" t="n">
        <f aca="false">F43+G43-1</f>
        <v>7</v>
      </c>
      <c r="I43" s="24" t="s">
        <v>255</v>
      </c>
      <c r="J43" s="23" t="n">
        <f aca="false">IF(I43="","",SUMPRODUCT(MAX(ISNUMBER(SEARCH(","&amp;$A$7:$A$156&amp;",",","&amp;SUBSTITUTE(I43," ","")&amp;","))*$H$7:$H$156)))</f>
        <v>5</v>
      </c>
      <c r="K43" s="23" t="str">
        <f aca="false">IF(I43="","OK",IF(F43&gt;J43,"OK","VIOLATION"))</f>
        <v>OK</v>
      </c>
      <c r="L43" s="23" t="str">
        <f aca="false">IF(H43&lt;=26,"OK","LATE")</f>
        <v>OK</v>
      </c>
      <c r="M43" s="26" t="n">
        <f aca="false">Overview!$B$4+7*(F43-1)</f>
        <v>46356</v>
      </c>
      <c r="N43" s="26" t="n">
        <f aca="false">Overview!$B$4+7*(H43-1)+4</f>
        <v>46367</v>
      </c>
      <c r="O43" s="23" t="s">
        <v>318</v>
      </c>
      <c r="P43" s="24" t="s">
        <v>284</v>
      </c>
      <c r="Q43" s="24" t="s">
        <v>325</v>
      </c>
      <c r="R43" s="24" t="s">
        <v>376</v>
      </c>
      <c r="S43" s="24" t="s">
        <v>377</v>
      </c>
      <c r="T43" s="23" t="s">
        <v>126</v>
      </c>
      <c r="U43" s="24"/>
      <c r="V43" s="23" t="str">
        <f aca="false">";"&amp;SUBSTITUTE(P43," ","")&amp;";"</f>
        <v>;GRCC;</v>
      </c>
    </row>
    <row r="44" customFormat="false" ht="19.4" hidden="false" customHeight="false" outlineLevel="0" collapsed="false">
      <c r="A44" s="23" t="s">
        <v>378</v>
      </c>
      <c r="B44" s="23" t="s">
        <v>314</v>
      </c>
      <c r="C44" s="23" t="s">
        <v>171</v>
      </c>
      <c r="D44" s="24" t="s">
        <v>379</v>
      </c>
      <c r="E44" s="24" t="s">
        <v>380</v>
      </c>
      <c r="F44" s="25" t="n">
        <v>6</v>
      </c>
      <c r="G44" s="25" t="n">
        <v>4</v>
      </c>
      <c r="H44" s="23" t="n">
        <f aca="false">F44+G44-1</f>
        <v>9</v>
      </c>
      <c r="I44" s="24" t="s">
        <v>313</v>
      </c>
      <c r="J44" s="23" t="n">
        <f aca="false">IF(I44="","",SUMPRODUCT(MAX(ISNUMBER(SEARCH(","&amp;$A$7:$A$156&amp;",",","&amp;SUBSTITUTE(I44," ","")&amp;","))*$H$7:$H$156)))</f>
        <v>5</v>
      </c>
      <c r="K44" s="23" t="str">
        <f aca="false">IF(I44="","OK",IF(F44&gt;J44,"OK","VIOLATION"))</f>
        <v>OK</v>
      </c>
      <c r="L44" s="23" t="str">
        <f aca="false">IF(H44&lt;=26,"OK","LATE")</f>
        <v>OK</v>
      </c>
      <c r="M44" s="26" t="n">
        <f aca="false">Overview!$B$4+7*(F44-1)</f>
        <v>46356</v>
      </c>
      <c r="N44" s="26" t="n">
        <f aca="false">Overview!$B$4+7*(H44-1)+4</f>
        <v>46381</v>
      </c>
      <c r="O44" s="23" t="s">
        <v>174</v>
      </c>
      <c r="P44" s="24" t="s">
        <v>318</v>
      </c>
      <c r="Q44" s="24" t="s">
        <v>381</v>
      </c>
      <c r="R44" s="24" t="s">
        <v>382</v>
      </c>
      <c r="S44" s="24" t="s">
        <v>383</v>
      </c>
      <c r="T44" s="23" t="s">
        <v>126</v>
      </c>
      <c r="U44" s="24"/>
      <c r="V44" s="23" t="str">
        <f aca="false">";"&amp;SUBSTITUTE(P44," ","")&amp;";"</f>
        <v>;KHE;</v>
      </c>
    </row>
    <row r="45" customFormat="false" ht="37.3" hidden="false" customHeight="false" outlineLevel="0" collapsed="false">
      <c r="A45" s="23" t="s">
        <v>384</v>
      </c>
      <c r="B45" s="23" t="s">
        <v>314</v>
      </c>
      <c r="C45" s="23" t="s">
        <v>98</v>
      </c>
      <c r="D45" s="24" t="s">
        <v>385</v>
      </c>
      <c r="E45" s="24" t="s">
        <v>386</v>
      </c>
      <c r="F45" s="25" t="n">
        <v>3</v>
      </c>
      <c r="G45" s="25" t="n">
        <v>3</v>
      </c>
      <c r="H45" s="23" t="n">
        <f aca="false">F45+G45-1</f>
        <v>5</v>
      </c>
      <c r="I45" s="24" t="s">
        <v>387</v>
      </c>
      <c r="J45" s="23" t="n">
        <f aca="false">IF(I45="","",SUMPRODUCT(MAX(ISNUMBER(SEARCH(","&amp;$A$7:$A$156&amp;",",","&amp;SUBSTITUTE(I45," ","")&amp;","))*$H$7:$H$156)))</f>
        <v>2</v>
      </c>
      <c r="K45" s="23" t="str">
        <f aca="false">IF(I45="","OK",IF(F45&gt;J45,"OK","VIOLATION"))</f>
        <v>OK</v>
      </c>
      <c r="L45" s="23" t="str">
        <f aca="false">IF(H45&lt;=26,"OK","LATE")</f>
        <v>OK</v>
      </c>
      <c r="M45" s="26" t="n">
        <f aca="false">Overview!$B$4+7*(F45-1)</f>
        <v>46335</v>
      </c>
      <c r="N45" s="26" t="n">
        <f aca="false">Overview!$B$4+7*(H45-1)+4</f>
        <v>46353</v>
      </c>
      <c r="O45" s="23" t="s">
        <v>388</v>
      </c>
      <c r="P45" s="24" t="s">
        <v>184</v>
      </c>
      <c r="Q45" s="24" t="s">
        <v>389</v>
      </c>
      <c r="R45" s="24" t="s">
        <v>390</v>
      </c>
      <c r="S45" s="24" t="s">
        <v>391</v>
      </c>
      <c r="T45" s="23" t="s">
        <v>126</v>
      </c>
      <c r="U45" s="24"/>
      <c r="V45" s="23" t="str">
        <f aca="false">";"&amp;SUBSTITUTE(P45," ","")&amp;";"</f>
        <v>;ISE;</v>
      </c>
    </row>
    <row r="46" customFormat="false" ht="37.3" hidden="false" customHeight="false" outlineLevel="0" collapsed="false">
      <c r="A46" s="23" t="s">
        <v>392</v>
      </c>
      <c r="B46" s="23" t="s">
        <v>314</v>
      </c>
      <c r="C46" s="23" t="s">
        <v>98</v>
      </c>
      <c r="D46" s="24" t="s">
        <v>393</v>
      </c>
      <c r="E46" s="24" t="s">
        <v>394</v>
      </c>
      <c r="F46" s="25" t="n">
        <v>3</v>
      </c>
      <c r="G46" s="25" t="n">
        <v>3</v>
      </c>
      <c r="H46" s="23" t="n">
        <f aca="false">F46+G46-1</f>
        <v>5</v>
      </c>
      <c r="I46" s="24" t="s">
        <v>395</v>
      </c>
      <c r="J46" s="23" t="n">
        <f aca="false">IF(I46="","",SUMPRODUCT(MAX(ISNUMBER(SEARCH(","&amp;$A$7:$A$156&amp;",",","&amp;SUBSTITUTE(I46," ","")&amp;","))*$H$7:$H$156)))</f>
        <v>1</v>
      </c>
      <c r="K46" s="23" t="str">
        <f aca="false">IF(I46="","OK",IF(F46&gt;J46,"OK","VIOLATION"))</f>
        <v>OK</v>
      </c>
      <c r="L46" s="23" t="str">
        <f aca="false">IF(H46&lt;=26,"OK","LATE")</f>
        <v>OK</v>
      </c>
      <c r="M46" s="26" t="n">
        <f aca="false">Overview!$B$4+7*(F46-1)</f>
        <v>46335</v>
      </c>
      <c r="N46" s="26" t="n">
        <f aca="false">Overview!$B$4+7*(H46-1)+4</f>
        <v>46353</v>
      </c>
      <c r="O46" s="23" t="s">
        <v>184</v>
      </c>
      <c r="P46" s="24" t="s">
        <v>174</v>
      </c>
      <c r="Q46" s="24" t="s">
        <v>396</v>
      </c>
      <c r="R46" s="24" t="s">
        <v>397</v>
      </c>
      <c r="S46" s="24" t="s">
        <v>398</v>
      </c>
      <c r="T46" s="23" t="s">
        <v>126</v>
      </c>
      <c r="U46" s="24"/>
      <c r="V46" s="23" t="str">
        <f aca="false">";"&amp;SUBSTITUTE(P46," ","")&amp;";"</f>
        <v>;CSE;</v>
      </c>
    </row>
    <row r="47" customFormat="false" ht="19.4" hidden="false" customHeight="false" outlineLevel="0" collapsed="false">
      <c r="A47" s="23" t="s">
        <v>399</v>
      </c>
      <c r="B47" s="23" t="s">
        <v>314</v>
      </c>
      <c r="C47" s="23" t="s">
        <v>98</v>
      </c>
      <c r="D47" s="24" t="s">
        <v>400</v>
      </c>
      <c r="E47" s="24" t="s">
        <v>401</v>
      </c>
      <c r="F47" s="25" t="n">
        <v>6</v>
      </c>
      <c r="G47" s="25" t="n">
        <v>2</v>
      </c>
      <c r="H47" s="23" t="n">
        <f aca="false">F47+G47-1</f>
        <v>7</v>
      </c>
      <c r="I47" s="24" t="s">
        <v>392</v>
      </c>
      <c r="J47" s="23" t="n">
        <f aca="false">IF(I47="","",SUMPRODUCT(MAX(ISNUMBER(SEARCH(","&amp;$A$7:$A$156&amp;",",","&amp;SUBSTITUTE(I47," ","")&amp;","))*$H$7:$H$156)))</f>
        <v>5</v>
      </c>
      <c r="K47" s="23" t="str">
        <f aca="false">IF(I47="","OK",IF(F47&gt;J47,"OK","VIOLATION"))</f>
        <v>OK</v>
      </c>
      <c r="L47" s="23" t="str">
        <f aca="false">IF(H47&lt;=26,"OK","LATE")</f>
        <v>OK</v>
      </c>
      <c r="M47" s="26" t="n">
        <f aca="false">Overview!$B$4+7*(F47-1)</f>
        <v>46356</v>
      </c>
      <c r="N47" s="26" t="n">
        <f aca="false">Overview!$B$4+7*(H47-1)+4</f>
        <v>46367</v>
      </c>
      <c r="O47" s="23" t="s">
        <v>184</v>
      </c>
      <c r="P47" s="24" t="s">
        <v>402</v>
      </c>
      <c r="Q47" s="24" t="s">
        <v>403</v>
      </c>
      <c r="R47" s="24" t="s">
        <v>404</v>
      </c>
      <c r="S47" s="24" t="s">
        <v>405</v>
      </c>
      <c r="T47" s="23" t="s">
        <v>126</v>
      </c>
      <c r="U47" s="24"/>
      <c r="V47" s="23" t="str">
        <f aca="false">";"&amp;SUBSTITUTE(P47," ","")&amp;";"</f>
        <v>;CSE;ENG;</v>
      </c>
    </row>
    <row r="48" customFormat="false" ht="37.3" hidden="false" customHeight="false" outlineLevel="0" collapsed="false">
      <c r="A48" s="23" t="s">
        <v>406</v>
      </c>
      <c r="B48" s="23" t="s">
        <v>314</v>
      </c>
      <c r="C48" s="23" t="s">
        <v>98</v>
      </c>
      <c r="D48" s="24" t="s">
        <v>407</v>
      </c>
      <c r="E48" s="24" t="s">
        <v>408</v>
      </c>
      <c r="F48" s="25" t="n">
        <v>4</v>
      </c>
      <c r="G48" s="25" t="n">
        <v>4</v>
      </c>
      <c r="H48" s="23" t="n">
        <f aca="false">F48+G48-1</f>
        <v>7</v>
      </c>
      <c r="I48" s="24" t="s">
        <v>228</v>
      </c>
      <c r="J48" s="23" t="n">
        <f aca="false">IF(I48="","",SUMPRODUCT(MAX(ISNUMBER(SEARCH(","&amp;$A$7:$A$156&amp;",",","&amp;SUBSTITUTE(I48," ","")&amp;","))*$H$7:$H$156)))</f>
        <v>2</v>
      </c>
      <c r="K48" s="23" t="str">
        <f aca="false">IF(I48="","OK",IF(F48&gt;J48,"OK","VIOLATION"))</f>
        <v>OK</v>
      </c>
      <c r="L48" s="23" t="str">
        <f aca="false">IF(H48&lt;=26,"OK","LATE")</f>
        <v>OK</v>
      </c>
      <c r="M48" s="26" t="n">
        <f aca="false">Overview!$B$4+7*(F48-1)</f>
        <v>46342</v>
      </c>
      <c r="N48" s="26" t="n">
        <f aca="false">Overview!$B$4+7*(H48-1)+4</f>
        <v>46367</v>
      </c>
      <c r="O48" s="23" t="s">
        <v>388</v>
      </c>
      <c r="P48" s="24" t="s">
        <v>184</v>
      </c>
      <c r="Q48" s="24" t="s">
        <v>409</v>
      </c>
      <c r="R48" s="24" t="s">
        <v>410</v>
      </c>
      <c r="S48" s="24" t="s">
        <v>411</v>
      </c>
      <c r="T48" s="23" t="s">
        <v>126</v>
      </c>
      <c r="U48" s="24"/>
      <c r="V48" s="23" t="str">
        <f aca="false">";"&amp;SUBSTITUTE(P48," ","")&amp;";"</f>
        <v>;ISE;</v>
      </c>
    </row>
    <row r="49" customFormat="false" ht="28.35" hidden="false" customHeight="false" outlineLevel="0" collapsed="false">
      <c r="A49" s="23" t="s">
        <v>412</v>
      </c>
      <c r="B49" s="23" t="s">
        <v>314</v>
      </c>
      <c r="C49" s="23" t="s">
        <v>98</v>
      </c>
      <c r="D49" s="24" t="s">
        <v>413</v>
      </c>
      <c r="E49" s="24" t="s">
        <v>414</v>
      </c>
      <c r="F49" s="25" t="n">
        <v>8</v>
      </c>
      <c r="G49" s="25" t="n">
        <v>2</v>
      </c>
      <c r="H49" s="23" t="n">
        <f aca="false">F49+G49-1</f>
        <v>9</v>
      </c>
      <c r="I49" s="24" t="s">
        <v>406</v>
      </c>
      <c r="J49" s="23" t="n">
        <f aca="false">IF(I49="","",SUMPRODUCT(MAX(ISNUMBER(SEARCH(","&amp;$A$7:$A$156&amp;",",","&amp;SUBSTITUTE(I49," ","")&amp;","))*$H$7:$H$156)))</f>
        <v>7</v>
      </c>
      <c r="K49" s="23" t="str">
        <f aca="false">IF(I49="","OK",IF(F49&gt;J49,"OK","VIOLATION"))</f>
        <v>OK</v>
      </c>
      <c r="L49" s="23" t="str">
        <f aca="false">IF(H49&lt;=26,"OK","LATE")</f>
        <v>OK</v>
      </c>
      <c r="M49" s="26" t="n">
        <f aca="false">Overview!$B$4+7*(F49-1)</f>
        <v>46370</v>
      </c>
      <c r="N49" s="26" t="n">
        <f aca="false">Overview!$B$4+7*(H49-1)+4</f>
        <v>46381</v>
      </c>
      <c r="O49" s="23" t="s">
        <v>150</v>
      </c>
      <c r="P49" s="24" t="s">
        <v>415</v>
      </c>
      <c r="Q49" s="24" t="s">
        <v>416</v>
      </c>
      <c r="R49" s="24" t="s">
        <v>417</v>
      </c>
      <c r="S49" s="24" t="s">
        <v>418</v>
      </c>
      <c r="T49" s="23" t="s">
        <v>126</v>
      </c>
      <c r="U49" s="24"/>
      <c r="V49" s="23" t="str">
        <f aca="false">";"&amp;SUBSTITUTE(P49," ","")&amp;";"</f>
        <v>;BSC;</v>
      </c>
    </row>
    <row r="50" customFormat="false" ht="19.4" hidden="false" customHeight="false" outlineLevel="0" collapsed="false">
      <c r="A50" s="23" t="s">
        <v>419</v>
      </c>
      <c r="B50" s="23" t="s">
        <v>314</v>
      </c>
      <c r="C50" s="23" t="s">
        <v>98</v>
      </c>
      <c r="D50" s="24" t="s">
        <v>420</v>
      </c>
      <c r="E50" s="24" t="s">
        <v>421</v>
      </c>
      <c r="F50" s="25" t="n">
        <v>6</v>
      </c>
      <c r="G50" s="25" t="n">
        <v>3</v>
      </c>
      <c r="H50" s="23" t="n">
        <f aca="false">F50+G50-1</f>
        <v>8</v>
      </c>
      <c r="I50" s="24" t="s">
        <v>384</v>
      </c>
      <c r="J50" s="23" t="n">
        <f aca="false">IF(I50="","",SUMPRODUCT(MAX(ISNUMBER(SEARCH(","&amp;$A$7:$A$156&amp;",",","&amp;SUBSTITUTE(I50," ","")&amp;","))*$H$7:$H$156)))</f>
        <v>5</v>
      </c>
      <c r="K50" s="23" t="str">
        <f aca="false">IF(I50="","OK",IF(F50&gt;J50,"OK","VIOLATION"))</f>
        <v>OK</v>
      </c>
      <c r="L50" s="23" t="str">
        <f aca="false">IF(H50&lt;=26,"OK","LATE")</f>
        <v>OK</v>
      </c>
      <c r="M50" s="26" t="n">
        <f aca="false">Overview!$B$4+7*(F50-1)</f>
        <v>46356</v>
      </c>
      <c r="N50" s="26" t="n">
        <f aca="false">Overview!$B$4+7*(H50-1)+4</f>
        <v>46374</v>
      </c>
      <c r="O50" s="23" t="s">
        <v>184</v>
      </c>
      <c r="P50" s="24"/>
      <c r="Q50" s="24" t="s">
        <v>422</v>
      </c>
      <c r="R50" s="24" t="s">
        <v>423</v>
      </c>
      <c r="S50" s="24" t="s">
        <v>424</v>
      </c>
      <c r="T50" s="23" t="s">
        <v>126</v>
      </c>
      <c r="U50" s="24"/>
      <c r="V50" s="23" t="str">
        <f aca="false">";"&amp;SUBSTITUTE(P50," ","")&amp;";"</f>
        <v>;;</v>
      </c>
    </row>
    <row r="51" customFormat="false" ht="55.2" hidden="false" customHeight="false" outlineLevel="0" collapsed="false">
      <c r="A51" s="23" t="s">
        <v>425</v>
      </c>
      <c r="B51" s="23" t="s">
        <v>314</v>
      </c>
      <c r="C51" s="23" t="s">
        <v>181</v>
      </c>
      <c r="D51" s="24" t="s">
        <v>426</v>
      </c>
      <c r="E51" s="24" t="s">
        <v>427</v>
      </c>
      <c r="F51" s="25" t="n">
        <v>3</v>
      </c>
      <c r="G51" s="25" t="n">
        <v>3</v>
      </c>
      <c r="H51" s="23" t="n">
        <f aca="false">F51+G51-1</f>
        <v>5</v>
      </c>
      <c r="I51" s="24" t="s">
        <v>428</v>
      </c>
      <c r="J51" s="23" t="n">
        <f aca="false">IF(I51="","",SUMPRODUCT(MAX(ISNUMBER(SEARCH(","&amp;$A$7:$A$156&amp;",",","&amp;SUBSTITUTE(I51," ","")&amp;","))*$H$7:$H$156)))</f>
        <v>2</v>
      </c>
      <c r="K51" s="23" t="str">
        <f aca="false">IF(I51="","OK",IF(F51&gt;J51,"OK","VIOLATION"))</f>
        <v>OK</v>
      </c>
      <c r="L51" s="23" t="str">
        <f aca="false">IF(H51&lt;=26,"OK","LATE")</f>
        <v>OK</v>
      </c>
      <c r="M51" s="26" t="n">
        <f aca="false">Overview!$B$4+7*(F51-1)</f>
        <v>46335</v>
      </c>
      <c r="N51" s="26" t="n">
        <f aca="false">Overview!$B$4+7*(H51-1)+4</f>
        <v>46353</v>
      </c>
      <c r="O51" s="23" t="s">
        <v>184</v>
      </c>
      <c r="P51" s="24" t="s">
        <v>429</v>
      </c>
      <c r="Q51" s="24" t="s">
        <v>430</v>
      </c>
      <c r="R51" s="24" t="s">
        <v>431</v>
      </c>
      <c r="S51" s="24" t="s">
        <v>432</v>
      </c>
      <c r="T51" s="23" t="s">
        <v>126</v>
      </c>
      <c r="U51" s="24"/>
      <c r="V51" s="23" t="str">
        <f aca="false">";"&amp;SUBSTITUTE(P51," ","")&amp;";"</f>
        <v>;DET;</v>
      </c>
    </row>
    <row r="52" customFormat="false" ht="19.4" hidden="false" customHeight="false" outlineLevel="0" collapsed="false">
      <c r="A52" s="23" t="s">
        <v>433</v>
      </c>
      <c r="B52" s="23" t="s">
        <v>314</v>
      </c>
      <c r="C52" s="23" t="s">
        <v>181</v>
      </c>
      <c r="D52" s="24" t="s">
        <v>434</v>
      </c>
      <c r="E52" s="24" t="s">
        <v>435</v>
      </c>
      <c r="F52" s="25" t="n">
        <v>6</v>
      </c>
      <c r="G52" s="25" t="n">
        <v>2</v>
      </c>
      <c r="H52" s="23" t="n">
        <f aca="false">F52+G52-1</f>
        <v>7</v>
      </c>
      <c r="I52" s="24" t="s">
        <v>436</v>
      </c>
      <c r="J52" s="23" t="n">
        <f aca="false">IF(I52="","",SUMPRODUCT(MAX(ISNUMBER(SEARCH(","&amp;$A$7:$A$156&amp;",",","&amp;SUBSTITUTE(I52," ","")&amp;","))*$H$7:$H$156)))</f>
        <v>5</v>
      </c>
      <c r="K52" s="23" t="str">
        <f aca="false">IF(I52="","OK",IF(F52&gt;J52,"OK","VIOLATION"))</f>
        <v>OK</v>
      </c>
      <c r="L52" s="23" t="str">
        <f aca="false">IF(H52&lt;=26,"OK","LATE")</f>
        <v>OK</v>
      </c>
      <c r="M52" s="26" t="n">
        <f aca="false">Overview!$B$4+7*(F52-1)</f>
        <v>46356</v>
      </c>
      <c r="N52" s="26" t="n">
        <f aca="false">Overview!$B$4+7*(H52-1)+4</f>
        <v>46367</v>
      </c>
      <c r="O52" s="23" t="s">
        <v>429</v>
      </c>
      <c r="P52" s="24" t="s">
        <v>131</v>
      </c>
      <c r="Q52" s="24" t="s">
        <v>437</v>
      </c>
      <c r="R52" s="24" t="s">
        <v>438</v>
      </c>
      <c r="S52" s="24" t="s">
        <v>439</v>
      </c>
      <c r="T52" s="23" t="s">
        <v>126</v>
      </c>
      <c r="U52" s="24"/>
      <c r="V52" s="23" t="str">
        <f aca="false">";"&amp;SUBSTITUTE(P52," ","")&amp;";"</f>
        <v>;ISE;BSE;</v>
      </c>
    </row>
    <row r="53" customFormat="false" ht="37.3" hidden="false" customHeight="false" outlineLevel="0" collapsed="false">
      <c r="A53" s="23" t="s">
        <v>440</v>
      </c>
      <c r="B53" s="23" t="s">
        <v>314</v>
      </c>
      <c r="C53" s="23" t="s">
        <v>181</v>
      </c>
      <c r="D53" s="24" t="s">
        <v>441</v>
      </c>
      <c r="E53" s="24" t="s">
        <v>442</v>
      </c>
      <c r="F53" s="25" t="n">
        <v>6</v>
      </c>
      <c r="G53" s="25" t="n">
        <v>3</v>
      </c>
      <c r="H53" s="23" t="n">
        <f aca="false">F53+G53-1</f>
        <v>8</v>
      </c>
      <c r="I53" s="24" t="s">
        <v>443</v>
      </c>
      <c r="J53" s="23" t="n">
        <f aca="false">IF(I53="","",SUMPRODUCT(MAX(ISNUMBER(SEARCH(","&amp;$A$7:$A$156&amp;",",","&amp;SUBSTITUTE(I53," ","")&amp;","))*$H$7:$H$156)))</f>
        <v>5</v>
      </c>
      <c r="K53" s="23" t="str">
        <f aca="false">IF(I53="","OK",IF(F53&gt;J53,"OK","VIOLATION"))</f>
        <v>OK</v>
      </c>
      <c r="L53" s="23" t="str">
        <f aca="false">IF(H53&lt;=26,"OK","LATE")</f>
        <v>OK</v>
      </c>
      <c r="M53" s="26" t="n">
        <f aca="false">Overview!$B$4+7*(F53-1)</f>
        <v>46356</v>
      </c>
      <c r="N53" s="26" t="n">
        <f aca="false">Overview!$B$4+7*(H53-1)+4</f>
        <v>46374</v>
      </c>
      <c r="O53" s="23" t="s">
        <v>184</v>
      </c>
      <c r="P53" s="24" t="s">
        <v>444</v>
      </c>
      <c r="Q53" s="24" t="s">
        <v>445</v>
      </c>
      <c r="R53" s="24" t="s">
        <v>446</v>
      </c>
      <c r="S53" s="24" t="s">
        <v>447</v>
      </c>
      <c r="T53" s="23" t="s">
        <v>126</v>
      </c>
      <c r="U53" s="24"/>
      <c r="V53" s="23" t="str">
        <f aca="false">";"&amp;SUBSTITUTE(P53," ","")&amp;";"</f>
        <v>;BSE;GRC;PL;</v>
      </c>
    </row>
    <row r="54" customFormat="false" ht="37.3" hidden="false" customHeight="false" outlineLevel="0" collapsed="false">
      <c r="A54" s="23" t="s">
        <v>448</v>
      </c>
      <c r="B54" s="23" t="s">
        <v>314</v>
      </c>
      <c r="C54" s="23" t="s">
        <v>181</v>
      </c>
      <c r="D54" s="24" t="s">
        <v>449</v>
      </c>
      <c r="E54" s="24" t="s">
        <v>450</v>
      </c>
      <c r="F54" s="25" t="n">
        <v>6</v>
      </c>
      <c r="G54" s="25" t="n">
        <v>2</v>
      </c>
      <c r="H54" s="23" t="n">
        <f aca="false">F54+G54-1</f>
        <v>7</v>
      </c>
      <c r="I54" s="24" t="s">
        <v>451</v>
      </c>
      <c r="J54" s="23" t="n">
        <f aca="false">IF(I54="","",SUMPRODUCT(MAX(ISNUMBER(SEARCH(","&amp;$A$7:$A$156&amp;",",","&amp;SUBSTITUTE(I54," ","")&amp;","))*$H$7:$H$156)))</f>
        <v>5</v>
      </c>
      <c r="K54" s="23" t="str">
        <f aca="false">IF(I54="","OK",IF(F54&gt;J54,"OK","VIOLATION"))</f>
        <v>OK</v>
      </c>
      <c r="L54" s="23" t="str">
        <f aca="false">IF(H54&lt;=26,"OK","LATE")</f>
        <v>OK</v>
      </c>
      <c r="M54" s="26" t="n">
        <f aca="false">Overview!$B$4+7*(F54-1)</f>
        <v>46356</v>
      </c>
      <c r="N54" s="26" t="n">
        <f aca="false">Overview!$B$4+7*(H54-1)+4</f>
        <v>46367</v>
      </c>
      <c r="O54" s="23" t="s">
        <v>174</v>
      </c>
      <c r="P54" s="24" t="s">
        <v>175</v>
      </c>
      <c r="Q54" s="24" t="s">
        <v>452</v>
      </c>
      <c r="R54" s="24" t="s">
        <v>453</v>
      </c>
      <c r="S54" s="24" t="s">
        <v>454</v>
      </c>
      <c r="T54" s="23" t="s">
        <v>126</v>
      </c>
      <c r="U54" s="24"/>
      <c r="V54" s="23" t="str">
        <f aca="false">";"&amp;SUBSTITUTE(P54," ","")&amp;";"</f>
        <v>;ENG;</v>
      </c>
    </row>
    <row r="55" customFormat="false" ht="19.4" hidden="false" customHeight="false" outlineLevel="0" collapsed="false">
      <c r="A55" s="23" t="s">
        <v>455</v>
      </c>
      <c r="B55" s="23" t="s">
        <v>314</v>
      </c>
      <c r="C55" s="23" t="s">
        <v>147</v>
      </c>
      <c r="D55" s="24" t="s">
        <v>456</v>
      </c>
      <c r="E55" s="24" t="s">
        <v>457</v>
      </c>
      <c r="F55" s="25" t="n">
        <v>2</v>
      </c>
      <c r="G55" s="25" t="n">
        <v>1</v>
      </c>
      <c r="H55" s="23" t="n">
        <f aca="false">F55+G55-1</f>
        <v>2</v>
      </c>
      <c r="I55" s="24"/>
      <c r="J55" s="23" t="str">
        <f aca="false">IF(I55="","",SUMPRODUCT(MAX(ISNUMBER(SEARCH(","&amp;$A$7:$A$156&amp;",",","&amp;SUBSTITUTE(I55," ","")&amp;","))*$H$7:$H$156)))</f>
        <v/>
      </c>
      <c r="K55" s="23" t="str">
        <f aca="false">IF(I55="","OK",IF(F55&gt;J55,"OK","VIOLATION"))</f>
        <v>OK</v>
      </c>
      <c r="L55" s="23" t="str">
        <f aca="false">IF(H55&lt;=26,"OK","LATE")</f>
        <v>OK</v>
      </c>
      <c r="M55" s="26" t="n">
        <f aca="false">Overview!$B$4+7*(F55-1)</f>
        <v>46328</v>
      </c>
      <c r="N55" s="26" t="n">
        <f aca="false">Overview!$B$4+7*(H55-1)+4</f>
        <v>46332</v>
      </c>
      <c r="O55" s="23" t="s">
        <v>150</v>
      </c>
      <c r="P55" s="24"/>
      <c r="Q55" s="24" t="s">
        <v>458</v>
      </c>
      <c r="R55" s="24" t="s">
        <v>459</v>
      </c>
      <c r="S55" s="24" t="s">
        <v>460</v>
      </c>
      <c r="T55" s="23" t="s">
        <v>126</v>
      </c>
      <c r="U55" s="24"/>
      <c r="V55" s="23" t="str">
        <f aca="false">";"&amp;SUBSTITUTE(P55," ","")&amp;";"</f>
        <v>;;</v>
      </c>
    </row>
    <row r="56" customFormat="false" ht="37.3" hidden="false" customHeight="false" outlineLevel="0" collapsed="false">
      <c r="A56" s="23" t="s">
        <v>461</v>
      </c>
      <c r="B56" s="23" t="s">
        <v>314</v>
      </c>
      <c r="C56" s="23" t="s">
        <v>147</v>
      </c>
      <c r="D56" s="24" t="s">
        <v>462</v>
      </c>
      <c r="E56" s="24" t="s">
        <v>463</v>
      </c>
      <c r="F56" s="25" t="n">
        <v>2</v>
      </c>
      <c r="G56" s="25" t="n">
        <v>3</v>
      </c>
      <c r="H56" s="23" t="n">
        <f aca="false">F56+G56-1</f>
        <v>4</v>
      </c>
      <c r="I56" s="24" t="s">
        <v>155</v>
      </c>
      <c r="J56" s="23" t="n">
        <f aca="false">IF(I56="","",SUMPRODUCT(MAX(ISNUMBER(SEARCH(","&amp;$A$7:$A$156&amp;",",","&amp;SUBSTITUTE(I56," ","")&amp;","))*$H$7:$H$156)))</f>
        <v>1</v>
      </c>
      <c r="K56" s="23" t="str">
        <f aca="false">IF(I56="","OK",IF(F56&gt;J56,"OK","VIOLATION"))</f>
        <v>OK</v>
      </c>
      <c r="L56" s="23" t="str">
        <f aca="false">IF(H56&lt;=26,"OK","LATE")</f>
        <v>OK</v>
      </c>
      <c r="M56" s="26" t="n">
        <f aca="false">Overview!$B$4+7*(F56-1)</f>
        <v>46328</v>
      </c>
      <c r="N56" s="26" t="n">
        <f aca="false">Overview!$B$4+7*(H56-1)+4</f>
        <v>46346</v>
      </c>
      <c r="O56" s="23" t="s">
        <v>150</v>
      </c>
      <c r="P56" s="24"/>
      <c r="Q56" s="24" t="s">
        <v>464</v>
      </c>
      <c r="R56" s="24" t="s">
        <v>465</v>
      </c>
      <c r="S56" s="24" t="s">
        <v>466</v>
      </c>
      <c r="T56" s="23" t="s">
        <v>126</v>
      </c>
      <c r="U56" s="24"/>
      <c r="V56" s="23" t="str">
        <f aca="false">";"&amp;SUBSTITUTE(P56," ","")&amp;";"</f>
        <v>;;</v>
      </c>
    </row>
    <row r="57" customFormat="false" ht="28.35" hidden="false" customHeight="false" outlineLevel="0" collapsed="false">
      <c r="A57" s="23" t="s">
        <v>467</v>
      </c>
      <c r="B57" s="23" t="s">
        <v>314</v>
      </c>
      <c r="C57" s="23" t="s">
        <v>147</v>
      </c>
      <c r="D57" s="24" t="s">
        <v>468</v>
      </c>
      <c r="E57" s="24" t="s">
        <v>469</v>
      </c>
      <c r="F57" s="25" t="n">
        <v>3</v>
      </c>
      <c r="G57" s="25" t="n">
        <v>3</v>
      </c>
      <c r="H57" s="23" t="n">
        <f aca="false">F57+G57-1</f>
        <v>5</v>
      </c>
      <c r="I57" s="24"/>
      <c r="J57" s="23" t="str">
        <f aca="false">IF(I57="","",SUMPRODUCT(MAX(ISNUMBER(SEARCH(","&amp;$A$7:$A$156&amp;",",","&amp;SUBSTITUTE(I57," ","")&amp;","))*$H$7:$H$156)))</f>
        <v/>
      </c>
      <c r="K57" s="23" t="str">
        <f aca="false">IF(I57="","OK",IF(F57&gt;J57,"OK","VIOLATION"))</f>
        <v>OK</v>
      </c>
      <c r="L57" s="23" t="str">
        <f aca="false">IF(H57&lt;=26,"OK","LATE")</f>
        <v>OK</v>
      </c>
      <c r="M57" s="26" t="n">
        <f aca="false">Overview!$B$4+7*(F57-1)</f>
        <v>46335</v>
      </c>
      <c r="N57" s="26" t="n">
        <f aca="false">Overview!$B$4+7*(H57-1)+4</f>
        <v>46353</v>
      </c>
      <c r="O57" s="23" t="s">
        <v>150</v>
      </c>
      <c r="P57" s="24" t="s">
        <v>415</v>
      </c>
      <c r="Q57" s="24" t="s">
        <v>470</v>
      </c>
      <c r="R57" s="24" t="s">
        <v>471</v>
      </c>
      <c r="S57" s="24" t="s">
        <v>472</v>
      </c>
      <c r="T57" s="23" t="s">
        <v>126</v>
      </c>
      <c r="U57" s="27" t="s">
        <v>473</v>
      </c>
      <c r="V57" s="23" t="str">
        <f aca="false">";"&amp;SUBSTITUTE(P57," ","")&amp;";"</f>
        <v>;BSC;</v>
      </c>
    </row>
    <row r="58" customFormat="false" ht="19.4" hidden="false" customHeight="false" outlineLevel="0" collapsed="false">
      <c r="A58" s="23" t="s">
        <v>474</v>
      </c>
      <c r="B58" s="23" t="s">
        <v>314</v>
      </c>
      <c r="C58" s="23" t="s">
        <v>147</v>
      </c>
      <c r="D58" s="24" t="s">
        <v>475</v>
      </c>
      <c r="E58" s="24" t="s">
        <v>476</v>
      </c>
      <c r="F58" s="25" t="n">
        <v>3</v>
      </c>
      <c r="G58" s="25" t="n">
        <v>3</v>
      </c>
      <c r="H58" s="23" t="n">
        <f aca="false">F58+G58-1</f>
        <v>5</v>
      </c>
      <c r="I58" s="24" t="s">
        <v>455</v>
      </c>
      <c r="J58" s="23" t="n">
        <f aca="false">IF(I58="","",SUMPRODUCT(MAX(ISNUMBER(SEARCH(","&amp;$A$7:$A$156&amp;",",","&amp;SUBSTITUTE(I58," ","")&amp;","))*$H$7:$H$156)))</f>
        <v>2</v>
      </c>
      <c r="K58" s="23" t="str">
        <f aca="false">IF(I58="","OK",IF(F58&gt;J58,"OK","VIOLATION"))</f>
        <v>OK</v>
      </c>
      <c r="L58" s="23" t="str">
        <f aca="false">IF(H58&lt;=26,"OK","LATE")</f>
        <v>OK</v>
      </c>
      <c r="M58" s="26" t="n">
        <f aca="false">Overview!$B$4+7*(F58-1)</f>
        <v>46335</v>
      </c>
      <c r="N58" s="26" t="n">
        <f aca="false">Overview!$B$4+7*(H58-1)+4</f>
        <v>46353</v>
      </c>
      <c r="O58" s="23" t="s">
        <v>150</v>
      </c>
      <c r="P58" s="24" t="s">
        <v>184</v>
      </c>
      <c r="Q58" s="24" t="s">
        <v>477</v>
      </c>
      <c r="R58" s="24" t="s">
        <v>478</v>
      </c>
      <c r="S58" s="24" t="s">
        <v>479</v>
      </c>
      <c r="T58" s="23" t="s">
        <v>126</v>
      </c>
      <c r="U58" s="24"/>
      <c r="V58" s="23" t="str">
        <f aca="false">";"&amp;SUBSTITUTE(P58," ","")&amp;";"</f>
        <v>;ISE;</v>
      </c>
    </row>
    <row r="59" customFormat="false" ht="28.35" hidden="false" customHeight="false" outlineLevel="0" collapsed="false">
      <c r="A59" s="23" t="s">
        <v>480</v>
      </c>
      <c r="B59" s="23" t="s">
        <v>314</v>
      </c>
      <c r="C59" s="23" t="s">
        <v>147</v>
      </c>
      <c r="D59" s="24" t="s">
        <v>481</v>
      </c>
      <c r="E59" s="24" t="s">
        <v>482</v>
      </c>
      <c r="F59" s="25" t="n">
        <v>5</v>
      </c>
      <c r="G59" s="25" t="n">
        <v>4</v>
      </c>
      <c r="H59" s="23" t="n">
        <f aca="false">F59+G59-1</f>
        <v>8</v>
      </c>
      <c r="I59" s="24" t="s">
        <v>483</v>
      </c>
      <c r="J59" s="23" t="n">
        <f aca="false">IF(I59="","",SUMPRODUCT(MAX(ISNUMBER(SEARCH(","&amp;$A$7:$A$156&amp;",",","&amp;SUBSTITUTE(I59," ","")&amp;","))*$H$7:$H$156)))</f>
        <v>4</v>
      </c>
      <c r="K59" s="23" t="str">
        <f aca="false">IF(I59="","OK",IF(F59&gt;J59,"OK","VIOLATION"))</f>
        <v>OK</v>
      </c>
      <c r="L59" s="23" t="str">
        <f aca="false">IF(H59&lt;=26,"OK","LATE")</f>
        <v>OK</v>
      </c>
      <c r="M59" s="26" t="n">
        <f aca="false">Overview!$B$4+7*(F59-1)</f>
        <v>46349</v>
      </c>
      <c r="N59" s="26" t="n">
        <f aca="false">Overview!$B$4+7*(H59-1)+4</f>
        <v>46374</v>
      </c>
      <c r="O59" s="23" t="s">
        <v>158</v>
      </c>
      <c r="P59" s="24" t="s">
        <v>484</v>
      </c>
      <c r="Q59" s="24" t="s">
        <v>485</v>
      </c>
      <c r="R59" s="24" t="s">
        <v>486</v>
      </c>
      <c r="S59" s="24" t="s">
        <v>487</v>
      </c>
      <c r="T59" s="23" t="s">
        <v>126</v>
      </c>
      <c r="U59" s="24"/>
      <c r="V59" s="23" t="str">
        <f aca="false">";"&amp;SUBSTITUTE(P59," ","")&amp;";"</f>
        <v>;BSE;GRC;</v>
      </c>
    </row>
    <row r="60" customFormat="false" ht="28.35" hidden="false" customHeight="false" outlineLevel="0" collapsed="false">
      <c r="A60" s="23" t="s">
        <v>488</v>
      </c>
      <c r="B60" s="23" t="s">
        <v>314</v>
      </c>
      <c r="C60" s="23" t="s">
        <v>147</v>
      </c>
      <c r="D60" s="24" t="s">
        <v>489</v>
      </c>
      <c r="E60" s="24" t="s">
        <v>490</v>
      </c>
      <c r="F60" s="25" t="n">
        <v>6</v>
      </c>
      <c r="G60" s="25" t="n">
        <v>4</v>
      </c>
      <c r="H60" s="23" t="n">
        <f aca="false">F60+G60-1</f>
        <v>9</v>
      </c>
      <c r="I60" s="24" t="s">
        <v>491</v>
      </c>
      <c r="J60" s="23" t="n">
        <f aca="false">IF(I60="","",SUMPRODUCT(MAX(ISNUMBER(SEARCH(","&amp;$A$7:$A$156&amp;",",","&amp;SUBSTITUTE(I60," ","")&amp;","))*$H$7:$H$156)))</f>
        <v>2</v>
      </c>
      <c r="K60" s="23" t="str">
        <f aca="false">IF(I60="","OK",IF(F60&gt;J60,"OK","VIOLATION"))</f>
        <v>OK</v>
      </c>
      <c r="L60" s="23" t="str">
        <f aca="false">IF(H60&lt;=26,"OK","LATE")</f>
        <v>OK</v>
      </c>
      <c r="M60" s="26" t="n">
        <f aca="false">Overview!$B$4+7*(F60-1)</f>
        <v>46356</v>
      </c>
      <c r="N60" s="26" t="n">
        <f aca="false">Overview!$B$4+7*(H60-1)+4</f>
        <v>46381</v>
      </c>
      <c r="O60" s="23" t="s">
        <v>150</v>
      </c>
      <c r="P60" s="24" t="s">
        <v>158</v>
      </c>
      <c r="Q60" s="24" t="s">
        <v>492</v>
      </c>
      <c r="R60" s="24" t="s">
        <v>493</v>
      </c>
      <c r="S60" s="24" t="s">
        <v>494</v>
      </c>
      <c r="T60" s="23" t="s">
        <v>126</v>
      </c>
      <c r="U60" s="24"/>
      <c r="V60" s="23" t="str">
        <f aca="false">";"&amp;SUBSTITUTE(P60," ","")&amp;";"</f>
        <v>;CSO;</v>
      </c>
    </row>
    <row r="61" customFormat="false" ht="46.25" hidden="false" customHeight="false" outlineLevel="0" collapsed="false">
      <c r="A61" s="23" t="s">
        <v>495</v>
      </c>
      <c r="B61" s="23" t="s">
        <v>314</v>
      </c>
      <c r="C61" s="23" t="s">
        <v>147</v>
      </c>
      <c r="D61" s="24" t="s">
        <v>496</v>
      </c>
      <c r="E61" s="24" t="s">
        <v>497</v>
      </c>
      <c r="F61" s="25" t="n">
        <v>5</v>
      </c>
      <c r="G61" s="25" t="n">
        <v>3</v>
      </c>
      <c r="H61" s="23" t="n">
        <f aca="false">F61+G61-1</f>
        <v>7</v>
      </c>
      <c r="I61" s="24" t="s">
        <v>461</v>
      </c>
      <c r="J61" s="23" t="n">
        <f aca="false">IF(I61="","",SUMPRODUCT(MAX(ISNUMBER(SEARCH(","&amp;$A$7:$A$156&amp;",",","&amp;SUBSTITUTE(I61," ","")&amp;","))*$H$7:$H$156)))</f>
        <v>4</v>
      </c>
      <c r="K61" s="23" t="str">
        <f aca="false">IF(I61="","OK",IF(F61&gt;J61,"OK","VIOLATION"))</f>
        <v>OK</v>
      </c>
      <c r="L61" s="23" t="str">
        <f aca="false">IF(H61&lt;=26,"OK","LATE")</f>
        <v>OK</v>
      </c>
      <c r="M61" s="26" t="n">
        <f aca="false">Overview!$B$4+7*(F61-1)</f>
        <v>46349</v>
      </c>
      <c r="N61" s="26" t="n">
        <f aca="false">Overview!$B$4+7*(H61-1)+4</f>
        <v>46367</v>
      </c>
      <c r="O61" s="23" t="s">
        <v>415</v>
      </c>
      <c r="P61" s="24" t="s">
        <v>498</v>
      </c>
      <c r="Q61" s="24" t="s">
        <v>499</v>
      </c>
      <c r="R61" s="24" t="s">
        <v>500</v>
      </c>
      <c r="S61" s="24" t="s">
        <v>501</v>
      </c>
      <c r="T61" s="23" t="s">
        <v>126</v>
      </c>
      <c r="U61" s="24"/>
      <c r="V61" s="23" t="str">
        <f aca="false">";"&amp;SUBSTITUTE(P61," ","")&amp;";"</f>
        <v>;BSE;ENG;</v>
      </c>
    </row>
    <row r="62" customFormat="false" ht="19.4" hidden="false" customHeight="false" outlineLevel="0" collapsed="false">
      <c r="A62" s="23" t="s">
        <v>502</v>
      </c>
      <c r="B62" s="23" t="s">
        <v>314</v>
      </c>
      <c r="C62" s="23" t="s">
        <v>147</v>
      </c>
      <c r="D62" s="24" t="s">
        <v>503</v>
      </c>
      <c r="E62" s="24" t="s">
        <v>504</v>
      </c>
      <c r="F62" s="25" t="n">
        <v>5</v>
      </c>
      <c r="G62" s="25" t="n">
        <v>2</v>
      </c>
      <c r="H62" s="23" t="n">
        <f aca="false">F62+G62-1</f>
        <v>6</v>
      </c>
      <c r="I62" s="24" t="s">
        <v>505</v>
      </c>
      <c r="J62" s="23" t="n">
        <f aca="false">IF(I62="","",SUMPRODUCT(MAX(ISNUMBER(SEARCH(","&amp;$A$7:$A$156&amp;",",","&amp;SUBSTITUTE(I62," ","")&amp;","))*$H$7:$H$156)))</f>
        <v>2</v>
      </c>
      <c r="K62" s="23" t="str">
        <f aca="false">IF(I62="","OK",IF(F62&gt;J62,"OK","VIOLATION"))</f>
        <v>OK</v>
      </c>
      <c r="L62" s="23" t="str">
        <f aca="false">IF(H62&lt;=26,"OK","LATE")</f>
        <v>OK</v>
      </c>
      <c r="M62" s="26" t="n">
        <f aca="false">Overview!$B$4+7*(F62-1)</f>
        <v>46349</v>
      </c>
      <c r="N62" s="26" t="n">
        <f aca="false">Overview!$B$4+7*(H62-1)+4</f>
        <v>46360</v>
      </c>
      <c r="O62" s="23" t="s">
        <v>150</v>
      </c>
      <c r="P62" s="24" t="s">
        <v>429</v>
      </c>
      <c r="Q62" s="24" t="s">
        <v>477</v>
      </c>
      <c r="R62" s="24" t="s">
        <v>506</v>
      </c>
      <c r="S62" s="24" t="s">
        <v>507</v>
      </c>
      <c r="T62" s="23" t="s">
        <v>126</v>
      </c>
      <c r="U62" s="24"/>
      <c r="V62" s="23" t="str">
        <f aca="false">";"&amp;SUBSTITUTE(P62," ","")&amp;";"</f>
        <v>;DET;</v>
      </c>
    </row>
    <row r="63" customFormat="false" ht="19.4" hidden="false" customHeight="false" outlineLevel="0" collapsed="false">
      <c r="A63" s="23" t="s">
        <v>508</v>
      </c>
      <c r="B63" s="23" t="s">
        <v>314</v>
      </c>
      <c r="C63" s="23" t="s">
        <v>137</v>
      </c>
      <c r="D63" s="24" t="s">
        <v>509</v>
      </c>
      <c r="E63" s="24" t="s">
        <v>510</v>
      </c>
      <c r="F63" s="25" t="n">
        <v>4</v>
      </c>
      <c r="G63" s="25" t="n">
        <v>4</v>
      </c>
      <c r="H63" s="23" t="n">
        <f aca="false">F63+G63-1</f>
        <v>7</v>
      </c>
      <c r="I63" s="24" t="s">
        <v>214</v>
      </c>
      <c r="J63" s="23" t="n">
        <f aca="false">IF(I63="","",SUMPRODUCT(MAX(ISNUMBER(SEARCH(","&amp;$A$7:$A$156&amp;",",","&amp;SUBSTITUTE(I63," ","")&amp;","))*$H$7:$H$156)))</f>
        <v>1</v>
      </c>
      <c r="K63" s="23" t="str">
        <f aca="false">IF(I63="","OK",IF(F63&gt;J63,"OK","VIOLATION"))</f>
        <v>OK</v>
      </c>
      <c r="L63" s="23" t="str">
        <f aca="false">IF(H63&lt;=26,"OK","LATE")</f>
        <v>OK</v>
      </c>
      <c r="M63" s="26" t="n">
        <f aca="false">Overview!$B$4+7*(F63-1)</f>
        <v>46342</v>
      </c>
      <c r="N63" s="26" t="n">
        <f aca="false">Overview!$B$4+7*(H63-1)+4</f>
        <v>46367</v>
      </c>
      <c r="O63" s="23" t="s">
        <v>284</v>
      </c>
      <c r="P63" s="24"/>
      <c r="Q63" s="24" t="s">
        <v>511</v>
      </c>
      <c r="R63" s="24" t="s">
        <v>512</v>
      </c>
      <c r="S63" s="24" t="s">
        <v>513</v>
      </c>
      <c r="T63" s="23" t="s">
        <v>126</v>
      </c>
      <c r="U63" s="24"/>
      <c r="V63" s="23" t="str">
        <f aca="false">";"&amp;SUBSTITUTE(P63," ","")&amp;";"</f>
        <v>;;</v>
      </c>
    </row>
    <row r="64" customFormat="false" ht="19.4" hidden="false" customHeight="false" outlineLevel="0" collapsed="false">
      <c r="A64" s="23" t="s">
        <v>514</v>
      </c>
      <c r="B64" s="23" t="s">
        <v>314</v>
      </c>
      <c r="C64" s="23" t="s">
        <v>137</v>
      </c>
      <c r="D64" s="24" t="s">
        <v>515</v>
      </c>
      <c r="E64" s="24" t="s">
        <v>516</v>
      </c>
      <c r="F64" s="25" t="n">
        <v>5</v>
      </c>
      <c r="G64" s="25" t="n">
        <v>4</v>
      </c>
      <c r="H64" s="23" t="n">
        <f aca="false">F64+G64-1</f>
        <v>8</v>
      </c>
      <c r="I64" s="24" t="s">
        <v>517</v>
      </c>
      <c r="J64" s="23" t="n">
        <f aca="false">IF(I64="","",SUMPRODUCT(MAX(ISNUMBER(SEARCH(","&amp;$A$7:$A$156&amp;",",","&amp;SUBSTITUTE(I64," ","")&amp;","))*$H$7:$H$156)))</f>
        <v>4</v>
      </c>
      <c r="K64" s="23" t="str">
        <f aca="false">IF(I64="","OK",IF(F64&gt;J64,"OK","VIOLATION"))</f>
        <v>OK</v>
      </c>
      <c r="L64" s="23" t="str">
        <f aca="false">IF(H64&lt;=26,"OK","LATE")</f>
        <v>OK</v>
      </c>
      <c r="M64" s="26" t="n">
        <f aca="false">Overview!$B$4+7*(F64-1)</f>
        <v>46349</v>
      </c>
      <c r="N64" s="26" t="n">
        <f aca="false">Overview!$B$4+7*(H64-1)+4</f>
        <v>46374</v>
      </c>
      <c r="O64" s="23" t="s">
        <v>284</v>
      </c>
      <c r="P64" s="24" t="s">
        <v>140</v>
      </c>
      <c r="Q64" s="24" t="s">
        <v>518</v>
      </c>
      <c r="R64" s="24" t="s">
        <v>519</v>
      </c>
      <c r="S64" s="24" t="s">
        <v>520</v>
      </c>
      <c r="T64" s="23" t="s">
        <v>126</v>
      </c>
      <c r="U64" s="24"/>
      <c r="V64" s="23" t="str">
        <f aca="false">";"&amp;SUBSTITUTE(P64," ","")&amp;";"</f>
        <v>;GRC;</v>
      </c>
    </row>
    <row r="65" customFormat="false" ht="28.35" hidden="false" customHeight="false" outlineLevel="0" collapsed="false">
      <c r="A65" s="23" t="s">
        <v>521</v>
      </c>
      <c r="B65" s="23" t="s">
        <v>314</v>
      </c>
      <c r="C65" s="23" t="s">
        <v>137</v>
      </c>
      <c r="D65" s="24" t="s">
        <v>522</v>
      </c>
      <c r="E65" s="24" t="s">
        <v>523</v>
      </c>
      <c r="F65" s="25" t="n">
        <v>5</v>
      </c>
      <c r="G65" s="25" t="n">
        <v>3</v>
      </c>
      <c r="H65" s="23" t="n">
        <f aca="false">F65+G65-1</f>
        <v>7</v>
      </c>
      <c r="I65" s="24" t="s">
        <v>524</v>
      </c>
      <c r="J65" s="23" t="n">
        <f aca="false">IF(I65="","",SUMPRODUCT(MAX(ISNUMBER(SEARCH(","&amp;$A$7:$A$156&amp;",",","&amp;SUBSTITUTE(I65," ","")&amp;","))*$H$7:$H$156)))</f>
        <v>4</v>
      </c>
      <c r="K65" s="23" t="str">
        <f aca="false">IF(I65="","OK",IF(F65&gt;J65,"OK","VIOLATION"))</f>
        <v>OK</v>
      </c>
      <c r="L65" s="23" t="str">
        <f aca="false">IF(H65&lt;=26,"OK","LATE")</f>
        <v>OK</v>
      </c>
      <c r="M65" s="26" t="n">
        <f aca="false">Overview!$B$4+7*(F65-1)</f>
        <v>46349</v>
      </c>
      <c r="N65" s="26" t="n">
        <f aca="false">Overview!$B$4+7*(H65-1)+4</f>
        <v>46367</v>
      </c>
      <c r="O65" s="23" t="s">
        <v>140</v>
      </c>
      <c r="P65" s="24" t="s">
        <v>525</v>
      </c>
      <c r="Q65" s="24" t="s">
        <v>526</v>
      </c>
      <c r="R65" s="24" t="s">
        <v>527</v>
      </c>
      <c r="S65" s="24" t="s">
        <v>528</v>
      </c>
      <c r="T65" s="23" t="s">
        <v>126</v>
      </c>
      <c r="U65" s="24"/>
      <c r="V65" s="23" t="str">
        <f aca="false">";"&amp;SUBSTITUTE(P65," ","")&amp;";"</f>
        <v>;GRCC;CPA;</v>
      </c>
    </row>
    <row r="66" customFormat="false" ht="19.4" hidden="false" customHeight="false" outlineLevel="0" collapsed="false">
      <c r="A66" s="23" t="s">
        <v>529</v>
      </c>
      <c r="B66" s="23" t="s">
        <v>314</v>
      </c>
      <c r="C66" s="23" t="s">
        <v>137</v>
      </c>
      <c r="D66" s="24" t="s">
        <v>530</v>
      </c>
      <c r="E66" s="24" t="s">
        <v>531</v>
      </c>
      <c r="F66" s="25" t="n">
        <v>6</v>
      </c>
      <c r="G66" s="25" t="n">
        <v>4</v>
      </c>
      <c r="H66" s="23" t="n">
        <f aca="false">F66+G66-1</f>
        <v>9</v>
      </c>
      <c r="I66" s="24" t="s">
        <v>262</v>
      </c>
      <c r="J66" s="23" t="n">
        <f aca="false">IF(I66="","",SUMPRODUCT(MAX(ISNUMBER(SEARCH(","&amp;$A$7:$A$156&amp;",",","&amp;SUBSTITUTE(I66," ","")&amp;","))*$H$7:$H$156)))</f>
        <v>4</v>
      </c>
      <c r="K66" s="23" t="str">
        <f aca="false">IF(I66="","OK",IF(F66&gt;J66,"OK","VIOLATION"))</f>
        <v>OK</v>
      </c>
      <c r="L66" s="23" t="str">
        <f aca="false">IF(H66&lt;=26,"OK","LATE")</f>
        <v>OK</v>
      </c>
      <c r="M66" s="26" t="n">
        <f aca="false">Overview!$B$4+7*(F66-1)</f>
        <v>46356</v>
      </c>
      <c r="N66" s="26" t="n">
        <f aca="false">Overview!$B$4+7*(H66-1)+4</f>
        <v>46381</v>
      </c>
      <c r="O66" s="23" t="s">
        <v>140</v>
      </c>
      <c r="P66" s="24" t="s">
        <v>158</v>
      </c>
      <c r="Q66" s="24" t="s">
        <v>532</v>
      </c>
      <c r="R66" s="24" t="s">
        <v>533</v>
      </c>
      <c r="S66" s="24" t="s">
        <v>534</v>
      </c>
      <c r="T66" s="23" t="s">
        <v>126</v>
      </c>
      <c r="U66" s="24"/>
      <c r="V66" s="23" t="str">
        <f aca="false">";"&amp;SUBSTITUTE(P66," ","")&amp;";"</f>
        <v>;CSO;</v>
      </c>
    </row>
    <row r="67" customFormat="false" ht="19.4" hidden="false" customHeight="false" outlineLevel="0" collapsed="false">
      <c r="A67" s="23" t="s">
        <v>535</v>
      </c>
      <c r="B67" s="23" t="s">
        <v>314</v>
      </c>
      <c r="C67" s="23" t="s">
        <v>137</v>
      </c>
      <c r="D67" s="24" t="s">
        <v>536</v>
      </c>
      <c r="E67" s="24" t="s">
        <v>537</v>
      </c>
      <c r="F67" s="25" t="n">
        <v>6</v>
      </c>
      <c r="G67" s="25" t="n">
        <v>2</v>
      </c>
      <c r="H67" s="23" t="n">
        <f aca="false">F67+G67-1</f>
        <v>7</v>
      </c>
      <c r="I67" s="24" t="s">
        <v>538</v>
      </c>
      <c r="J67" s="23" t="n">
        <f aca="false">IF(I67="","",SUMPRODUCT(MAX(ISNUMBER(SEARCH(","&amp;$A$7:$A$156&amp;",",","&amp;SUBSTITUTE(I67," ","")&amp;","))*$H$7:$H$156)))</f>
        <v>3</v>
      </c>
      <c r="K67" s="23" t="str">
        <f aca="false">IF(I67="","OK",IF(F67&gt;J67,"OK","VIOLATION"))</f>
        <v>OK</v>
      </c>
      <c r="L67" s="23" t="str">
        <f aca="false">IF(H67&lt;=26,"OK","LATE")</f>
        <v>OK</v>
      </c>
      <c r="M67" s="26" t="n">
        <f aca="false">Overview!$B$4+7*(F67-1)</f>
        <v>46356</v>
      </c>
      <c r="N67" s="26" t="n">
        <f aca="false">Overview!$B$4+7*(H67-1)+4</f>
        <v>46367</v>
      </c>
      <c r="O67" s="23" t="s">
        <v>140</v>
      </c>
      <c r="P67" s="24" t="s">
        <v>121</v>
      </c>
      <c r="Q67" s="24" t="s">
        <v>539</v>
      </c>
      <c r="R67" s="24" t="s">
        <v>540</v>
      </c>
      <c r="S67" s="24" t="s">
        <v>541</v>
      </c>
      <c r="T67" s="23" t="s">
        <v>126</v>
      </c>
      <c r="U67" s="24"/>
      <c r="V67" s="23" t="str">
        <f aca="false">";"&amp;SUBSTITUTE(P67," ","")&amp;";"</f>
        <v>;PL;</v>
      </c>
    </row>
    <row r="68" customFormat="false" ht="19.4" hidden="false" customHeight="false" outlineLevel="0" collapsed="false">
      <c r="A68" s="23" t="s">
        <v>542</v>
      </c>
      <c r="B68" s="23" t="s">
        <v>314</v>
      </c>
      <c r="C68" s="23" t="s">
        <v>137</v>
      </c>
      <c r="D68" s="24" t="s">
        <v>543</v>
      </c>
      <c r="E68" s="24" t="s">
        <v>544</v>
      </c>
      <c r="F68" s="25" t="n">
        <v>6</v>
      </c>
      <c r="G68" s="25" t="n">
        <v>4</v>
      </c>
      <c r="H68" s="23" t="n">
        <f aca="false">F68+G68-1</f>
        <v>9</v>
      </c>
      <c r="I68" s="24" t="s">
        <v>281</v>
      </c>
      <c r="J68" s="23" t="n">
        <f aca="false">IF(I68="","",SUMPRODUCT(MAX(ISNUMBER(SEARCH(","&amp;$A$7:$A$156&amp;",",","&amp;SUBSTITUTE(I68," ","")&amp;","))*$H$7:$H$156)))</f>
        <v>4</v>
      </c>
      <c r="K68" s="23" t="str">
        <f aca="false">IF(I68="","OK",IF(F68&gt;J68,"OK","VIOLATION"))</f>
        <v>OK</v>
      </c>
      <c r="L68" s="23" t="str">
        <f aca="false">IF(H68&lt;=26,"OK","LATE")</f>
        <v>OK</v>
      </c>
      <c r="M68" s="26" t="n">
        <f aca="false">Overview!$B$4+7*(F68-1)</f>
        <v>46356</v>
      </c>
      <c r="N68" s="26" t="n">
        <f aca="false">Overview!$B$4+7*(H68-1)+4</f>
        <v>46381</v>
      </c>
      <c r="O68" s="23" t="s">
        <v>284</v>
      </c>
      <c r="P68" s="24"/>
      <c r="Q68" s="24" t="s">
        <v>545</v>
      </c>
      <c r="R68" s="24" t="s">
        <v>546</v>
      </c>
      <c r="S68" s="24" t="s">
        <v>287</v>
      </c>
      <c r="T68" s="23" t="s">
        <v>126</v>
      </c>
      <c r="U68" s="24"/>
      <c r="V68" s="23" t="str">
        <f aca="false">";"&amp;SUBSTITUTE(P68," ","")&amp;";"</f>
        <v>;;</v>
      </c>
    </row>
    <row r="69" customFormat="false" ht="19.4" hidden="false" customHeight="false" outlineLevel="0" collapsed="false">
      <c r="A69" s="23" t="s">
        <v>547</v>
      </c>
      <c r="B69" s="23" t="s">
        <v>314</v>
      </c>
      <c r="C69" s="23" t="s">
        <v>118</v>
      </c>
      <c r="D69" s="24" t="s">
        <v>548</v>
      </c>
      <c r="E69" s="24" t="s">
        <v>549</v>
      </c>
      <c r="F69" s="25" t="n">
        <v>6</v>
      </c>
      <c r="G69" s="25" t="n">
        <v>1</v>
      </c>
      <c r="H69" s="23" t="n">
        <f aca="false">F69+G69-1</f>
        <v>6</v>
      </c>
      <c r="I69" s="24" t="s">
        <v>550</v>
      </c>
      <c r="J69" s="23" t="n">
        <f aca="false">IF(I69="","",SUMPRODUCT(MAX(ISNUMBER(SEARCH(","&amp;$A$7:$A$156&amp;",",","&amp;SUBSTITUTE(I69," ","")&amp;","))*$H$7:$H$156)))</f>
        <v>5</v>
      </c>
      <c r="K69" s="23" t="str">
        <f aca="false">IF(I69="","OK",IF(F69&gt;J69,"OK","VIOLATION"))</f>
        <v>OK</v>
      </c>
      <c r="L69" s="23" t="str">
        <f aca="false">IF(H69&lt;=26,"OK","LATE")</f>
        <v>OK</v>
      </c>
      <c r="M69" s="26" t="n">
        <f aca="false">Overview!$B$4+7*(F69-1)</f>
        <v>46356</v>
      </c>
      <c r="N69" s="26" t="n">
        <f aca="false">Overview!$B$4+7*(H69-1)+4</f>
        <v>46360</v>
      </c>
      <c r="O69" s="23" t="s">
        <v>121</v>
      </c>
      <c r="P69" s="24" t="s">
        <v>551</v>
      </c>
      <c r="Q69" s="24" t="s">
        <v>552</v>
      </c>
      <c r="R69" s="24" t="s">
        <v>553</v>
      </c>
      <c r="S69" s="24" t="s">
        <v>554</v>
      </c>
      <c r="T69" s="23" t="s">
        <v>126</v>
      </c>
      <c r="U69" s="24"/>
      <c r="V69" s="23" t="str">
        <f aca="false">";"&amp;SUBSTITUTE(P69," ","")&amp;";"</f>
        <v>;CSE;ISE;</v>
      </c>
    </row>
    <row r="70" customFormat="false" ht="19.4" hidden="false" customHeight="false" outlineLevel="0" collapsed="false">
      <c r="A70" s="23" t="s">
        <v>555</v>
      </c>
      <c r="B70" s="23" t="s">
        <v>314</v>
      </c>
      <c r="C70" s="23" t="s">
        <v>137</v>
      </c>
      <c r="D70" s="24" t="s">
        <v>556</v>
      </c>
      <c r="E70" s="24" t="s">
        <v>557</v>
      </c>
      <c r="F70" s="25" t="n">
        <v>8</v>
      </c>
      <c r="G70" s="25" t="n">
        <v>2</v>
      </c>
      <c r="H70" s="23" t="n">
        <f aca="false">F70+G70-1</f>
        <v>9</v>
      </c>
      <c r="I70" s="24" t="s">
        <v>558</v>
      </c>
      <c r="J70" s="23" t="n">
        <f aca="false">IF(I70="","",SUMPRODUCT(MAX(ISNUMBER(SEARCH(","&amp;$A$7:$A$156&amp;",",","&amp;SUBSTITUTE(I70," ","")&amp;","))*$H$7:$H$156)))</f>
        <v>7</v>
      </c>
      <c r="K70" s="23" t="str">
        <f aca="false">IF(I70="","OK",IF(F70&gt;J70,"OK","VIOLATION"))</f>
        <v>OK</v>
      </c>
      <c r="L70" s="23" t="str">
        <f aca="false">IF(H70&lt;=26,"OK","LATE")</f>
        <v>OK</v>
      </c>
      <c r="M70" s="26" t="n">
        <f aca="false">Overview!$B$4+7*(F70-1)</f>
        <v>46370</v>
      </c>
      <c r="N70" s="26" t="n">
        <f aca="false">Overview!$B$4+7*(H70-1)+4</f>
        <v>46381</v>
      </c>
      <c r="O70" s="23" t="s">
        <v>140</v>
      </c>
      <c r="P70" s="24" t="s">
        <v>121</v>
      </c>
      <c r="Q70" s="24" t="s">
        <v>559</v>
      </c>
      <c r="R70" s="24" t="s">
        <v>560</v>
      </c>
      <c r="S70" s="24" t="s">
        <v>561</v>
      </c>
      <c r="T70" s="23" t="s">
        <v>126</v>
      </c>
      <c r="U70" s="24"/>
      <c r="V70" s="23" t="str">
        <f aca="false">";"&amp;SUBSTITUTE(P70," ","")&amp;";"</f>
        <v>;PL;</v>
      </c>
    </row>
    <row r="71" customFormat="false" ht="28.35" hidden="false" customHeight="false" outlineLevel="0" collapsed="false">
      <c r="A71" s="23" t="s">
        <v>562</v>
      </c>
      <c r="B71" s="23" t="s">
        <v>314</v>
      </c>
      <c r="C71" s="23" t="s">
        <v>137</v>
      </c>
      <c r="D71" s="24" t="s">
        <v>563</v>
      </c>
      <c r="E71" s="24" t="s">
        <v>564</v>
      </c>
      <c r="F71" s="25" t="n">
        <v>8</v>
      </c>
      <c r="G71" s="25" t="n">
        <v>4</v>
      </c>
      <c r="H71" s="23" t="n">
        <f aca="false">F71+G71-1</f>
        <v>11</v>
      </c>
      <c r="I71" s="24" t="s">
        <v>565</v>
      </c>
      <c r="J71" s="23" t="n">
        <f aca="false">IF(I71="","",SUMPRODUCT(MAX(ISNUMBER(SEARCH(","&amp;$A$7:$A$156&amp;",",","&amp;SUBSTITUTE(I71," ","")&amp;","))*$H$7:$H$156)))</f>
        <v>7</v>
      </c>
      <c r="K71" s="23" t="str">
        <f aca="false">IF(I71="","OK",IF(F71&gt;J71,"OK","VIOLATION"))</f>
        <v>OK</v>
      </c>
      <c r="L71" s="23" t="str">
        <f aca="false">IF(H71&lt;=26,"OK","LATE")</f>
        <v>OK</v>
      </c>
      <c r="M71" s="26" t="n">
        <f aca="false">Overview!$B$4+7*(F71-1)</f>
        <v>46370</v>
      </c>
      <c r="N71" s="26" t="n">
        <f aca="false">Overview!$B$4+7*(H71-1)+4</f>
        <v>46395</v>
      </c>
      <c r="O71" s="23" t="s">
        <v>284</v>
      </c>
      <c r="P71" s="24" t="s">
        <v>140</v>
      </c>
      <c r="Q71" s="24" t="s">
        <v>566</v>
      </c>
      <c r="R71" s="24" t="s">
        <v>563</v>
      </c>
      <c r="S71" s="24" t="s">
        <v>567</v>
      </c>
      <c r="T71" s="23" t="s">
        <v>126</v>
      </c>
      <c r="U71" s="24"/>
      <c r="V71" s="23" t="str">
        <f aca="false">";"&amp;SUBSTITUTE(P71," ","")&amp;";"</f>
        <v>;GRC;</v>
      </c>
    </row>
    <row r="72" customFormat="false" ht="19.4" hidden="false" customHeight="false" outlineLevel="0" collapsed="false">
      <c r="A72" s="23" t="s">
        <v>568</v>
      </c>
      <c r="B72" s="23" t="s">
        <v>314</v>
      </c>
      <c r="C72" s="23" t="s">
        <v>137</v>
      </c>
      <c r="D72" s="24" t="s">
        <v>569</v>
      </c>
      <c r="E72" s="24" t="s">
        <v>570</v>
      </c>
      <c r="F72" s="25" t="n">
        <v>8</v>
      </c>
      <c r="G72" s="25" t="n">
        <v>3</v>
      </c>
      <c r="H72" s="23" t="n">
        <f aca="false">F72+G72-1</f>
        <v>10</v>
      </c>
      <c r="I72" s="24" t="s">
        <v>136</v>
      </c>
      <c r="J72" s="23" t="n">
        <f aca="false">IF(I72="","",SUMPRODUCT(MAX(ISNUMBER(SEARCH(","&amp;$A$7:$A$156&amp;",",","&amp;SUBSTITUTE(I72," ","")&amp;","))*$H$7:$H$156)))</f>
        <v>4</v>
      </c>
      <c r="K72" s="23" t="str">
        <f aca="false">IF(I72="","OK",IF(F72&gt;J72,"OK","VIOLATION"))</f>
        <v>OK</v>
      </c>
      <c r="L72" s="23" t="str">
        <f aca="false">IF(H72&lt;=26,"OK","LATE")</f>
        <v>OK</v>
      </c>
      <c r="M72" s="26" t="n">
        <f aca="false">Overview!$B$4+7*(F72-1)</f>
        <v>46370</v>
      </c>
      <c r="N72" s="26" t="n">
        <f aca="false">Overview!$B$4+7*(H72-1)+4</f>
        <v>46388</v>
      </c>
      <c r="O72" s="23" t="s">
        <v>140</v>
      </c>
      <c r="P72" s="24" t="s">
        <v>571</v>
      </c>
      <c r="Q72" s="24" t="s">
        <v>572</v>
      </c>
      <c r="R72" s="24" t="s">
        <v>573</v>
      </c>
      <c r="S72" s="24" t="s">
        <v>574</v>
      </c>
      <c r="T72" s="23" t="s">
        <v>126</v>
      </c>
      <c r="U72" s="24"/>
      <c r="V72" s="23" t="str">
        <f aca="false">";"&amp;SUBSTITUTE(P72," ","")&amp;";"</f>
        <v>;LEG;</v>
      </c>
    </row>
    <row r="73" customFormat="false" ht="19.4" hidden="false" customHeight="false" outlineLevel="0" collapsed="false">
      <c r="A73" s="23" t="s">
        <v>575</v>
      </c>
      <c r="B73" s="23" t="s">
        <v>314</v>
      </c>
      <c r="C73" s="23" t="s">
        <v>118</v>
      </c>
      <c r="D73" s="24" t="s">
        <v>576</v>
      </c>
      <c r="E73" s="24" t="s">
        <v>577</v>
      </c>
      <c r="F73" s="25" t="n">
        <v>8</v>
      </c>
      <c r="G73" s="25" t="n">
        <v>1</v>
      </c>
      <c r="H73" s="23" t="n">
        <f aca="false">F73+G73-1</f>
        <v>8</v>
      </c>
      <c r="I73" s="24" t="s">
        <v>578</v>
      </c>
      <c r="J73" s="23" t="n">
        <f aca="false">IF(I73="","",SUMPRODUCT(MAX(ISNUMBER(SEARCH(","&amp;$A$7:$A$156&amp;",",","&amp;SUBSTITUTE(I73," ","")&amp;","))*$H$7:$H$156)))</f>
        <v>7</v>
      </c>
      <c r="K73" s="23" t="str">
        <f aca="false">IF(I73="","OK",IF(F73&gt;J73,"OK","VIOLATION"))</f>
        <v>OK</v>
      </c>
      <c r="L73" s="23" t="str">
        <f aca="false">IF(H73&lt;=26,"OK","LATE")</f>
        <v>OK</v>
      </c>
      <c r="M73" s="26" t="n">
        <f aca="false">Overview!$B$4+7*(F73-1)</f>
        <v>46370</v>
      </c>
      <c r="N73" s="26" t="n">
        <f aca="false">Overview!$B$4+7*(H73-1)+4</f>
        <v>46374</v>
      </c>
      <c r="O73" s="23" t="s">
        <v>121</v>
      </c>
      <c r="P73" s="24" t="s">
        <v>551</v>
      </c>
      <c r="Q73" s="24" t="s">
        <v>552</v>
      </c>
      <c r="R73" s="24" t="s">
        <v>579</v>
      </c>
      <c r="S73" s="24" t="s">
        <v>554</v>
      </c>
      <c r="T73" s="23" t="s">
        <v>126</v>
      </c>
      <c r="U73" s="24"/>
      <c r="V73" s="23" t="str">
        <f aca="false">";"&amp;SUBSTITUTE(P73," ","")&amp;";"</f>
        <v>;CSE;ISE;</v>
      </c>
    </row>
    <row r="74" customFormat="false" ht="28.35" hidden="false" customHeight="false" outlineLevel="0" collapsed="false">
      <c r="A74" s="23" t="s">
        <v>580</v>
      </c>
      <c r="B74" s="23" t="s">
        <v>581</v>
      </c>
      <c r="C74" s="23" t="s">
        <v>181</v>
      </c>
      <c r="D74" s="24" t="s">
        <v>582</v>
      </c>
      <c r="E74" s="24" t="s">
        <v>583</v>
      </c>
      <c r="F74" s="25" t="n">
        <v>7</v>
      </c>
      <c r="G74" s="25" t="n">
        <v>2</v>
      </c>
      <c r="H74" s="23" t="n">
        <f aca="false">F74+G74-1</f>
        <v>8</v>
      </c>
      <c r="I74" s="24" t="s">
        <v>584</v>
      </c>
      <c r="J74" s="23" t="n">
        <f aca="false">IF(I74="","",SUMPRODUCT(MAX(ISNUMBER(SEARCH(","&amp;$A$7:$A$156&amp;",",","&amp;SUBSTITUTE(I74," ","")&amp;","))*$H$7:$H$156)))</f>
        <v>6</v>
      </c>
      <c r="K74" s="23" t="str">
        <f aca="false">IF(I74="","OK",IF(F74&gt;J74,"OK","VIOLATION"))</f>
        <v>OK</v>
      </c>
      <c r="L74" s="23" t="str">
        <f aca="false">IF(H74&lt;=26,"OK","LATE")</f>
        <v>OK</v>
      </c>
      <c r="M74" s="26" t="n">
        <f aca="false">Overview!$B$4+7*(F74-1)</f>
        <v>46363</v>
      </c>
      <c r="N74" s="26" t="n">
        <f aca="false">Overview!$B$4+7*(H74-1)+4</f>
        <v>46374</v>
      </c>
      <c r="O74" s="23" t="s">
        <v>343</v>
      </c>
      <c r="P74" s="24" t="s">
        <v>174</v>
      </c>
      <c r="Q74" s="24" t="s">
        <v>585</v>
      </c>
      <c r="R74" s="24" t="s">
        <v>586</v>
      </c>
      <c r="S74" s="24" t="s">
        <v>587</v>
      </c>
      <c r="T74" s="23" t="s">
        <v>126</v>
      </c>
      <c r="U74" s="24"/>
      <c r="V74" s="23" t="str">
        <f aca="false">";"&amp;SUBSTITUTE(P74," ","")&amp;";"</f>
        <v>;CSE;</v>
      </c>
    </row>
    <row r="75" customFormat="false" ht="19.4" hidden="false" customHeight="false" outlineLevel="0" collapsed="false">
      <c r="A75" s="23" t="s">
        <v>588</v>
      </c>
      <c r="B75" s="23" t="s">
        <v>581</v>
      </c>
      <c r="C75" s="23" t="s">
        <v>171</v>
      </c>
      <c r="D75" s="24" t="s">
        <v>589</v>
      </c>
      <c r="E75" s="24" t="s">
        <v>590</v>
      </c>
      <c r="F75" s="25" t="n">
        <v>7</v>
      </c>
      <c r="G75" s="25" t="n">
        <v>6</v>
      </c>
      <c r="H75" s="23" t="n">
        <f aca="false">F75+G75-1</f>
        <v>12</v>
      </c>
      <c r="I75" s="24" t="s">
        <v>591</v>
      </c>
      <c r="J75" s="23" t="n">
        <f aca="false">IF(I75="","",SUMPRODUCT(MAX(ISNUMBER(SEARCH(","&amp;$A$7:$A$156&amp;",",","&amp;SUBSTITUTE(I75," ","")&amp;","))*$H$7:$H$156)))</f>
        <v>6</v>
      </c>
      <c r="K75" s="23" t="str">
        <f aca="false">IF(I75="","OK",IF(F75&gt;J75,"OK","VIOLATION"))</f>
        <v>OK</v>
      </c>
      <c r="L75" s="23" t="str">
        <f aca="false">IF(H75&lt;=26,"OK","LATE")</f>
        <v>OK</v>
      </c>
      <c r="M75" s="26" t="n">
        <f aca="false">Overview!$B$4+7*(F75-1)</f>
        <v>46363</v>
      </c>
      <c r="N75" s="26" t="n">
        <f aca="false">Overview!$B$4+7*(H75-1)+4</f>
        <v>46402</v>
      </c>
      <c r="O75" s="23" t="s">
        <v>174</v>
      </c>
      <c r="P75" s="24" t="s">
        <v>318</v>
      </c>
      <c r="Q75" s="24" t="s">
        <v>592</v>
      </c>
      <c r="R75" s="24" t="s">
        <v>593</v>
      </c>
      <c r="S75" s="24" t="s">
        <v>594</v>
      </c>
      <c r="T75" s="23" t="s">
        <v>126</v>
      </c>
      <c r="U75" s="24"/>
      <c r="V75" s="23" t="str">
        <f aca="false">";"&amp;SUBSTITUTE(P75," ","")&amp;";"</f>
        <v>;KHE;</v>
      </c>
    </row>
    <row r="76" customFormat="false" ht="19.4" hidden="false" customHeight="false" outlineLevel="0" collapsed="false">
      <c r="A76" s="23" t="s">
        <v>595</v>
      </c>
      <c r="B76" s="23" t="s">
        <v>581</v>
      </c>
      <c r="C76" s="23" t="s">
        <v>171</v>
      </c>
      <c r="D76" s="24" t="s">
        <v>596</v>
      </c>
      <c r="E76" s="24" t="s">
        <v>597</v>
      </c>
      <c r="F76" s="25" t="n">
        <v>6</v>
      </c>
      <c r="G76" s="25" t="n">
        <v>3</v>
      </c>
      <c r="H76" s="23" t="n">
        <f aca="false">F76+G76-1</f>
        <v>8</v>
      </c>
      <c r="I76" s="24" t="s">
        <v>598</v>
      </c>
      <c r="J76" s="23" t="n">
        <f aca="false">IF(I76="","",SUMPRODUCT(MAX(ISNUMBER(SEARCH(","&amp;$A$7:$A$156&amp;",",","&amp;SUBSTITUTE(I76," ","")&amp;","))*$H$7:$H$156)))</f>
        <v>5</v>
      </c>
      <c r="K76" s="23" t="str">
        <f aca="false">IF(I76="","OK",IF(F76&gt;J76,"OK","VIOLATION"))</f>
        <v>OK</v>
      </c>
      <c r="L76" s="23" t="str">
        <f aca="false">IF(H76&lt;=26,"OK","LATE")</f>
        <v>OK</v>
      </c>
      <c r="M76" s="26" t="n">
        <f aca="false">Overview!$B$4+7*(F76-1)</f>
        <v>46356</v>
      </c>
      <c r="N76" s="26" t="n">
        <f aca="false">Overview!$B$4+7*(H76-1)+4</f>
        <v>46374</v>
      </c>
      <c r="O76" s="23" t="s">
        <v>343</v>
      </c>
      <c r="P76" s="24" t="s">
        <v>402</v>
      </c>
      <c r="Q76" s="24" t="s">
        <v>599</v>
      </c>
      <c r="R76" s="24" t="s">
        <v>600</v>
      </c>
      <c r="S76" s="24" t="s">
        <v>601</v>
      </c>
      <c r="T76" s="23" t="s">
        <v>126</v>
      </c>
      <c r="U76" s="24"/>
      <c r="V76" s="23" t="str">
        <f aca="false">";"&amp;SUBSTITUTE(P76," ","")&amp;";"</f>
        <v>;CSE;ENG;</v>
      </c>
    </row>
    <row r="77" customFormat="false" ht="19.4" hidden="false" customHeight="false" outlineLevel="0" collapsed="false">
      <c r="A77" s="23" t="s">
        <v>602</v>
      </c>
      <c r="B77" s="23" t="s">
        <v>581</v>
      </c>
      <c r="C77" s="23" t="s">
        <v>171</v>
      </c>
      <c r="D77" s="24" t="s">
        <v>603</v>
      </c>
      <c r="E77" s="24" t="s">
        <v>604</v>
      </c>
      <c r="F77" s="25" t="n">
        <v>7</v>
      </c>
      <c r="G77" s="25" t="n">
        <v>8</v>
      </c>
      <c r="H77" s="23" t="n">
        <f aca="false">F77+G77-1</f>
        <v>14</v>
      </c>
      <c r="I77" s="24" t="s">
        <v>605</v>
      </c>
      <c r="J77" s="23" t="n">
        <f aca="false">IF(I77="","",SUMPRODUCT(MAX(ISNUMBER(SEARCH(","&amp;$A$7:$A$156&amp;",",","&amp;SUBSTITUTE(I77," ","")&amp;","))*$H$7:$H$156)))</f>
        <v>4</v>
      </c>
      <c r="K77" s="23" t="str">
        <f aca="false">IF(I77="","OK",IF(F77&gt;J77,"OK","VIOLATION"))</f>
        <v>OK</v>
      </c>
      <c r="L77" s="23" t="str">
        <f aca="false">IF(H77&lt;=26,"OK","LATE")</f>
        <v>OK</v>
      </c>
      <c r="M77" s="26" t="n">
        <f aca="false">Overview!$B$4+7*(F77-1)</f>
        <v>46363</v>
      </c>
      <c r="N77" s="26" t="n">
        <f aca="false">Overview!$B$4+7*(H77-1)+4</f>
        <v>46416</v>
      </c>
      <c r="O77" s="23" t="s">
        <v>318</v>
      </c>
      <c r="P77" s="24" t="s">
        <v>175</v>
      </c>
      <c r="Q77" s="24" t="s">
        <v>606</v>
      </c>
      <c r="R77" s="24" t="s">
        <v>607</v>
      </c>
      <c r="S77" s="24" t="s">
        <v>608</v>
      </c>
      <c r="T77" s="23" t="s">
        <v>126</v>
      </c>
      <c r="U77" s="24"/>
      <c r="V77" s="23" t="str">
        <f aca="false">";"&amp;SUBSTITUTE(P77," ","")&amp;";"</f>
        <v>;ENG;</v>
      </c>
    </row>
    <row r="78" customFormat="false" ht="15" hidden="false" customHeight="false" outlineLevel="0" collapsed="false">
      <c r="A78" s="23" t="s">
        <v>609</v>
      </c>
      <c r="B78" s="23" t="s">
        <v>581</v>
      </c>
      <c r="C78" s="23" t="s">
        <v>171</v>
      </c>
      <c r="D78" s="24" t="s">
        <v>610</v>
      </c>
      <c r="E78" s="24" t="s">
        <v>611</v>
      </c>
      <c r="F78" s="25" t="n">
        <v>8</v>
      </c>
      <c r="G78" s="25" t="n">
        <v>3</v>
      </c>
      <c r="H78" s="23" t="n">
        <f aca="false">F78+G78-1</f>
        <v>10</v>
      </c>
      <c r="I78" s="24" t="s">
        <v>612</v>
      </c>
      <c r="J78" s="23" t="n">
        <f aca="false">IF(I78="","",SUMPRODUCT(MAX(ISNUMBER(SEARCH(","&amp;$A$7:$A$156&amp;",",","&amp;SUBSTITUTE(I78," ","")&amp;","))*$H$7:$H$156)))</f>
        <v>6</v>
      </c>
      <c r="K78" s="23" t="str">
        <f aca="false">IF(I78="","OK",IF(F78&gt;J78,"OK","VIOLATION"))</f>
        <v>OK</v>
      </c>
      <c r="L78" s="23" t="str">
        <f aca="false">IF(H78&lt;=26,"OK","LATE")</f>
        <v>OK</v>
      </c>
      <c r="M78" s="26" t="n">
        <f aca="false">Overview!$B$4+7*(F78-1)</f>
        <v>46370</v>
      </c>
      <c r="N78" s="26" t="n">
        <f aca="false">Overview!$B$4+7*(H78-1)+4</f>
        <v>46388</v>
      </c>
      <c r="O78" s="23" t="s">
        <v>318</v>
      </c>
      <c r="P78" s="24" t="s">
        <v>175</v>
      </c>
      <c r="Q78" s="24" t="s">
        <v>613</v>
      </c>
      <c r="R78" s="24" t="s">
        <v>614</v>
      </c>
      <c r="S78" s="24" t="s">
        <v>615</v>
      </c>
      <c r="T78" s="23" t="s">
        <v>126</v>
      </c>
      <c r="U78" s="24"/>
      <c r="V78" s="23" t="str">
        <f aca="false">";"&amp;SUBSTITUTE(P78," ","")&amp;";"</f>
        <v>;ENG;</v>
      </c>
    </row>
    <row r="79" customFormat="false" ht="19.4" hidden="false" customHeight="false" outlineLevel="0" collapsed="false">
      <c r="A79" s="23" t="s">
        <v>616</v>
      </c>
      <c r="B79" s="23" t="s">
        <v>581</v>
      </c>
      <c r="C79" s="23" t="s">
        <v>171</v>
      </c>
      <c r="D79" s="24" t="s">
        <v>617</v>
      </c>
      <c r="E79" s="24" t="s">
        <v>618</v>
      </c>
      <c r="F79" s="25" t="n">
        <v>8</v>
      </c>
      <c r="G79" s="25" t="n">
        <v>1</v>
      </c>
      <c r="H79" s="23" t="n">
        <f aca="false">F79+G79-1</f>
        <v>8</v>
      </c>
      <c r="I79" s="24" t="s">
        <v>619</v>
      </c>
      <c r="J79" s="23" t="n">
        <f aca="false">IF(I79="","",SUMPRODUCT(MAX(ISNUMBER(SEARCH(","&amp;$A$7:$A$156&amp;",",","&amp;SUBSTITUTE(I79," ","")&amp;","))*$H$7:$H$156)))</f>
        <v>6</v>
      </c>
      <c r="K79" s="23" t="str">
        <f aca="false">IF(I79="","OK",IF(F79&gt;J79,"OK","VIOLATION"))</f>
        <v>OK</v>
      </c>
      <c r="L79" s="23" t="str">
        <f aca="false">IF(H79&lt;=26,"OK","LATE")</f>
        <v>OK</v>
      </c>
      <c r="M79" s="26" t="n">
        <f aca="false">Overview!$B$4+7*(F79-1)</f>
        <v>46370</v>
      </c>
      <c r="N79" s="26" t="n">
        <f aca="false">Overview!$B$4+7*(H79-1)+4</f>
        <v>46374</v>
      </c>
      <c r="O79" s="23" t="s">
        <v>318</v>
      </c>
      <c r="P79" s="24"/>
      <c r="Q79" s="24" t="s">
        <v>620</v>
      </c>
      <c r="R79" s="24" t="s">
        <v>621</v>
      </c>
      <c r="S79" s="24" t="s">
        <v>622</v>
      </c>
      <c r="T79" s="23" t="s">
        <v>126</v>
      </c>
      <c r="U79" s="24"/>
      <c r="V79" s="23" t="str">
        <f aca="false">";"&amp;SUBSTITUTE(P79," ","")&amp;";"</f>
        <v>;;</v>
      </c>
    </row>
    <row r="80" customFormat="false" ht="19.4" hidden="false" customHeight="false" outlineLevel="0" collapsed="false">
      <c r="A80" s="23" t="s">
        <v>623</v>
      </c>
      <c r="B80" s="23" t="s">
        <v>581</v>
      </c>
      <c r="C80" s="23" t="s">
        <v>171</v>
      </c>
      <c r="D80" s="24" t="s">
        <v>624</v>
      </c>
      <c r="E80" s="24" t="s">
        <v>625</v>
      </c>
      <c r="F80" s="25" t="n">
        <v>9</v>
      </c>
      <c r="G80" s="25" t="n">
        <v>3</v>
      </c>
      <c r="H80" s="23" t="n">
        <f aca="false">F80+G80-1</f>
        <v>11</v>
      </c>
      <c r="I80" s="24" t="s">
        <v>626</v>
      </c>
      <c r="J80" s="23" t="n">
        <f aca="false">IF(I80="","",SUMPRODUCT(MAX(ISNUMBER(SEARCH(","&amp;$A$7:$A$156&amp;",",","&amp;SUBSTITUTE(I80," ","")&amp;","))*$H$7:$H$156)))</f>
        <v>6</v>
      </c>
      <c r="K80" s="23" t="str">
        <f aca="false">IF(I80="","OK",IF(F80&gt;J80,"OK","VIOLATION"))</f>
        <v>OK</v>
      </c>
      <c r="L80" s="23" t="str">
        <f aca="false">IF(H80&lt;=26,"OK","LATE")</f>
        <v>OK</v>
      </c>
      <c r="M80" s="26" t="n">
        <f aca="false">Overview!$B$4+7*(F80-1)</f>
        <v>46377</v>
      </c>
      <c r="N80" s="26" t="n">
        <f aca="false">Overview!$B$4+7*(H80-1)+4</f>
        <v>46395</v>
      </c>
      <c r="O80" s="23" t="s">
        <v>318</v>
      </c>
      <c r="P80" s="24" t="s">
        <v>174</v>
      </c>
      <c r="Q80" s="24" t="s">
        <v>627</v>
      </c>
      <c r="R80" s="24" t="s">
        <v>628</v>
      </c>
      <c r="S80" s="24" t="s">
        <v>629</v>
      </c>
      <c r="T80" s="23" t="s">
        <v>126</v>
      </c>
      <c r="U80" s="24"/>
      <c r="V80" s="23" t="str">
        <f aca="false">";"&amp;SUBSTITUTE(P80," ","")&amp;";"</f>
        <v>;CSE;</v>
      </c>
    </row>
    <row r="81" customFormat="false" ht="28.35" hidden="false" customHeight="false" outlineLevel="0" collapsed="false">
      <c r="A81" s="23" t="s">
        <v>630</v>
      </c>
      <c r="B81" s="23" t="s">
        <v>581</v>
      </c>
      <c r="C81" s="23" t="s">
        <v>171</v>
      </c>
      <c r="D81" s="24" t="s">
        <v>631</v>
      </c>
      <c r="E81" s="24" t="s">
        <v>632</v>
      </c>
      <c r="F81" s="25" t="n">
        <v>9</v>
      </c>
      <c r="G81" s="25" t="n">
        <v>5</v>
      </c>
      <c r="H81" s="23" t="n">
        <f aca="false">F81+G81-1</f>
        <v>13</v>
      </c>
      <c r="I81" s="24" t="s">
        <v>633</v>
      </c>
      <c r="J81" s="23" t="n">
        <f aca="false">IF(I81="","",SUMPRODUCT(MAX(ISNUMBER(SEARCH(","&amp;$A$7:$A$156&amp;",",","&amp;SUBSTITUTE(I81," ","")&amp;","))*$H$7:$H$156)))</f>
        <v>8</v>
      </c>
      <c r="K81" s="23" t="str">
        <f aca="false">IF(I81="","OK",IF(F81&gt;J81,"OK","VIOLATION"))</f>
        <v>OK</v>
      </c>
      <c r="L81" s="23" t="str">
        <f aca="false">IF(H81&lt;=26,"OK","LATE")</f>
        <v>OK</v>
      </c>
      <c r="M81" s="26" t="n">
        <f aca="false">Overview!$B$4+7*(F81-1)</f>
        <v>46377</v>
      </c>
      <c r="N81" s="26" t="n">
        <f aca="false">Overview!$B$4+7*(H81-1)+4</f>
        <v>46409</v>
      </c>
      <c r="O81" s="23" t="s">
        <v>174</v>
      </c>
      <c r="P81" s="24" t="s">
        <v>349</v>
      </c>
      <c r="Q81" s="24" t="s">
        <v>364</v>
      </c>
      <c r="R81" s="24" t="s">
        <v>634</v>
      </c>
      <c r="S81" s="24" t="s">
        <v>635</v>
      </c>
      <c r="T81" s="23" t="s">
        <v>126</v>
      </c>
      <c r="U81" s="24"/>
      <c r="V81" s="23" t="str">
        <f aca="false">";"&amp;SUBSTITUTE(P81," ","")&amp;";"</f>
        <v>;KHE;ENG;</v>
      </c>
    </row>
    <row r="82" customFormat="false" ht="19.4" hidden="false" customHeight="false" outlineLevel="0" collapsed="false">
      <c r="A82" s="23" t="s">
        <v>636</v>
      </c>
      <c r="B82" s="23" t="s">
        <v>581</v>
      </c>
      <c r="C82" s="23" t="s">
        <v>171</v>
      </c>
      <c r="D82" s="24" t="s">
        <v>637</v>
      </c>
      <c r="E82" s="24" t="s">
        <v>638</v>
      </c>
      <c r="F82" s="25" t="n">
        <v>11</v>
      </c>
      <c r="G82" s="25" t="n">
        <v>8</v>
      </c>
      <c r="H82" s="23" t="n">
        <f aca="false">F82+G82-1</f>
        <v>18</v>
      </c>
      <c r="I82" s="24" t="s">
        <v>639</v>
      </c>
      <c r="J82" s="23" t="n">
        <f aca="false">IF(I82="","",SUMPRODUCT(MAX(ISNUMBER(SEARCH(","&amp;$A$7:$A$156&amp;",",","&amp;SUBSTITUTE(I82," ","")&amp;","))*$H$7:$H$156)))</f>
        <v>8</v>
      </c>
      <c r="K82" s="23" t="str">
        <f aca="false">IF(I82="","OK",IF(F82&gt;J82,"OK","VIOLATION"))</f>
        <v>OK</v>
      </c>
      <c r="L82" s="23" t="str">
        <f aca="false">IF(H82&lt;=26,"OK","LATE")</f>
        <v>OK</v>
      </c>
      <c r="M82" s="26" t="n">
        <f aca="false">Overview!$B$4+7*(F82-1)</f>
        <v>46391</v>
      </c>
      <c r="N82" s="26" t="n">
        <f aca="false">Overview!$B$4+7*(H82-1)+4</f>
        <v>46444</v>
      </c>
      <c r="O82" s="23" t="s">
        <v>174</v>
      </c>
      <c r="P82" s="24" t="s">
        <v>349</v>
      </c>
      <c r="Q82" s="24" t="s">
        <v>331</v>
      </c>
      <c r="R82" s="24" t="s">
        <v>640</v>
      </c>
      <c r="S82" s="24" t="s">
        <v>352</v>
      </c>
      <c r="T82" s="23" t="s">
        <v>126</v>
      </c>
      <c r="U82" s="27" t="s">
        <v>641</v>
      </c>
      <c r="V82" s="23" t="str">
        <f aca="false">";"&amp;SUBSTITUTE(P82," ","")&amp;";"</f>
        <v>;KHE;ENG;</v>
      </c>
    </row>
    <row r="83" customFormat="false" ht="19.4" hidden="false" customHeight="false" outlineLevel="0" collapsed="false">
      <c r="A83" s="23" t="s">
        <v>642</v>
      </c>
      <c r="B83" s="23" t="s">
        <v>581</v>
      </c>
      <c r="C83" s="23" t="s">
        <v>171</v>
      </c>
      <c r="D83" s="24" t="s">
        <v>643</v>
      </c>
      <c r="E83" s="24" t="s">
        <v>644</v>
      </c>
      <c r="F83" s="25" t="n">
        <v>11</v>
      </c>
      <c r="G83" s="25" t="n">
        <v>5</v>
      </c>
      <c r="H83" s="23" t="n">
        <f aca="false">F83+G83-1</f>
        <v>15</v>
      </c>
      <c r="I83" s="24" t="s">
        <v>645</v>
      </c>
      <c r="J83" s="23" t="n">
        <f aca="false">IF(I83="","",SUMPRODUCT(MAX(ISNUMBER(SEARCH(","&amp;$A$7:$A$156&amp;",",","&amp;SUBSTITUTE(I83," ","")&amp;","))*$H$7:$H$156)))</f>
        <v>8</v>
      </c>
      <c r="K83" s="23" t="str">
        <f aca="false">IF(I83="","OK",IF(F83&gt;J83,"OK","VIOLATION"))</f>
        <v>OK</v>
      </c>
      <c r="L83" s="23" t="str">
        <f aca="false">IF(H83&lt;=26,"OK","LATE")</f>
        <v>OK</v>
      </c>
      <c r="M83" s="26" t="n">
        <f aca="false">Overview!$B$4+7*(F83-1)</f>
        <v>46391</v>
      </c>
      <c r="N83" s="26" t="n">
        <f aca="false">Overview!$B$4+7*(H83-1)+4</f>
        <v>46423</v>
      </c>
      <c r="O83" s="23" t="s">
        <v>318</v>
      </c>
      <c r="P83" s="24" t="s">
        <v>402</v>
      </c>
      <c r="Q83" s="24" t="s">
        <v>370</v>
      </c>
      <c r="R83" s="24" t="s">
        <v>646</v>
      </c>
      <c r="S83" s="24" t="s">
        <v>647</v>
      </c>
      <c r="T83" s="23" t="s">
        <v>126</v>
      </c>
      <c r="U83" s="24"/>
      <c r="V83" s="23" t="str">
        <f aca="false">";"&amp;SUBSTITUTE(P83," ","")&amp;";"</f>
        <v>;CSE;ENG;</v>
      </c>
    </row>
    <row r="84" customFormat="false" ht="19.4" hidden="false" customHeight="false" outlineLevel="0" collapsed="false">
      <c r="A84" s="23" t="s">
        <v>648</v>
      </c>
      <c r="B84" s="23" t="s">
        <v>581</v>
      </c>
      <c r="C84" s="23" t="s">
        <v>171</v>
      </c>
      <c r="D84" s="24" t="s">
        <v>649</v>
      </c>
      <c r="E84" s="24" t="s">
        <v>650</v>
      </c>
      <c r="F84" s="25" t="n">
        <v>13</v>
      </c>
      <c r="G84" s="25" t="n">
        <v>4</v>
      </c>
      <c r="H84" s="23" t="n">
        <f aca="false">F84+G84-1</f>
        <v>16</v>
      </c>
      <c r="I84" s="24" t="s">
        <v>651</v>
      </c>
      <c r="J84" s="23" t="n">
        <f aca="false">IF(I84="","",SUMPRODUCT(MAX(ISNUMBER(SEARCH(","&amp;$A$7:$A$156&amp;",",","&amp;SUBSTITUTE(I84," ","")&amp;","))*$H$7:$H$156)))</f>
        <v>11</v>
      </c>
      <c r="K84" s="23" t="str">
        <f aca="false">IF(I84="","OK",IF(F84&gt;J84,"OK","VIOLATION"))</f>
        <v>OK</v>
      </c>
      <c r="L84" s="23" t="str">
        <f aca="false">IF(H84&lt;=26,"OK","LATE")</f>
        <v>OK</v>
      </c>
      <c r="M84" s="26" t="n">
        <f aca="false">Overview!$B$4+7*(F84-1)</f>
        <v>46405</v>
      </c>
      <c r="N84" s="26" t="n">
        <f aca="false">Overview!$B$4+7*(H84-1)+4</f>
        <v>46430</v>
      </c>
      <c r="O84" s="23" t="s">
        <v>174</v>
      </c>
      <c r="P84" s="24" t="s">
        <v>652</v>
      </c>
      <c r="Q84" s="24" t="s">
        <v>653</v>
      </c>
      <c r="R84" s="24" t="s">
        <v>654</v>
      </c>
      <c r="S84" s="24" t="s">
        <v>655</v>
      </c>
      <c r="T84" s="23" t="s">
        <v>126</v>
      </c>
      <c r="U84" s="24"/>
      <c r="V84" s="23" t="str">
        <f aca="false">";"&amp;SUBSTITUTE(P84," ","")&amp;";"</f>
        <v>;ENG;KHE;</v>
      </c>
    </row>
    <row r="85" customFormat="false" ht="19.4" hidden="false" customHeight="false" outlineLevel="0" collapsed="false">
      <c r="A85" s="23" t="s">
        <v>656</v>
      </c>
      <c r="B85" s="23" t="s">
        <v>581</v>
      </c>
      <c r="C85" s="23" t="s">
        <v>171</v>
      </c>
      <c r="D85" s="24" t="s">
        <v>657</v>
      </c>
      <c r="E85" s="24" t="s">
        <v>658</v>
      </c>
      <c r="F85" s="25" t="n">
        <v>14</v>
      </c>
      <c r="G85" s="25" t="n">
        <v>6</v>
      </c>
      <c r="H85" s="23" t="n">
        <f aca="false">F85+G85-1</f>
        <v>19</v>
      </c>
      <c r="I85" s="24" t="s">
        <v>659</v>
      </c>
      <c r="J85" s="23" t="n">
        <f aca="false">IF(I85="","",SUMPRODUCT(MAX(ISNUMBER(SEARCH(","&amp;$A$7:$A$156&amp;",",","&amp;SUBSTITUTE(I85," ","")&amp;","))*$H$7:$H$156)))</f>
        <v>12</v>
      </c>
      <c r="K85" s="23" t="str">
        <f aca="false">IF(I85="","OK",IF(F85&gt;J85,"OK","VIOLATION"))</f>
        <v>OK</v>
      </c>
      <c r="L85" s="23" t="str">
        <f aca="false">IF(H85&lt;=26,"OK","LATE")</f>
        <v>OK</v>
      </c>
      <c r="M85" s="26" t="n">
        <f aca="false">Overview!$B$4+7*(F85-1)</f>
        <v>46412</v>
      </c>
      <c r="N85" s="26" t="n">
        <f aca="false">Overview!$B$4+7*(H85-1)+4</f>
        <v>46451</v>
      </c>
      <c r="O85" s="23" t="s">
        <v>174</v>
      </c>
      <c r="P85" s="24" t="s">
        <v>349</v>
      </c>
      <c r="Q85" s="24" t="s">
        <v>660</v>
      </c>
      <c r="R85" s="24" t="s">
        <v>661</v>
      </c>
      <c r="S85" s="24" t="s">
        <v>662</v>
      </c>
      <c r="T85" s="23" t="s">
        <v>126</v>
      </c>
      <c r="U85" s="24"/>
      <c r="V85" s="23" t="str">
        <f aca="false">";"&amp;SUBSTITUTE(P85," ","")&amp;";"</f>
        <v>;KHE;ENG;</v>
      </c>
    </row>
    <row r="86" customFormat="false" ht="19.4" hidden="false" customHeight="false" outlineLevel="0" collapsed="false">
      <c r="A86" s="23" t="s">
        <v>663</v>
      </c>
      <c r="B86" s="23" t="s">
        <v>581</v>
      </c>
      <c r="C86" s="23" t="s">
        <v>171</v>
      </c>
      <c r="D86" s="24" t="s">
        <v>664</v>
      </c>
      <c r="E86" s="24" t="s">
        <v>665</v>
      </c>
      <c r="F86" s="25" t="n">
        <v>17</v>
      </c>
      <c r="G86" s="25" t="n">
        <v>4</v>
      </c>
      <c r="H86" s="23" t="n">
        <f aca="false">F86+G86-1</f>
        <v>20</v>
      </c>
      <c r="I86" s="24" t="s">
        <v>648</v>
      </c>
      <c r="J86" s="23" t="n">
        <f aca="false">IF(I86="","",SUMPRODUCT(MAX(ISNUMBER(SEARCH(","&amp;$A$7:$A$156&amp;",",","&amp;SUBSTITUTE(I86," ","")&amp;","))*$H$7:$H$156)))</f>
        <v>16</v>
      </c>
      <c r="K86" s="23" t="str">
        <f aca="false">IF(I86="","OK",IF(F86&gt;J86,"OK","VIOLATION"))</f>
        <v>OK</v>
      </c>
      <c r="L86" s="23" t="str">
        <f aca="false">IF(H86&lt;=26,"OK","LATE")</f>
        <v>OK</v>
      </c>
      <c r="M86" s="26" t="n">
        <f aca="false">Overview!$B$4+7*(F86-1)</f>
        <v>46433</v>
      </c>
      <c r="N86" s="26" t="n">
        <f aca="false">Overview!$B$4+7*(H86-1)+4</f>
        <v>46458</v>
      </c>
      <c r="O86" s="23" t="s">
        <v>174</v>
      </c>
      <c r="P86" s="24" t="s">
        <v>175</v>
      </c>
      <c r="Q86" s="24" t="s">
        <v>653</v>
      </c>
      <c r="R86" s="24" t="s">
        <v>666</v>
      </c>
      <c r="S86" s="24" t="s">
        <v>655</v>
      </c>
      <c r="T86" s="23" t="s">
        <v>126</v>
      </c>
      <c r="U86" s="24"/>
      <c r="V86" s="23" t="str">
        <f aca="false">";"&amp;SUBSTITUTE(P86," ","")&amp;";"</f>
        <v>;ENG;</v>
      </c>
    </row>
    <row r="87" customFormat="false" ht="19.4" hidden="false" customHeight="false" outlineLevel="0" collapsed="false">
      <c r="A87" s="23" t="s">
        <v>667</v>
      </c>
      <c r="B87" s="23" t="s">
        <v>581</v>
      </c>
      <c r="C87" s="23" t="s">
        <v>171</v>
      </c>
      <c r="D87" s="24" t="s">
        <v>668</v>
      </c>
      <c r="E87" s="24" t="s">
        <v>669</v>
      </c>
      <c r="F87" s="25" t="n">
        <v>15</v>
      </c>
      <c r="G87" s="25" t="n">
        <v>3</v>
      </c>
      <c r="H87" s="23" t="n">
        <f aca="false">F87+G87-1</f>
        <v>17</v>
      </c>
      <c r="I87" s="24" t="s">
        <v>670</v>
      </c>
      <c r="J87" s="23" t="n">
        <f aca="false">IF(I87="","",SUMPRODUCT(MAX(ISNUMBER(SEARCH(","&amp;$A$7:$A$156&amp;",",","&amp;SUBSTITUTE(I87," ","")&amp;","))*$H$7:$H$156)))</f>
        <v>8</v>
      </c>
      <c r="K87" s="23" t="str">
        <f aca="false">IF(I87="","OK",IF(F87&gt;J87,"OK","VIOLATION"))</f>
        <v>OK</v>
      </c>
      <c r="L87" s="23" t="str">
        <f aca="false">IF(H87&lt;=26,"OK","LATE")</f>
        <v>OK</v>
      </c>
      <c r="M87" s="26" t="n">
        <f aca="false">Overview!$B$4+7*(F87-1)</f>
        <v>46419</v>
      </c>
      <c r="N87" s="26" t="n">
        <f aca="false">Overview!$B$4+7*(H87-1)+4</f>
        <v>46437</v>
      </c>
      <c r="O87" s="23" t="s">
        <v>318</v>
      </c>
      <c r="P87" s="24" t="s">
        <v>174</v>
      </c>
      <c r="Q87" s="24" t="s">
        <v>671</v>
      </c>
      <c r="R87" s="24" t="s">
        <v>672</v>
      </c>
      <c r="S87" s="24" t="s">
        <v>673</v>
      </c>
      <c r="T87" s="23" t="s">
        <v>126</v>
      </c>
      <c r="U87" s="24"/>
      <c r="V87" s="23" t="str">
        <f aca="false">";"&amp;SUBSTITUTE(P87," ","")&amp;";"</f>
        <v>;CSE;</v>
      </c>
    </row>
    <row r="88" customFormat="false" ht="28.35" hidden="false" customHeight="false" outlineLevel="0" collapsed="false">
      <c r="A88" s="23" t="s">
        <v>674</v>
      </c>
      <c r="B88" s="23" t="s">
        <v>581</v>
      </c>
      <c r="C88" s="23" t="s">
        <v>171</v>
      </c>
      <c r="D88" s="24" t="s">
        <v>675</v>
      </c>
      <c r="E88" s="24" t="s">
        <v>676</v>
      </c>
      <c r="F88" s="25" t="n">
        <v>16</v>
      </c>
      <c r="G88" s="25" t="n">
        <v>4</v>
      </c>
      <c r="H88" s="23" t="n">
        <f aca="false">F88+G88-1</f>
        <v>19</v>
      </c>
      <c r="I88" s="24" t="s">
        <v>642</v>
      </c>
      <c r="J88" s="23" t="n">
        <f aca="false">IF(I88="","",SUMPRODUCT(MAX(ISNUMBER(SEARCH(","&amp;$A$7:$A$156&amp;",",","&amp;SUBSTITUTE(I88," ","")&amp;","))*$H$7:$H$156)))</f>
        <v>15</v>
      </c>
      <c r="K88" s="23" t="str">
        <f aca="false">IF(I88="","OK",IF(F88&gt;J88,"OK","VIOLATION"))</f>
        <v>OK</v>
      </c>
      <c r="L88" s="23" t="str">
        <f aca="false">IF(H88&lt;=26,"OK","LATE")</f>
        <v>OK</v>
      </c>
      <c r="M88" s="26" t="n">
        <f aca="false">Overview!$B$4+7*(F88-1)</f>
        <v>46426</v>
      </c>
      <c r="N88" s="26" t="n">
        <f aca="false">Overview!$B$4+7*(H88-1)+4</f>
        <v>46451</v>
      </c>
      <c r="O88" s="23" t="s">
        <v>318</v>
      </c>
      <c r="P88" s="24" t="s">
        <v>175</v>
      </c>
      <c r="Q88" s="24" t="s">
        <v>677</v>
      </c>
      <c r="R88" s="24" t="s">
        <v>678</v>
      </c>
      <c r="S88" s="24" t="s">
        <v>679</v>
      </c>
      <c r="T88" s="23" t="s">
        <v>126</v>
      </c>
      <c r="U88" s="24"/>
      <c r="V88" s="23" t="str">
        <f aca="false">";"&amp;SUBSTITUTE(P88," ","")&amp;";"</f>
        <v>;ENG;</v>
      </c>
    </row>
    <row r="89" customFormat="false" ht="19.4" hidden="false" customHeight="false" outlineLevel="0" collapsed="false">
      <c r="A89" s="23" t="s">
        <v>680</v>
      </c>
      <c r="B89" s="23" t="s">
        <v>581</v>
      </c>
      <c r="C89" s="23" t="s">
        <v>171</v>
      </c>
      <c r="D89" s="24" t="s">
        <v>681</v>
      </c>
      <c r="E89" s="24" t="s">
        <v>682</v>
      </c>
      <c r="F89" s="25" t="n">
        <v>16</v>
      </c>
      <c r="G89" s="25" t="n">
        <v>3</v>
      </c>
      <c r="H89" s="23" t="n">
        <f aca="false">F89+G89-1</f>
        <v>18</v>
      </c>
      <c r="I89" s="24" t="s">
        <v>683</v>
      </c>
      <c r="J89" s="23" t="n">
        <f aca="false">IF(I89="","",SUMPRODUCT(MAX(ISNUMBER(SEARCH(","&amp;$A$7:$A$156&amp;",",","&amp;SUBSTITUTE(I89," ","")&amp;","))*$H$7:$H$156)))</f>
        <v>8</v>
      </c>
      <c r="K89" s="23" t="str">
        <f aca="false">IF(I89="","OK",IF(F89&gt;J89,"OK","VIOLATION"))</f>
        <v>OK</v>
      </c>
      <c r="L89" s="23" t="str">
        <f aca="false">IF(H89&lt;=26,"OK","LATE")</f>
        <v>OK</v>
      </c>
      <c r="M89" s="26" t="n">
        <f aca="false">Overview!$B$4+7*(F89-1)</f>
        <v>46426</v>
      </c>
      <c r="N89" s="26" t="n">
        <f aca="false">Overview!$B$4+7*(H89-1)+4</f>
        <v>46444</v>
      </c>
      <c r="O89" s="23" t="s">
        <v>318</v>
      </c>
      <c r="P89" s="24" t="s">
        <v>284</v>
      </c>
      <c r="Q89" s="24" t="s">
        <v>684</v>
      </c>
      <c r="R89" s="24" t="s">
        <v>685</v>
      </c>
      <c r="S89" s="24" t="s">
        <v>686</v>
      </c>
      <c r="T89" s="23" t="s">
        <v>126</v>
      </c>
      <c r="U89" s="24"/>
      <c r="V89" s="23" t="str">
        <f aca="false">";"&amp;SUBSTITUTE(P89," ","")&amp;";"</f>
        <v>;GRCC;</v>
      </c>
    </row>
    <row r="90" customFormat="false" ht="37.3" hidden="false" customHeight="false" outlineLevel="0" collapsed="false">
      <c r="A90" s="23" t="s">
        <v>687</v>
      </c>
      <c r="B90" s="23" t="s">
        <v>581</v>
      </c>
      <c r="C90" s="23" t="s">
        <v>171</v>
      </c>
      <c r="D90" s="24" t="s">
        <v>688</v>
      </c>
      <c r="E90" s="24" t="s">
        <v>689</v>
      </c>
      <c r="F90" s="25" t="n">
        <v>12</v>
      </c>
      <c r="G90" s="25" t="n">
        <v>4</v>
      </c>
      <c r="H90" s="23" t="n">
        <f aca="false">F90+G90-1</f>
        <v>15</v>
      </c>
      <c r="I90" s="24" t="s">
        <v>690</v>
      </c>
      <c r="J90" s="23" t="n">
        <f aca="false">IF(I90="","",SUMPRODUCT(MAX(ISNUMBER(SEARCH(","&amp;$A$7:$A$156&amp;",",","&amp;SUBSTITUTE(I90," ","")&amp;","))*$H$7:$H$156)))</f>
        <v>8</v>
      </c>
      <c r="K90" s="23" t="str">
        <f aca="false">IF(I90="","OK",IF(F90&gt;J90,"OK","VIOLATION"))</f>
        <v>OK</v>
      </c>
      <c r="L90" s="23" t="str">
        <f aca="false">IF(H90&lt;=26,"OK","LATE")</f>
        <v>OK</v>
      </c>
      <c r="M90" s="26" t="n">
        <f aca="false">Overview!$B$4+7*(F90-1)</f>
        <v>46398</v>
      </c>
      <c r="N90" s="26" t="n">
        <f aca="false">Overview!$B$4+7*(H90-1)+4</f>
        <v>46423</v>
      </c>
      <c r="O90" s="23" t="s">
        <v>343</v>
      </c>
      <c r="P90" s="24" t="s">
        <v>175</v>
      </c>
      <c r="Q90" s="24" t="s">
        <v>691</v>
      </c>
      <c r="R90" s="24" t="s">
        <v>692</v>
      </c>
      <c r="S90" s="24" t="s">
        <v>693</v>
      </c>
      <c r="T90" s="23" t="s">
        <v>126</v>
      </c>
      <c r="U90" s="24"/>
      <c r="V90" s="23" t="str">
        <f aca="false">";"&amp;SUBSTITUTE(P90," ","")&amp;";"</f>
        <v>;ENG;</v>
      </c>
    </row>
    <row r="91" customFormat="false" ht="19.4" hidden="false" customHeight="false" outlineLevel="0" collapsed="false">
      <c r="A91" s="23" t="s">
        <v>694</v>
      </c>
      <c r="B91" s="23" t="s">
        <v>581</v>
      </c>
      <c r="C91" s="23" t="s">
        <v>171</v>
      </c>
      <c r="D91" s="24" t="s">
        <v>695</v>
      </c>
      <c r="E91" s="24" t="s">
        <v>696</v>
      </c>
      <c r="F91" s="25" t="n">
        <v>13</v>
      </c>
      <c r="G91" s="25" t="n">
        <v>4</v>
      </c>
      <c r="H91" s="23" t="n">
        <f aca="false">F91+G91-1</f>
        <v>16</v>
      </c>
      <c r="I91" s="24" t="s">
        <v>697</v>
      </c>
      <c r="J91" s="23" t="n">
        <f aca="false">IF(I91="","",SUMPRODUCT(MAX(ISNUMBER(SEARCH(","&amp;$A$7:$A$156&amp;",",","&amp;SUBSTITUTE(I91," ","")&amp;","))*$H$7:$H$156)))</f>
        <v>12</v>
      </c>
      <c r="K91" s="23" t="str">
        <f aca="false">IF(I91="","OK",IF(F91&gt;J91,"OK","VIOLATION"))</f>
        <v>OK</v>
      </c>
      <c r="L91" s="23" t="str">
        <f aca="false">IF(H91&lt;=26,"OK","LATE")</f>
        <v>OK</v>
      </c>
      <c r="M91" s="26" t="n">
        <f aca="false">Overview!$B$4+7*(F91-1)</f>
        <v>46405</v>
      </c>
      <c r="N91" s="26" t="n">
        <f aca="false">Overview!$B$4+7*(H91-1)+4</f>
        <v>46430</v>
      </c>
      <c r="O91" s="23" t="s">
        <v>343</v>
      </c>
      <c r="P91" s="24" t="s">
        <v>284</v>
      </c>
      <c r="Q91" s="24" t="s">
        <v>698</v>
      </c>
      <c r="R91" s="24" t="s">
        <v>699</v>
      </c>
      <c r="S91" s="24" t="s">
        <v>700</v>
      </c>
      <c r="T91" s="23" t="s">
        <v>126</v>
      </c>
      <c r="U91" s="24"/>
      <c r="V91" s="23" t="str">
        <f aca="false">";"&amp;SUBSTITUTE(P91," ","")&amp;";"</f>
        <v>;GRCC;</v>
      </c>
    </row>
    <row r="92" customFormat="false" ht="19.4" hidden="false" customHeight="false" outlineLevel="0" collapsed="false">
      <c r="A92" s="23" t="s">
        <v>701</v>
      </c>
      <c r="B92" s="23" t="s">
        <v>581</v>
      </c>
      <c r="C92" s="23" t="s">
        <v>98</v>
      </c>
      <c r="D92" s="24" t="s">
        <v>702</v>
      </c>
      <c r="E92" s="24" t="s">
        <v>703</v>
      </c>
      <c r="F92" s="25" t="n">
        <v>9</v>
      </c>
      <c r="G92" s="25" t="n">
        <v>2</v>
      </c>
      <c r="H92" s="23" t="n">
        <f aca="false">F92+G92-1</f>
        <v>10</v>
      </c>
      <c r="I92" s="24" t="s">
        <v>704</v>
      </c>
      <c r="J92" s="23" t="n">
        <f aca="false">IF(I92="","",SUMPRODUCT(MAX(ISNUMBER(SEARCH(","&amp;$A$7:$A$156&amp;",",","&amp;SUBSTITUTE(I92," ","")&amp;","))*$H$7:$H$156)))</f>
        <v>5</v>
      </c>
      <c r="K92" s="23" t="str">
        <f aca="false">IF(I92="","OK",IF(F92&gt;J92,"OK","VIOLATION"))</f>
        <v>OK</v>
      </c>
      <c r="L92" s="23" t="str">
        <f aca="false">IF(H92&lt;=26,"OK","LATE")</f>
        <v>OK</v>
      </c>
      <c r="M92" s="26" t="n">
        <f aca="false">Overview!$B$4+7*(F92-1)</f>
        <v>46377</v>
      </c>
      <c r="N92" s="26" t="n">
        <f aca="false">Overview!$B$4+7*(H92-1)+4</f>
        <v>46388</v>
      </c>
      <c r="O92" s="23" t="s">
        <v>184</v>
      </c>
      <c r="P92" s="24"/>
      <c r="Q92" s="24" t="s">
        <v>705</v>
      </c>
      <c r="R92" s="24" t="s">
        <v>706</v>
      </c>
      <c r="S92" s="24" t="s">
        <v>707</v>
      </c>
      <c r="T92" s="23" t="s">
        <v>126</v>
      </c>
      <c r="U92" s="24"/>
      <c r="V92" s="23" t="str">
        <f aca="false">";"&amp;SUBSTITUTE(P92," ","")&amp;";"</f>
        <v>;;</v>
      </c>
    </row>
    <row r="93" customFormat="false" ht="19.4" hidden="false" customHeight="false" outlineLevel="0" collapsed="false">
      <c r="A93" s="23" t="s">
        <v>708</v>
      </c>
      <c r="B93" s="23" t="s">
        <v>581</v>
      </c>
      <c r="C93" s="23" t="s">
        <v>98</v>
      </c>
      <c r="D93" s="24" t="s">
        <v>709</v>
      </c>
      <c r="E93" s="24" t="s">
        <v>710</v>
      </c>
      <c r="F93" s="25" t="n">
        <v>7</v>
      </c>
      <c r="G93" s="25" t="n">
        <v>4</v>
      </c>
      <c r="H93" s="23" t="n">
        <f aca="false">F93+G93-1</f>
        <v>10</v>
      </c>
      <c r="I93" s="24" t="s">
        <v>711</v>
      </c>
      <c r="J93" s="23" t="n">
        <f aca="false">IF(I93="","",SUMPRODUCT(MAX(ISNUMBER(SEARCH(","&amp;$A$7:$A$156&amp;",",","&amp;SUBSTITUTE(I93," ","")&amp;","))*$H$7:$H$156)))</f>
        <v>6</v>
      </c>
      <c r="K93" s="23" t="str">
        <f aca="false">IF(I93="","OK",IF(F93&gt;J93,"OK","VIOLATION"))</f>
        <v>OK</v>
      </c>
      <c r="L93" s="23" t="str">
        <f aca="false">IF(H93&lt;=26,"OK","LATE")</f>
        <v>OK</v>
      </c>
      <c r="M93" s="26" t="n">
        <f aca="false">Overview!$B$4+7*(F93-1)</f>
        <v>46363</v>
      </c>
      <c r="N93" s="26" t="n">
        <f aca="false">Overview!$B$4+7*(H93-1)+4</f>
        <v>46388</v>
      </c>
      <c r="O93" s="23" t="s">
        <v>388</v>
      </c>
      <c r="P93" s="24"/>
      <c r="Q93" s="24" t="s">
        <v>712</v>
      </c>
      <c r="R93" s="24" t="s">
        <v>713</v>
      </c>
      <c r="S93" s="24" t="s">
        <v>714</v>
      </c>
      <c r="T93" s="23" t="s">
        <v>126</v>
      </c>
      <c r="U93" s="24"/>
      <c r="V93" s="23" t="str">
        <f aca="false">";"&amp;SUBSTITUTE(P93," ","")&amp;";"</f>
        <v>;;</v>
      </c>
    </row>
    <row r="94" customFormat="false" ht="19.4" hidden="false" customHeight="false" outlineLevel="0" collapsed="false">
      <c r="A94" s="23" t="s">
        <v>715</v>
      </c>
      <c r="B94" s="23" t="s">
        <v>581</v>
      </c>
      <c r="C94" s="23" t="s">
        <v>98</v>
      </c>
      <c r="D94" s="24" t="s">
        <v>716</v>
      </c>
      <c r="E94" s="24" t="s">
        <v>717</v>
      </c>
      <c r="F94" s="25" t="n">
        <v>11</v>
      </c>
      <c r="G94" s="25" t="n">
        <v>2</v>
      </c>
      <c r="H94" s="23" t="n">
        <f aca="false">F94+G94-1</f>
        <v>12</v>
      </c>
      <c r="I94" s="24" t="s">
        <v>718</v>
      </c>
      <c r="J94" s="23" t="n">
        <f aca="false">IF(I94="","",SUMPRODUCT(MAX(ISNUMBER(SEARCH(","&amp;$A$7:$A$156&amp;",",","&amp;SUBSTITUTE(I94," ","")&amp;","))*$H$7:$H$156)))</f>
        <v>10</v>
      </c>
      <c r="K94" s="23" t="str">
        <f aca="false">IF(I94="","OK",IF(F94&gt;J94,"OK","VIOLATION"))</f>
        <v>OK</v>
      </c>
      <c r="L94" s="23" t="str">
        <f aca="false">IF(H94&lt;=26,"OK","LATE")</f>
        <v>OK</v>
      </c>
      <c r="M94" s="26" t="n">
        <f aca="false">Overview!$B$4+7*(F94-1)</f>
        <v>46391</v>
      </c>
      <c r="N94" s="26" t="n">
        <f aca="false">Overview!$B$4+7*(H94-1)+4</f>
        <v>46402</v>
      </c>
      <c r="O94" s="23" t="s">
        <v>388</v>
      </c>
      <c r="P94" s="24" t="s">
        <v>184</v>
      </c>
      <c r="Q94" s="24" t="s">
        <v>712</v>
      </c>
      <c r="R94" s="24" t="s">
        <v>719</v>
      </c>
      <c r="S94" s="24" t="s">
        <v>720</v>
      </c>
      <c r="T94" s="23" t="s">
        <v>126</v>
      </c>
      <c r="U94" s="24"/>
      <c r="V94" s="23" t="str">
        <f aca="false">";"&amp;SUBSTITUTE(P94," ","")&amp;";"</f>
        <v>;ISE;</v>
      </c>
    </row>
    <row r="95" customFormat="false" ht="19.4" hidden="false" customHeight="false" outlineLevel="0" collapsed="false">
      <c r="A95" s="23" t="s">
        <v>721</v>
      </c>
      <c r="B95" s="23" t="s">
        <v>581</v>
      </c>
      <c r="C95" s="23" t="s">
        <v>98</v>
      </c>
      <c r="D95" s="24" t="s">
        <v>722</v>
      </c>
      <c r="E95" s="24" t="s">
        <v>723</v>
      </c>
      <c r="F95" s="25" t="n">
        <v>9</v>
      </c>
      <c r="G95" s="25" t="n">
        <v>4</v>
      </c>
      <c r="H95" s="23" t="n">
        <f aca="false">F95+G95-1</f>
        <v>12</v>
      </c>
      <c r="I95" s="24" t="s">
        <v>724</v>
      </c>
      <c r="J95" s="23" t="n">
        <f aca="false">IF(I95="","",SUMPRODUCT(MAX(ISNUMBER(SEARCH(","&amp;$A$7:$A$156&amp;",",","&amp;SUBSTITUTE(I95," ","")&amp;","))*$H$7:$H$156)))</f>
        <v>6</v>
      </c>
      <c r="K95" s="23" t="str">
        <f aca="false">IF(I95="","OK",IF(F95&gt;J95,"OK","VIOLATION"))</f>
        <v>OK</v>
      </c>
      <c r="L95" s="23" t="str">
        <f aca="false">IF(H95&lt;=26,"OK","LATE")</f>
        <v>OK</v>
      </c>
      <c r="M95" s="26" t="n">
        <f aca="false">Overview!$B$4+7*(F95-1)</f>
        <v>46377</v>
      </c>
      <c r="N95" s="26" t="n">
        <f aca="false">Overview!$B$4+7*(H95-1)+4</f>
        <v>46402</v>
      </c>
      <c r="O95" s="23" t="s">
        <v>184</v>
      </c>
      <c r="P95" s="24" t="s">
        <v>174</v>
      </c>
      <c r="Q95" s="24" t="s">
        <v>396</v>
      </c>
      <c r="R95" s="24" t="s">
        <v>725</v>
      </c>
      <c r="S95" s="24" t="s">
        <v>726</v>
      </c>
      <c r="T95" s="23" t="s">
        <v>126</v>
      </c>
      <c r="U95" s="24"/>
      <c r="V95" s="23" t="str">
        <f aca="false">";"&amp;SUBSTITUTE(P95," ","")&amp;";"</f>
        <v>;CSE;</v>
      </c>
    </row>
    <row r="96" customFormat="false" ht="28.35" hidden="false" customHeight="false" outlineLevel="0" collapsed="false">
      <c r="A96" s="23" t="s">
        <v>727</v>
      </c>
      <c r="B96" s="23" t="s">
        <v>581</v>
      </c>
      <c r="C96" s="23" t="s">
        <v>98</v>
      </c>
      <c r="D96" s="24" t="s">
        <v>728</v>
      </c>
      <c r="E96" s="24" t="s">
        <v>729</v>
      </c>
      <c r="F96" s="25" t="n">
        <v>9</v>
      </c>
      <c r="G96" s="25" t="n">
        <v>5</v>
      </c>
      <c r="H96" s="23" t="n">
        <f aca="false">F96+G96-1</f>
        <v>13</v>
      </c>
      <c r="I96" s="24" t="s">
        <v>730</v>
      </c>
      <c r="J96" s="23" t="n">
        <f aca="false">IF(I96="","",SUMPRODUCT(MAX(ISNUMBER(SEARCH(","&amp;$A$7:$A$156&amp;",",","&amp;SUBSTITUTE(I96," ","")&amp;","))*$H$7:$H$156)))</f>
        <v>8</v>
      </c>
      <c r="K96" s="23" t="str">
        <f aca="false">IF(I96="","OK",IF(F96&gt;J96,"OK","VIOLATION"))</f>
        <v>OK</v>
      </c>
      <c r="L96" s="23" t="str">
        <f aca="false">IF(H96&lt;=26,"OK","LATE")</f>
        <v>OK</v>
      </c>
      <c r="M96" s="26" t="n">
        <f aca="false">Overview!$B$4+7*(F96-1)</f>
        <v>46377</v>
      </c>
      <c r="N96" s="26" t="n">
        <f aca="false">Overview!$B$4+7*(H96-1)+4</f>
        <v>46409</v>
      </c>
      <c r="O96" s="23" t="s">
        <v>388</v>
      </c>
      <c r="P96" s="24" t="s">
        <v>731</v>
      </c>
      <c r="Q96" s="24" t="s">
        <v>732</v>
      </c>
      <c r="R96" s="24" t="s">
        <v>733</v>
      </c>
      <c r="S96" s="24" t="s">
        <v>734</v>
      </c>
      <c r="T96" s="23" t="s">
        <v>126</v>
      </c>
      <c r="U96" s="24"/>
      <c r="V96" s="23" t="str">
        <f aca="false">";"&amp;SUBSTITUTE(P96," ","")&amp;";"</f>
        <v>;ISE;ENG;</v>
      </c>
    </row>
    <row r="97" customFormat="false" ht="19.4" hidden="false" customHeight="false" outlineLevel="0" collapsed="false">
      <c r="A97" s="23" t="s">
        <v>735</v>
      </c>
      <c r="B97" s="23" t="s">
        <v>581</v>
      </c>
      <c r="C97" s="23" t="s">
        <v>98</v>
      </c>
      <c r="D97" s="24" t="s">
        <v>736</v>
      </c>
      <c r="E97" s="24" t="s">
        <v>737</v>
      </c>
      <c r="F97" s="25" t="n">
        <v>12</v>
      </c>
      <c r="G97" s="25" t="n">
        <v>4</v>
      </c>
      <c r="H97" s="23" t="n">
        <f aca="false">F97+G97-1</f>
        <v>15</v>
      </c>
      <c r="I97" s="24" t="s">
        <v>738</v>
      </c>
      <c r="J97" s="23" t="n">
        <f aca="false">IF(I97="","",SUMPRODUCT(MAX(ISNUMBER(SEARCH(","&amp;$A$7:$A$156&amp;",",","&amp;SUBSTITUTE(I97," ","")&amp;","))*$H$7:$H$156)))</f>
        <v>8</v>
      </c>
      <c r="K97" s="23" t="str">
        <f aca="false">IF(I97="","OK",IF(F97&gt;J97,"OK","VIOLATION"))</f>
        <v>OK</v>
      </c>
      <c r="L97" s="23" t="str">
        <f aca="false">IF(H97&lt;=26,"OK","LATE")</f>
        <v>OK</v>
      </c>
      <c r="M97" s="26" t="n">
        <f aca="false">Overview!$B$4+7*(F97-1)</f>
        <v>46398</v>
      </c>
      <c r="N97" s="26" t="n">
        <f aca="false">Overview!$B$4+7*(H97-1)+4</f>
        <v>46423</v>
      </c>
      <c r="O97" s="23" t="s">
        <v>343</v>
      </c>
      <c r="P97" s="24" t="s">
        <v>175</v>
      </c>
      <c r="Q97" s="24" t="s">
        <v>739</v>
      </c>
      <c r="R97" s="24" t="s">
        <v>740</v>
      </c>
      <c r="S97" s="24" t="s">
        <v>741</v>
      </c>
      <c r="T97" s="23" t="s">
        <v>126</v>
      </c>
      <c r="U97" s="24"/>
      <c r="V97" s="23" t="str">
        <f aca="false">";"&amp;SUBSTITUTE(P97," ","")&amp;";"</f>
        <v>;ENG;</v>
      </c>
    </row>
    <row r="98" customFormat="false" ht="19.4" hidden="false" customHeight="false" outlineLevel="0" collapsed="false">
      <c r="A98" s="23" t="s">
        <v>742</v>
      </c>
      <c r="B98" s="23" t="s">
        <v>581</v>
      </c>
      <c r="C98" s="23" t="s">
        <v>98</v>
      </c>
      <c r="D98" s="24" t="s">
        <v>743</v>
      </c>
      <c r="E98" s="24" t="s">
        <v>744</v>
      </c>
      <c r="F98" s="25" t="n">
        <v>13</v>
      </c>
      <c r="G98" s="25" t="n">
        <v>3</v>
      </c>
      <c r="H98" s="23" t="n">
        <f aca="false">F98+G98-1</f>
        <v>15</v>
      </c>
      <c r="I98" s="24" t="s">
        <v>745</v>
      </c>
      <c r="J98" s="23" t="n">
        <f aca="false">IF(I98="","",SUMPRODUCT(MAX(ISNUMBER(SEARCH(","&amp;$A$7:$A$156&amp;",",","&amp;SUBSTITUTE(I98," ","")&amp;","))*$H$7:$H$156)))</f>
        <v>12</v>
      </c>
      <c r="K98" s="23" t="str">
        <f aca="false">IF(I98="","OK",IF(F98&gt;J98,"OK","VIOLATION"))</f>
        <v>OK</v>
      </c>
      <c r="L98" s="23" t="str">
        <f aca="false">IF(H98&lt;=26,"OK","LATE")</f>
        <v>OK</v>
      </c>
      <c r="M98" s="26" t="n">
        <f aca="false">Overview!$B$4+7*(F98-1)</f>
        <v>46405</v>
      </c>
      <c r="N98" s="26" t="n">
        <f aca="false">Overview!$B$4+7*(H98-1)+4</f>
        <v>46423</v>
      </c>
      <c r="O98" s="23" t="s">
        <v>184</v>
      </c>
      <c r="P98" s="24"/>
      <c r="Q98" s="24" t="s">
        <v>746</v>
      </c>
      <c r="R98" s="24" t="s">
        <v>747</v>
      </c>
      <c r="S98" s="24" t="s">
        <v>748</v>
      </c>
      <c r="T98" s="23" t="s">
        <v>126</v>
      </c>
      <c r="U98" s="24"/>
      <c r="V98" s="23" t="str">
        <f aca="false">";"&amp;SUBSTITUTE(P98," ","")&amp;";"</f>
        <v>;;</v>
      </c>
    </row>
    <row r="99" customFormat="false" ht="19.4" hidden="false" customHeight="false" outlineLevel="0" collapsed="false">
      <c r="A99" s="23" t="s">
        <v>749</v>
      </c>
      <c r="B99" s="23" t="s">
        <v>581</v>
      </c>
      <c r="C99" s="23" t="s">
        <v>98</v>
      </c>
      <c r="D99" s="24" t="s">
        <v>750</v>
      </c>
      <c r="E99" s="24" t="s">
        <v>751</v>
      </c>
      <c r="F99" s="25" t="n">
        <v>13</v>
      </c>
      <c r="G99" s="25" t="n">
        <v>3</v>
      </c>
      <c r="H99" s="23" t="n">
        <f aca="false">F99+G99-1</f>
        <v>15</v>
      </c>
      <c r="I99" s="24" t="s">
        <v>715</v>
      </c>
      <c r="J99" s="23" t="n">
        <f aca="false">IF(I99="","",SUMPRODUCT(MAX(ISNUMBER(SEARCH(","&amp;$A$7:$A$156&amp;",",","&amp;SUBSTITUTE(I99," ","")&amp;","))*$H$7:$H$156)))</f>
        <v>12</v>
      </c>
      <c r="K99" s="23" t="str">
        <f aca="false">IF(I99="","OK",IF(F99&gt;J99,"OK","VIOLATION"))</f>
        <v>OK</v>
      </c>
      <c r="L99" s="23" t="str">
        <f aca="false">IF(H99&lt;=26,"OK","LATE")</f>
        <v>OK</v>
      </c>
      <c r="M99" s="26" t="n">
        <f aca="false">Overview!$B$4+7*(F99-1)</f>
        <v>46405</v>
      </c>
      <c r="N99" s="26" t="n">
        <f aca="false">Overview!$B$4+7*(H99-1)+4</f>
        <v>46423</v>
      </c>
      <c r="O99" s="23" t="s">
        <v>388</v>
      </c>
      <c r="P99" s="24" t="s">
        <v>184</v>
      </c>
      <c r="Q99" s="24" t="s">
        <v>752</v>
      </c>
      <c r="R99" s="24" t="s">
        <v>753</v>
      </c>
      <c r="S99" s="24" t="s">
        <v>754</v>
      </c>
      <c r="T99" s="23" t="s">
        <v>126</v>
      </c>
      <c r="U99" s="24"/>
      <c r="V99" s="23" t="str">
        <f aca="false">";"&amp;SUBSTITUTE(P99," ","")&amp;";"</f>
        <v>;ISE;</v>
      </c>
    </row>
    <row r="100" customFormat="false" ht="19.4" hidden="false" customHeight="false" outlineLevel="0" collapsed="false">
      <c r="A100" s="23" t="s">
        <v>755</v>
      </c>
      <c r="B100" s="23" t="s">
        <v>581</v>
      </c>
      <c r="C100" s="23" t="s">
        <v>98</v>
      </c>
      <c r="D100" s="24" t="s">
        <v>756</v>
      </c>
      <c r="E100" s="24" t="s">
        <v>757</v>
      </c>
      <c r="F100" s="25" t="n">
        <v>14</v>
      </c>
      <c r="G100" s="25" t="n">
        <v>2</v>
      </c>
      <c r="H100" s="23" t="n">
        <f aca="false">F100+G100-1</f>
        <v>15</v>
      </c>
      <c r="I100" s="24" t="s">
        <v>406</v>
      </c>
      <c r="J100" s="23" t="n">
        <f aca="false">IF(I100="","",SUMPRODUCT(MAX(ISNUMBER(SEARCH(","&amp;$A$7:$A$156&amp;",",","&amp;SUBSTITUTE(I100," ","")&amp;","))*$H$7:$H$156)))</f>
        <v>7</v>
      </c>
      <c r="K100" s="23" t="str">
        <f aca="false">IF(I100="","OK",IF(F100&gt;J100,"OK","VIOLATION"))</f>
        <v>OK</v>
      </c>
      <c r="L100" s="23" t="str">
        <f aca="false">IF(H100&lt;=26,"OK","LATE")</f>
        <v>OK</v>
      </c>
      <c r="M100" s="26" t="n">
        <f aca="false">Overview!$B$4+7*(F100-1)</f>
        <v>46412</v>
      </c>
      <c r="N100" s="26" t="n">
        <f aca="false">Overview!$B$4+7*(H100-1)+4</f>
        <v>46423</v>
      </c>
      <c r="O100" s="23" t="s">
        <v>388</v>
      </c>
      <c r="P100" s="24" t="s">
        <v>184</v>
      </c>
      <c r="Q100" s="24" t="s">
        <v>758</v>
      </c>
      <c r="R100" s="24" t="s">
        <v>759</v>
      </c>
      <c r="S100" s="24" t="s">
        <v>760</v>
      </c>
      <c r="T100" s="23" t="s">
        <v>126</v>
      </c>
      <c r="U100" s="24"/>
      <c r="V100" s="23" t="str">
        <f aca="false">";"&amp;SUBSTITUTE(P100," ","")&amp;";"</f>
        <v>;ISE;</v>
      </c>
    </row>
    <row r="101" customFormat="false" ht="15" hidden="false" customHeight="false" outlineLevel="0" collapsed="false">
      <c r="A101" s="23" t="s">
        <v>761</v>
      </c>
      <c r="B101" s="23" t="s">
        <v>581</v>
      </c>
      <c r="C101" s="23" t="s">
        <v>98</v>
      </c>
      <c r="D101" s="24" t="s">
        <v>762</v>
      </c>
      <c r="E101" s="24" t="s">
        <v>763</v>
      </c>
      <c r="F101" s="25" t="n">
        <v>15</v>
      </c>
      <c r="G101" s="25" t="n">
        <v>3</v>
      </c>
      <c r="H101" s="23" t="n">
        <f aca="false">F101+G101-1</f>
        <v>17</v>
      </c>
      <c r="I101" s="24" t="s">
        <v>412</v>
      </c>
      <c r="J101" s="23" t="n">
        <f aca="false">IF(I101="","",SUMPRODUCT(MAX(ISNUMBER(SEARCH(","&amp;$A$7:$A$156&amp;",",","&amp;SUBSTITUTE(I101," ","")&amp;","))*$H$7:$H$156)))</f>
        <v>9</v>
      </c>
      <c r="K101" s="23" t="str">
        <f aca="false">IF(I101="","OK",IF(F101&gt;J101,"OK","VIOLATION"))</f>
        <v>OK</v>
      </c>
      <c r="L101" s="23" t="str">
        <f aca="false">IF(H101&lt;=26,"OK","LATE")</f>
        <v>OK</v>
      </c>
      <c r="M101" s="26" t="n">
        <f aca="false">Overview!$B$4+7*(F101-1)</f>
        <v>46419</v>
      </c>
      <c r="N101" s="26" t="n">
        <f aca="false">Overview!$B$4+7*(H101-1)+4</f>
        <v>46437</v>
      </c>
      <c r="O101" s="23" t="s">
        <v>415</v>
      </c>
      <c r="P101" s="24" t="s">
        <v>175</v>
      </c>
      <c r="Q101" s="24" t="s">
        <v>416</v>
      </c>
      <c r="R101" s="24" t="s">
        <v>764</v>
      </c>
      <c r="S101" s="24" t="s">
        <v>765</v>
      </c>
      <c r="T101" s="23" t="s">
        <v>126</v>
      </c>
      <c r="U101" s="24"/>
      <c r="V101" s="23" t="str">
        <f aca="false">";"&amp;SUBSTITUTE(P101," ","")&amp;";"</f>
        <v>;ENG;</v>
      </c>
    </row>
    <row r="102" customFormat="false" ht="19.4" hidden="false" customHeight="false" outlineLevel="0" collapsed="false">
      <c r="A102" s="23" t="s">
        <v>766</v>
      </c>
      <c r="B102" s="23" t="s">
        <v>581</v>
      </c>
      <c r="C102" s="23" t="s">
        <v>98</v>
      </c>
      <c r="D102" s="24" t="s">
        <v>767</v>
      </c>
      <c r="E102" s="24" t="s">
        <v>768</v>
      </c>
      <c r="F102" s="25" t="n">
        <v>16</v>
      </c>
      <c r="G102" s="25" t="n">
        <v>3</v>
      </c>
      <c r="H102" s="23" t="n">
        <f aca="false">F102+G102-1</f>
        <v>18</v>
      </c>
      <c r="I102" s="24" t="s">
        <v>715</v>
      </c>
      <c r="J102" s="23" t="n">
        <f aca="false">IF(I102="","",SUMPRODUCT(MAX(ISNUMBER(SEARCH(","&amp;$A$7:$A$156&amp;",",","&amp;SUBSTITUTE(I102," ","")&amp;","))*$H$7:$H$156)))</f>
        <v>12</v>
      </c>
      <c r="K102" s="23" t="str">
        <f aca="false">IF(I102="","OK",IF(F102&gt;J102,"OK","VIOLATION"))</f>
        <v>OK</v>
      </c>
      <c r="L102" s="23" t="str">
        <f aca="false">IF(H102&lt;=26,"OK","LATE")</f>
        <v>OK</v>
      </c>
      <c r="M102" s="26" t="n">
        <f aca="false">Overview!$B$4+7*(F102-1)</f>
        <v>46426</v>
      </c>
      <c r="N102" s="26" t="n">
        <f aca="false">Overview!$B$4+7*(H102-1)+4</f>
        <v>46444</v>
      </c>
      <c r="O102" s="23" t="s">
        <v>388</v>
      </c>
      <c r="P102" s="24" t="s">
        <v>184</v>
      </c>
      <c r="Q102" s="24" t="s">
        <v>769</v>
      </c>
      <c r="R102" s="24" t="s">
        <v>770</v>
      </c>
      <c r="S102" s="24" t="s">
        <v>771</v>
      </c>
      <c r="T102" s="23" t="s">
        <v>126</v>
      </c>
      <c r="U102" s="24"/>
      <c r="V102" s="23" t="str">
        <f aca="false">";"&amp;SUBSTITUTE(P102," ","")&amp;";"</f>
        <v>;ISE;</v>
      </c>
    </row>
    <row r="103" customFormat="false" ht="19.4" hidden="false" customHeight="false" outlineLevel="0" collapsed="false">
      <c r="A103" s="23" t="s">
        <v>772</v>
      </c>
      <c r="B103" s="23" t="s">
        <v>581</v>
      </c>
      <c r="C103" s="23" t="s">
        <v>98</v>
      </c>
      <c r="D103" s="24" t="s">
        <v>773</v>
      </c>
      <c r="E103" s="24" t="s">
        <v>774</v>
      </c>
      <c r="F103" s="25" t="n">
        <v>16</v>
      </c>
      <c r="G103" s="25" t="n">
        <v>3</v>
      </c>
      <c r="H103" s="23" t="n">
        <f aca="false">F103+G103-1</f>
        <v>18</v>
      </c>
      <c r="I103" s="24" t="s">
        <v>775</v>
      </c>
      <c r="J103" s="23" t="n">
        <f aca="false">IF(I103="","",SUMPRODUCT(MAX(ISNUMBER(SEARCH(","&amp;$A$7:$A$156&amp;",",","&amp;SUBSTITUTE(I103," ","")&amp;","))*$H$7:$H$156)))</f>
        <v>13</v>
      </c>
      <c r="K103" s="23" t="str">
        <f aca="false">IF(I103="","OK",IF(F103&gt;J103,"OK","VIOLATION"))</f>
        <v>OK</v>
      </c>
      <c r="L103" s="23" t="str">
        <f aca="false">IF(H103&lt;=26,"OK","LATE")</f>
        <v>OK</v>
      </c>
      <c r="M103" s="26" t="n">
        <f aca="false">Overview!$B$4+7*(F103-1)</f>
        <v>46426</v>
      </c>
      <c r="N103" s="26" t="n">
        <f aca="false">Overview!$B$4+7*(H103-1)+4</f>
        <v>46444</v>
      </c>
      <c r="O103" s="23" t="s">
        <v>388</v>
      </c>
      <c r="P103" s="24" t="s">
        <v>776</v>
      </c>
      <c r="Q103" s="24" t="s">
        <v>777</v>
      </c>
      <c r="R103" s="24" t="s">
        <v>778</v>
      </c>
      <c r="S103" s="24" t="s">
        <v>779</v>
      </c>
      <c r="T103" s="23" t="s">
        <v>126</v>
      </c>
      <c r="U103" s="24"/>
      <c r="V103" s="23" t="str">
        <f aca="false">";"&amp;SUBSTITUTE(P103," ","")&amp;";"</f>
        <v>;ISE;HRB;</v>
      </c>
    </row>
    <row r="104" customFormat="false" ht="19.4" hidden="false" customHeight="false" outlineLevel="0" collapsed="false">
      <c r="A104" s="23" t="s">
        <v>780</v>
      </c>
      <c r="B104" s="23" t="s">
        <v>581</v>
      </c>
      <c r="C104" s="23" t="s">
        <v>181</v>
      </c>
      <c r="D104" s="24" t="s">
        <v>781</v>
      </c>
      <c r="E104" s="24" t="s">
        <v>782</v>
      </c>
      <c r="F104" s="25" t="n">
        <v>7</v>
      </c>
      <c r="G104" s="25" t="n">
        <v>4</v>
      </c>
      <c r="H104" s="23" t="n">
        <f aca="false">F104+G104-1</f>
        <v>10</v>
      </c>
      <c r="I104" s="24" t="s">
        <v>783</v>
      </c>
      <c r="J104" s="23" t="n">
        <f aca="false">IF(I104="","",SUMPRODUCT(MAX(ISNUMBER(SEARCH(","&amp;$A$7:$A$156&amp;",",","&amp;SUBSTITUTE(I104," ","")&amp;","))*$H$7:$H$156)))</f>
        <v>6</v>
      </c>
      <c r="K104" s="23" t="str">
        <f aca="false">IF(I104="","OK",IF(F104&gt;J104,"OK","VIOLATION"))</f>
        <v>OK</v>
      </c>
      <c r="L104" s="23" t="str">
        <f aca="false">IF(H104&lt;=26,"OK","LATE")</f>
        <v>OK</v>
      </c>
      <c r="M104" s="26" t="n">
        <f aca="false">Overview!$B$4+7*(F104-1)</f>
        <v>46363</v>
      </c>
      <c r="N104" s="26" t="n">
        <f aca="false">Overview!$B$4+7*(H104-1)+4</f>
        <v>46388</v>
      </c>
      <c r="O104" s="23" t="s">
        <v>429</v>
      </c>
      <c r="P104" s="24" t="s">
        <v>184</v>
      </c>
      <c r="Q104" s="24" t="s">
        <v>784</v>
      </c>
      <c r="R104" s="24" t="s">
        <v>785</v>
      </c>
      <c r="S104" s="24" t="s">
        <v>786</v>
      </c>
      <c r="T104" s="23" t="s">
        <v>126</v>
      </c>
      <c r="U104" s="24"/>
      <c r="V104" s="23" t="str">
        <f aca="false">";"&amp;SUBSTITUTE(P104," ","")&amp;";"</f>
        <v>;ISE;</v>
      </c>
    </row>
    <row r="105" customFormat="false" ht="15" hidden="false" customHeight="false" outlineLevel="0" collapsed="false">
      <c r="A105" s="23" t="s">
        <v>787</v>
      </c>
      <c r="B105" s="23" t="s">
        <v>581</v>
      </c>
      <c r="C105" s="23" t="s">
        <v>181</v>
      </c>
      <c r="D105" s="24" t="s">
        <v>788</v>
      </c>
      <c r="E105" s="24" t="s">
        <v>789</v>
      </c>
      <c r="F105" s="25" t="n">
        <v>8</v>
      </c>
      <c r="G105" s="25" t="n">
        <v>3</v>
      </c>
      <c r="H105" s="23" t="n">
        <f aca="false">F105+G105-1</f>
        <v>10</v>
      </c>
      <c r="I105" s="24" t="s">
        <v>433</v>
      </c>
      <c r="J105" s="23" t="n">
        <f aca="false">IF(I105="","",SUMPRODUCT(MAX(ISNUMBER(SEARCH(","&amp;$A$7:$A$156&amp;",",","&amp;SUBSTITUTE(I105," ","")&amp;","))*$H$7:$H$156)))</f>
        <v>7</v>
      </c>
      <c r="K105" s="23" t="str">
        <f aca="false">IF(I105="","OK",IF(F105&gt;J105,"OK","VIOLATION"))</f>
        <v>OK</v>
      </c>
      <c r="L105" s="23" t="str">
        <f aca="false">IF(H105&lt;=26,"OK","LATE")</f>
        <v>OK</v>
      </c>
      <c r="M105" s="26" t="n">
        <f aca="false">Overview!$B$4+7*(F105-1)</f>
        <v>46370</v>
      </c>
      <c r="N105" s="26" t="n">
        <f aca="false">Overview!$B$4+7*(H105-1)+4</f>
        <v>46388</v>
      </c>
      <c r="O105" s="23" t="s">
        <v>429</v>
      </c>
      <c r="P105" s="24" t="s">
        <v>184</v>
      </c>
      <c r="Q105" s="24" t="s">
        <v>437</v>
      </c>
      <c r="R105" s="24" t="s">
        <v>790</v>
      </c>
      <c r="S105" s="24" t="s">
        <v>791</v>
      </c>
      <c r="T105" s="23" t="s">
        <v>126</v>
      </c>
      <c r="U105" s="24"/>
      <c r="V105" s="23" t="str">
        <f aca="false">";"&amp;SUBSTITUTE(P105," ","")&amp;";"</f>
        <v>;ISE;</v>
      </c>
    </row>
    <row r="106" customFormat="false" ht="28.35" hidden="false" customHeight="false" outlineLevel="0" collapsed="false">
      <c r="A106" s="23" t="s">
        <v>792</v>
      </c>
      <c r="B106" s="23" t="s">
        <v>581</v>
      </c>
      <c r="C106" s="23" t="s">
        <v>181</v>
      </c>
      <c r="D106" s="24" t="s">
        <v>793</v>
      </c>
      <c r="E106" s="24" t="s">
        <v>794</v>
      </c>
      <c r="F106" s="25" t="n">
        <v>5</v>
      </c>
      <c r="G106" s="25" t="n">
        <v>9</v>
      </c>
      <c r="H106" s="23" t="n">
        <f aca="false">F106+G106-1</f>
        <v>13</v>
      </c>
      <c r="I106" s="24" t="s">
        <v>795</v>
      </c>
      <c r="J106" s="23" t="n">
        <f aca="false">IF(I106="","",SUMPRODUCT(MAX(ISNUMBER(SEARCH(","&amp;$A$7:$A$156&amp;",",","&amp;SUBSTITUTE(I106," ","")&amp;","))*$H$7:$H$156)))</f>
        <v>4</v>
      </c>
      <c r="K106" s="23" t="str">
        <f aca="false">IF(I106="","OK",IF(F106&gt;J106,"OK","VIOLATION"))</f>
        <v>OK</v>
      </c>
      <c r="L106" s="23" t="str">
        <f aca="false">IF(H106&lt;=26,"OK","LATE")</f>
        <v>OK</v>
      </c>
      <c r="M106" s="26" t="n">
        <f aca="false">Overview!$B$4+7*(F106-1)</f>
        <v>46349</v>
      </c>
      <c r="N106" s="26" t="n">
        <f aca="false">Overview!$B$4+7*(H106-1)+4</f>
        <v>46409</v>
      </c>
      <c r="O106" s="23" t="s">
        <v>796</v>
      </c>
      <c r="P106" s="24" t="s">
        <v>184</v>
      </c>
      <c r="Q106" s="24" t="s">
        <v>197</v>
      </c>
      <c r="R106" s="24" t="s">
        <v>797</v>
      </c>
      <c r="S106" s="24" t="s">
        <v>798</v>
      </c>
      <c r="T106" s="23" t="s">
        <v>126</v>
      </c>
      <c r="U106" s="24"/>
      <c r="V106" s="23" t="str">
        <f aca="false">";"&amp;SUBSTITUTE(P106," ","")&amp;";"</f>
        <v>;ISE;</v>
      </c>
    </row>
    <row r="107" customFormat="false" ht="19.4" hidden="false" customHeight="false" outlineLevel="0" collapsed="false">
      <c r="A107" s="23" t="s">
        <v>799</v>
      </c>
      <c r="B107" s="23" t="s">
        <v>581</v>
      </c>
      <c r="C107" s="23" t="s">
        <v>181</v>
      </c>
      <c r="D107" s="24" t="s">
        <v>800</v>
      </c>
      <c r="E107" s="24" t="s">
        <v>801</v>
      </c>
      <c r="F107" s="25" t="n">
        <v>9</v>
      </c>
      <c r="G107" s="25" t="n">
        <v>4</v>
      </c>
      <c r="H107" s="23" t="n">
        <f aca="false">F107+G107-1</f>
        <v>12</v>
      </c>
      <c r="I107" s="24" t="s">
        <v>802</v>
      </c>
      <c r="J107" s="23" t="n">
        <f aca="false">IF(I107="","",SUMPRODUCT(MAX(ISNUMBER(SEARCH(","&amp;$A$7:$A$156&amp;",",","&amp;SUBSTITUTE(I107," ","")&amp;","))*$H$7:$H$156)))</f>
        <v>8</v>
      </c>
      <c r="K107" s="23" t="str">
        <f aca="false">IF(I107="","OK",IF(F107&gt;J107,"OK","VIOLATION"))</f>
        <v>OK</v>
      </c>
      <c r="L107" s="23" t="str">
        <f aca="false">IF(H107&lt;=26,"OK","LATE")</f>
        <v>OK</v>
      </c>
      <c r="M107" s="26" t="n">
        <f aca="false">Overview!$B$4+7*(F107-1)</f>
        <v>46377</v>
      </c>
      <c r="N107" s="26" t="n">
        <f aca="false">Overview!$B$4+7*(H107-1)+4</f>
        <v>46402</v>
      </c>
      <c r="O107" s="23" t="s">
        <v>343</v>
      </c>
      <c r="P107" s="24" t="s">
        <v>175</v>
      </c>
      <c r="Q107" s="24" t="s">
        <v>803</v>
      </c>
      <c r="R107" s="24" t="s">
        <v>804</v>
      </c>
      <c r="S107" s="24" t="s">
        <v>805</v>
      </c>
      <c r="T107" s="23" t="s">
        <v>126</v>
      </c>
      <c r="U107" s="24"/>
      <c r="V107" s="23" t="str">
        <f aca="false">";"&amp;SUBSTITUTE(P107," ","")&amp;";"</f>
        <v>;ENG;</v>
      </c>
    </row>
    <row r="108" customFormat="false" ht="37.3" hidden="false" customHeight="false" outlineLevel="0" collapsed="false">
      <c r="A108" s="23" t="s">
        <v>806</v>
      </c>
      <c r="B108" s="23" t="s">
        <v>581</v>
      </c>
      <c r="C108" s="23" t="s">
        <v>181</v>
      </c>
      <c r="D108" s="24" t="s">
        <v>807</v>
      </c>
      <c r="E108" s="24" t="s">
        <v>808</v>
      </c>
      <c r="F108" s="25" t="n">
        <v>7</v>
      </c>
      <c r="G108" s="25" t="n">
        <v>3</v>
      </c>
      <c r="H108" s="23" t="n">
        <f aca="false">F108+G108-1</f>
        <v>9</v>
      </c>
      <c r="I108" s="24" t="s">
        <v>809</v>
      </c>
      <c r="J108" s="23" t="n">
        <f aca="false">IF(I108="","",SUMPRODUCT(MAX(ISNUMBER(SEARCH(","&amp;$A$7:$A$156&amp;",",","&amp;SUBSTITUTE(I108," ","")&amp;","))*$H$7:$H$156)))</f>
        <v>6</v>
      </c>
      <c r="K108" s="23" t="str">
        <f aca="false">IF(I108="","OK",IF(F108&gt;J108,"OK","VIOLATION"))</f>
        <v>OK</v>
      </c>
      <c r="L108" s="23" t="str">
        <f aca="false">IF(H108&lt;=26,"OK","LATE")</f>
        <v>OK</v>
      </c>
      <c r="M108" s="26" t="n">
        <f aca="false">Overview!$B$4+7*(F108-1)</f>
        <v>46363</v>
      </c>
      <c r="N108" s="26" t="n">
        <f aca="false">Overview!$B$4+7*(H108-1)+4</f>
        <v>46381</v>
      </c>
      <c r="O108" s="23" t="s">
        <v>150</v>
      </c>
      <c r="P108" s="24" t="s">
        <v>429</v>
      </c>
      <c r="Q108" s="24" t="s">
        <v>477</v>
      </c>
      <c r="R108" s="24" t="s">
        <v>810</v>
      </c>
      <c r="S108" s="24" t="s">
        <v>811</v>
      </c>
      <c r="T108" s="23" t="s">
        <v>126</v>
      </c>
      <c r="U108" s="24"/>
      <c r="V108" s="23" t="str">
        <f aca="false">";"&amp;SUBSTITUTE(P108," ","")&amp;";"</f>
        <v>;DET;</v>
      </c>
    </row>
    <row r="109" customFormat="false" ht="28.35" hidden="false" customHeight="false" outlineLevel="0" collapsed="false">
      <c r="A109" s="23" t="s">
        <v>812</v>
      </c>
      <c r="B109" s="23" t="s">
        <v>581</v>
      </c>
      <c r="C109" s="23" t="s">
        <v>181</v>
      </c>
      <c r="D109" s="24" t="s">
        <v>813</v>
      </c>
      <c r="E109" s="24" t="s">
        <v>814</v>
      </c>
      <c r="F109" s="25" t="n">
        <v>10</v>
      </c>
      <c r="G109" s="25" t="n">
        <v>2</v>
      </c>
      <c r="H109" s="23" t="n">
        <f aca="false">F109+G109-1</f>
        <v>11</v>
      </c>
      <c r="I109" s="24" t="s">
        <v>815</v>
      </c>
      <c r="J109" s="23" t="n">
        <f aca="false">IF(I109="","",SUMPRODUCT(MAX(ISNUMBER(SEARCH(","&amp;$A$7:$A$156&amp;",",","&amp;SUBSTITUTE(I109," ","")&amp;","))*$H$7:$H$156)))</f>
        <v>9</v>
      </c>
      <c r="K109" s="23" t="str">
        <f aca="false">IF(I109="","OK",IF(F109&gt;J109,"OK","VIOLATION"))</f>
        <v>OK</v>
      </c>
      <c r="L109" s="23" t="str">
        <f aca="false">IF(H109&lt;=26,"OK","LATE")</f>
        <v>OK</v>
      </c>
      <c r="M109" s="26" t="n">
        <f aca="false">Overview!$B$4+7*(F109-1)</f>
        <v>46384</v>
      </c>
      <c r="N109" s="26" t="n">
        <f aca="false">Overview!$B$4+7*(H109-1)+4</f>
        <v>46395</v>
      </c>
      <c r="O109" s="23" t="s">
        <v>429</v>
      </c>
      <c r="P109" s="24" t="s">
        <v>816</v>
      </c>
      <c r="Q109" s="24" t="s">
        <v>817</v>
      </c>
      <c r="R109" s="24" t="s">
        <v>818</v>
      </c>
      <c r="S109" s="24" t="s">
        <v>819</v>
      </c>
      <c r="T109" s="23" t="s">
        <v>126</v>
      </c>
      <c r="U109" s="24"/>
      <c r="V109" s="23" t="str">
        <f aca="false">";"&amp;SUBSTITUTE(P109," ","")&amp;";"</f>
        <v>;BSE;CSO;</v>
      </c>
    </row>
    <row r="110" customFormat="false" ht="19.4" hidden="false" customHeight="false" outlineLevel="0" collapsed="false">
      <c r="A110" s="23" t="s">
        <v>820</v>
      </c>
      <c r="B110" s="23" t="s">
        <v>581</v>
      </c>
      <c r="C110" s="23" t="s">
        <v>181</v>
      </c>
      <c r="D110" s="24" t="s">
        <v>821</v>
      </c>
      <c r="E110" s="24" t="s">
        <v>822</v>
      </c>
      <c r="F110" s="25" t="n">
        <v>11</v>
      </c>
      <c r="G110" s="25" t="n">
        <v>3</v>
      </c>
      <c r="H110" s="23" t="n">
        <f aca="false">F110+G110-1</f>
        <v>13</v>
      </c>
      <c r="I110" s="24" t="s">
        <v>823</v>
      </c>
      <c r="J110" s="23" t="n">
        <f aca="false">IF(I110="","",SUMPRODUCT(MAX(ISNUMBER(SEARCH(","&amp;$A$7:$A$156&amp;",",","&amp;SUBSTITUTE(I110," ","")&amp;","))*$H$7:$H$156)))</f>
        <v>10</v>
      </c>
      <c r="K110" s="23" t="str">
        <f aca="false">IF(I110="","OK",IF(F110&gt;J110,"OK","VIOLATION"))</f>
        <v>OK</v>
      </c>
      <c r="L110" s="23" t="str">
        <f aca="false">IF(H110&lt;=26,"OK","LATE")</f>
        <v>OK</v>
      </c>
      <c r="M110" s="26" t="n">
        <f aca="false">Overview!$B$4+7*(F110-1)</f>
        <v>46391</v>
      </c>
      <c r="N110" s="26" t="n">
        <f aca="false">Overview!$B$4+7*(H110-1)+4</f>
        <v>46409</v>
      </c>
      <c r="O110" s="23" t="s">
        <v>429</v>
      </c>
      <c r="P110" s="24" t="s">
        <v>184</v>
      </c>
      <c r="Q110" s="24" t="s">
        <v>437</v>
      </c>
      <c r="R110" s="24" t="s">
        <v>824</v>
      </c>
      <c r="S110" s="24" t="s">
        <v>825</v>
      </c>
      <c r="T110" s="23" t="s">
        <v>126</v>
      </c>
      <c r="U110" s="24"/>
      <c r="V110" s="23" t="str">
        <f aca="false">";"&amp;SUBSTITUTE(P110," ","")&amp;";"</f>
        <v>;ISE;</v>
      </c>
    </row>
    <row r="111" customFormat="false" ht="19.4" hidden="false" customHeight="false" outlineLevel="0" collapsed="false">
      <c r="A111" s="23" t="s">
        <v>826</v>
      </c>
      <c r="B111" s="23" t="s">
        <v>581</v>
      </c>
      <c r="C111" s="23" t="s">
        <v>181</v>
      </c>
      <c r="D111" s="24" t="s">
        <v>827</v>
      </c>
      <c r="E111" s="24" t="s">
        <v>828</v>
      </c>
      <c r="F111" s="25" t="n">
        <v>11</v>
      </c>
      <c r="G111" s="25" t="n">
        <v>3</v>
      </c>
      <c r="H111" s="23" t="n">
        <f aca="false">F111+G111-1</f>
        <v>13</v>
      </c>
      <c r="I111" s="24" t="s">
        <v>780</v>
      </c>
      <c r="J111" s="23" t="n">
        <f aca="false">IF(I111="","",SUMPRODUCT(MAX(ISNUMBER(SEARCH(","&amp;$A$7:$A$156&amp;",",","&amp;SUBSTITUTE(I111," ","")&amp;","))*$H$7:$H$156)))</f>
        <v>10</v>
      </c>
      <c r="K111" s="23" t="str">
        <f aca="false">IF(I111="","OK",IF(F111&gt;J111,"OK","VIOLATION"))</f>
        <v>OK</v>
      </c>
      <c r="L111" s="23" t="str">
        <f aca="false">IF(H111&lt;=26,"OK","LATE")</f>
        <v>OK</v>
      </c>
      <c r="M111" s="26" t="n">
        <f aca="false">Overview!$B$4+7*(F111-1)</f>
        <v>46391</v>
      </c>
      <c r="N111" s="26" t="n">
        <f aca="false">Overview!$B$4+7*(H111-1)+4</f>
        <v>46409</v>
      </c>
      <c r="O111" s="23" t="s">
        <v>429</v>
      </c>
      <c r="P111" s="24" t="s">
        <v>184</v>
      </c>
      <c r="Q111" s="24" t="s">
        <v>829</v>
      </c>
      <c r="R111" s="24" t="s">
        <v>830</v>
      </c>
      <c r="S111" s="24" t="s">
        <v>831</v>
      </c>
      <c r="T111" s="23" t="s">
        <v>126</v>
      </c>
      <c r="U111" s="24"/>
      <c r="V111" s="23" t="str">
        <f aca="false">";"&amp;SUBSTITUTE(P111," ","")&amp;";"</f>
        <v>;ISE;</v>
      </c>
    </row>
    <row r="112" customFormat="false" ht="19.4" hidden="false" customHeight="false" outlineLevel="0" collapsed="false">
      <c r="A112" s="23" t="s">
        <v>832</v>
      </c>
      <c r="B112" s="23" t="s">
        <v>581</v>
      </c>
      <c r="C112" s="23" t="s">
        <v>181</v>
      </c>
      <c r="D112" s="24" t="s">
        <v>833</v>
      </c>
      <c r="E112" s="24" t="s">
        <v>834</v>
      </c>
      <c r="F112" s="25" t="n">
        <v>14</v>
      </c>
      <c r="G112" s="25" t="n">
        <v>3</v>
      </c>
      <c r="H112" s="23" t="n">
        <f aca="false">F112+G112-1</f>
        <v>16</v>
      </c>
      <c r="I112" s="24" t="s">
        <v>820</v>
      </c>
      <c r="J112" s="23" t="n">
        <f aca="false">IF(I112="","",SUMPRODUCT(MAX(ISNUMBER(SEARCH(","&amp;$A$7:$A$156&amp;",",","&amp;SUBSTITUTE(I112," ","")&amp;","))*$H$7:$H$156)))</f>
        <v>13</v>
      </c>
      <c r="K112" s="23" t="str">
        <f aca="false">IF(I112="","OK",IF(F112&gt;J112,"OK","VIOLATION"))</f>
        <v>OK</v>
      </c>
      <c r="L112" s="23" t="str">
        <f aca="false">IF(H112&lt;=26,"OK","LATE")</f>
        <v>OK</v>
      </c>
      <c r="M112" s="26" t="n">
        <f aca="false">Overview!$B$4+7*(F112-1)</f>
        <v>46412</v>
      </c>
      <c r="N112" s="26" t="n">
        <f aca="false">Overview!$B$4+7*(H112-1)+4</f>
        <v>46430</v>
      </c>
      <c r="O112" s="23" t="s">
        <v>429</v>
      </c>
      <c r="P112" s="24" t="s">
        <v>835</v>
      </c>
      <c r="Q112" s="24" t="s">
        <v>437</v>
      </c>
      <c r="R112" s="24" t="s">
        <v>836</v>
      </c>
      <c r="S112" s="24" t="s">
        <v>837</v>
      </c>
      <c r="T112" s="23" t="s">
        <v>126</v>
      </c>
      <c r="U112" s="24"/>
      <c r="V112" s="23" t="str">
        <f aca="false">";"&amp;SUBSTITUTE(P112," ","")&amp;";"</f>
        <v>;ISE;CSE;</v>
      </c>
    </row>
    <row r="113" customFormat="false" ht="19.4" hidden="false" customHeight="false" outlineLevel="0" collapsed="false">
      <c r="A113" s="23" t="s">
        <v>838</v>
      </c>
      <c r="B113" s="23" t="s">
        <v>581</v>
      </c>
      <c r="C113" s="23" t="s">
        <v>181</v>
      </c>
      <c r="D113" s="24" t="s">
        <v>839</v>
      </c>
      <c r="E113" s="24" t="s">
        <v>840</v>
      </c>
      <c r="F113" s="25" t="n">
        <v>14</v>
      </c>
      <c r="G113" s="25" t="n">
        <v>3</v>
      </c>
      <c r="H113" s="23" t="n">
        <f aca="false">F113+G113-1</f>
        <v>16</v>
      </c>
      <c r="I113" s="24" t="s">
        <v>820</v>
      </c>
      <c r="J113" s="23" t="n">
        <f aca="false">IF(I113="","",SUMPRODUCT(MAX(ISNUMBER(SEARCH(","&amp;$A$7:$A$156&amp;",",","&amp;SUBSTITUTE(I113," ","")&amp;","))*$H$7:$H$156)))</f>
        <v>13</v>
      </c>
      <c r="K113" s="23" t="str">
        <f aca="false">IF(I113="","OK",IF(F113&gt;J113,"OK","VIOLATION"))</f>
        <v>OK</v>
      </c>
      <c r="L113" s="23" t="str">
        <f aca="false">IF(H113&lt;=26,"OK","LATE")</f>
        <v>OK</v>
      </c>
      <c r="M113" s="26" t="n">
        <f aca="false">Overview!$B$4+7*(F113-1)</f>
        <v>46412</v>
      </c>
      <c r="N113" s="26" t="n">
        <f aca="false">Overview!$B$4+7*(H113-1)+4</f>
        <v>46430</v>
      </c>
      <c r="O113" s="23" t="s">
        <v>429</v>
      </c>
      <c r="P113" s="24" t="s">
        <v>184</v>
      </c>
      <c r="Q113" s="24" t="s">
        <v>841</v>
      </c>
      <c r="R113" s="24" t="s">
        <v>842</v>
      </c>
      <c r="S113" s="24" t="s">
        <v>843</v>
      </c>
      <c r="T113" s="23" t="s">
        <v>126</v>
      </c>
      <c r="U113" s="24"/>
      <c r="V113" s="23" t="str">
        <f aca="false">";"&amp;SUBSTITUTE(P113," ","")&amp;";"</f>
        <v>;ISE;</v>
      </c>
    </row>
    <row r="114" customFormat="false" ht="19.4" hidden="false" customHeight="false" outlineLevel="0" collapsed="false">
      <c r="A114" s="23" t="s">
        <v>844</v>
      </c>
      <c r="B114" s="23" t="s">
        <v>581</v>
      </c>
      <c r="C114" s="23" t="s">
        <v>137</v>
      </c>
      <c r="D114" s="24" t="s">
        <v>845</v>
      </c>
      <c r="E114" s="24" t="s">
        <v>846</v>
      </c>
      <c r="F114" s="25" t="n">
        <v>11</v>
      </c>
      <c r="G114" s="25" t="n">
        <v>4</v>
      </c>
      <c r="H114" s="23" t="n">
        <f aca="false">F114+G114-1</f>
        <v>14</v>
      </c>
      <c r="I114" s="24" t="s">
        <v>847</v>
      </c>
      <c r="J114" s="23" t="n">
        <f aca="false">IF(I114="","",SUMPRODUCT(MAX(ISNUMBER(SEARCH(","&amp;$A$7:$A$156&amp;",",","&amp;SUBSTITUTE(I114," ","")&amp;","))*$H$7:$H$156)))</f>
        <v>8</v>
      </c>
      <c r="K114" s="23" t="str">
        <f aca="false">IF(I114="","OK",IF(F114&gt;J114,"OK","VIOLATION"))</f>
        <v>OK</v>
      </c>
      <c r="L114" s="23" t="str">
        <f aca="false">IF(H114&lt;=26,"OK","LATE")</f>
        <v>OK</v>
      </c>
      <c r="M114" s="26" t="n">
        <f aca="false">Overview!$B$4+7*(F114-1)</f>
        <v>46391</v>
      </c>
      <c r="N114" s="26" t="n">
        <f aca="false">Overview!$B$4+7*(H114-1)+4</f>
        <v>46416</v>
      </c>
      <c r="O114" s="23" t="s">
        <v>184</v>
      </c>
      <c r="P114" s="24" t="s">
        <v>848</v>
      </c>
      <c r="Q114" s="24" t="s">
        <v>292</v>
      </c>
      <c r="R114" s="24" t="s">
        <v>849</v>
      </c>
      <c r="S114" s="24" t="s">
        <v>850</v>
      </c>
      <c r="T114" s="23" t="s">
        <v>126</v>
      </c>
      <c r="U114" s="24"/>
      <c r="V114" s="23" t="str">
        <f aca="false">";"&amp;SUBSTITUTE(P114," ","")&amp;";"</f>
        <v>;PL;GRC;</v>
      </c>
    </row>
    <row r="115" customFormat="false" ht="19.4" hidden="false" customHeight="false" outlineLevel="0" collapsed="false">
      <c r="A115" s="23" t="s">
        <v>851</v>
      </c>
      <c r="B115" s="23" t="s">
        <v>581</v>
      </c>
      <c r="C115" s="23" t="s">
        <v>147</v>
      </c>
      <c r="D115" s="24" t="s">
        <v>852</v>
      </c>
      <c r="E115" s="24" t="s">
        <v>853</v>
      </c>
      <c r="F115" s="25" t="n">
        <v>6</v>
      </c>
      <c r="G115" s="25" t="n">
        <v>4</v>
      </c>
      <c r="H115" s="23" t="n">
        <f aca="false">F115+G115-1</f>
        <v>9</v>
      </c>
      <c r="I115" s="24" t="s">
        <v>467</v>
      </c>
      <c r="J115" s="23" t="n">
        <f aca="false">IF(I115="","",SUMPRODUCT(MAX(ISNUMBER(SEARCH(","&amp;$A$7:$A$156&amp;",",","&amp;SUBSTITUTE(I115," ","")&amp;","))*$H$7:$H$156)))</f>
        <v>5</v>
      </c>
      <c r="K115" s="23" t="str">
        <f aca="false">IF(I115="","OK",IF(F115&gt;J115,"OK","VIOLATION"))</f>
        <v>OK</v>
      </c>
      <c r="L115" s="23" t="str">
        <f aca="false">IF(H115&lt;=26,"OK","LATE")</f>
        <v>OK</v>
      </c>
      <c r="M115" s="26" t="n">
        <f aca="false">Overview!$B$4+7*(F115-1)</f>
        <v>46356</v>
      </c>
      <c r="N115" s="26" t="n">
        <f aca="false">Overview!$B$4+7*(H115-1)+4</f>
        <v>46381</v>
      </c>
      <c r="O115" s="23" t="s">
        <v>415</v>
      </c>
      <c r="P115" s="24" t="s">
        <v>498</v>
      </c>
      <c r="Q115" s="24" t="s">
        <v>854</v>
      </c>
      <c r="R115" s="24" t="s">
        <v>855</v>
      </c>
      <c r="S115" s="24" t="s">
        <v>856</v>
      </c>
      <c r="T115" s="23" t="s">
        <v>126</v>
      </c>
      <c r="U115" s="24"/>
      <c r="V115" s="23" t="str">
        <f aca="false">";"&amp;SUBSTITUTE(P115," ","")&amp;";"</f>
        <v>;BSE;ENG;</v>
      </c>
    </row>
    <row r="116" customFormat="false" ht="15" hidden="false" customHeight="false" outlineLevel="0" collapsed="false">
      <c r="A116" s="23" t="s">
        <v>857</v>
      </c>
      <c r="B116" s="23" t="s">
        <v>581</v>
      </c>
      <c r="C116" s="23" t="s">
        <v>147</v>
      </c>
      <c r="D116" s="24" t="s">
        <v>858</v>
      </c>
      <c r="E116" s="24" t="s">
        <v>859</v>
      </c>
      <c r="F116" s="25" t="n">
        <v>10</v>
      </c>
      <c r="G116" s="25" t="n">
        <v>2</v>
      </c>
      <c r="H116" s="23" t="n">
        <f aca="false">F116+G116-1</f>
        <v>11</v>
      </c>
      <c r="I116" s="24" t="s">
        <v>461</v>
      </c>
      <c r="J116" s="23" t="n">
        <f aca="false">IF(I116="","",SUMPRODUCT(MAX(ISNUMBER(SEARCH(","&amp;$A$7:$A$156&amp;",",","&amp;SUBSTITUTE(I116," ","")&amp;","))*$H$7:$H$156)))</f>
        <v>4</v>
      </c>
      <c r="K116" s="23" t="str">
        <f aca="false">IF(I116="","OK",IF(F116&gt;J116,"OK","VIOLATION"))</f>
        <v>OK</v>
      </c>
      <c r="L116" s="23" t="str">
        <f aca="false">IF(H116&lt;=26,"OK","LATE")</f>
        <v>OK</v>
      </c>
      <c r="M116" s="26" t="n">
        <f aca="false">Overview!$B$4+7*(F116-1)</f>
        <v>46384</v>
      </c>
      <c r="N116" s="26" t="n">
        <f aca="false">Overview!$B$4+7*(H116-1)+4</f>
        <v>46395</v>
      </c>
      <c r="O116" s="23" t="s">
        <v>150</v>
      </c>
      <c r="P116" s="24"/>
      <c r="Q116" s="24" t="s">
        <v>860</v>
      </c>
      <c r="R116" s="24" t="s">
        <v>858</v>
      </c>
      <c r="S116" s="24" t="s">
        <v>861</v>
      </c>
      <c r="T116" s="23" t="s">
        <v>126</v>
      </c>
      <c r="U116" s="24"/>
      <c r="V116" s="23" t="str">
        <f aca="false">";"&amp;SUBSTITUTE(P116," ","")&amp;";"</f>
        <v>;;</v>
      </c>
    </row>
    <row r="117" customFormat="false" ht="19.4" hidden="false" customHeight="false" outlineLevel="0" collapsed="false">
      <c r="A117" s="23" t="s">
        <v>862</v>
      </c>
      <c r="B117" s="23" t="s">
        <v>581</v>
      </c>
      <c r="C117" s="23" t="s">
        <v>147</v>
      </c>
      <c r="D117" s="24" t="s">
        <v>863</v>
      </c>
      <c r="E117" s="24" t="s">
        <v>864</v>
      </c>
      <c r="F117" s="25" t="n">
        <v>11</v>
      </c>
      <c r="G117" s="25" t="n">
        <v>3</v>
      </c>
      <c r="H117" s="23" t="n">
        <f aca="false">F117+G117-1</f>
        <v>13</v>
      </c>
      <c r="I117" s="24" t="s">
        <v>865</v>
      </c>
      <c r="J117" s="23" t="n">
        <f aca="false">IF(I117="","",SUMPRODUCT(MAX(ISNUMBER(SEARCH(","&amp;$A$7:$A$156&amp;",",","&amp;SUBSTITUTE(I117," ","")&amp;","))*$H$7:$H$156)))</f>
        <v>8</v>
      </c>
      <c r="K117" s="23" t="str">
        <f aca="false">IF(I117="","OK",IF(F117&gt;J117,"OK","VIOLATION"))</f>
        <v>OK</v>
      </c>
      <c r="L117" s="23" t="str">
        <f aca="false">IF(H117&lt;=26,"OK","LATE")</f>
        <v>OK</v>
      </c>
      <c r="M117" s="26" t="n">
        <f aca="false">Overview!$B$4+7*(F117-1)</f>
        <v>46391</v>
      </c>
      <c r="N117" s="26" t="n">
        <f aca="false">Overview!$B$4+7*(H117-1)+4</f>
        <v>46409</v>
      </c>
      <c r="O117" s="23" t="s">
        <v>158</v>
      </c>
      <c r="P117" s="24" t="s">
        <v>150</v>
      </c>
      <c r="Q117" s="24" t="s">
        <v>866</v>
      </c>
      <c r="R117" s="24" t="s">
        <v>867</v>
      </c>
      <c r="S117" s="24" t="s">
        <v>868</v>
      </c>
      <c r="T117" s="23" t="s">
        <v>126</v>
      </c>
      <c r="U117" s="24"/>
      <c r="V117" s="23" t="str">
        <f aca="false">";"&amp;SUBSTITUTE(P117," ","")&amp;";"</f>
        <v>;BSE;</v>
      </c>
    </row>
    <row r="118" customFormat="false" ht="19.4" hidden="false" customHeight="false" outlineLevel="0" collapsed="false">
      <c r="A118" s="23" t="s">
        <v>869</v>
      </c>
      <c r="B118" s="23" t="s">
        <v>581</v>
      </c>
      <c r="C118" s="23" t="s">
        <v>147</v>
      </c>
      <c r="D118" s="24" t="s">
        <v>870</v>
      </c>
      <c r="E118" s="24" t="s">
        <v>871</v>
      </c>
      <c r="F118" s="25" t="n">
        <v>10</v>
      </c>
      <c r="G118" s="25" t="n">
        <v>4</v>
      </c>
      <c r="H118" s="23" t="n">
        <f aca="false">F118+G118-1</f>
        <v>13</v>
      </c>
      <c r="I118" s="24" t="s">
        <v>495</v>
      </c>
      <c r="J118" s="23" t="n">
        <f aca="false">IF(I118="","",SUMPRODUCT(MAX(ISNUMBER(SEARCH(","&amp;$A$7:$A$156&amp;",",","&amp;SUBSTITUTE(I118," ","")&amp;","))*$H$7:$H$156)))</f>
        <v>7</v>
      </c>
      <c r="K118" s="23" t="str">
        <f aca="false">IF(I118="","OK",IF(F118&gt;J118,"OK","VIOLATION"))</f>
        <v>OK</v>
      </c>
      <c r="L118" s="23" t="str">
        <f aca="false">IF(H118&lt;=26,"OK","LATE")</f>
        <v>OK</v>
      </c>
      <c r="M118" s="26" t="n">
        <f aca="false">Overview!$B$4+7*(F118-1)</f>
        <v>46384</v>
      </c>
      <c r="N118" s="26" t="n">
        <f aca="false">Overview!$B$4+7*(H118-1)+4</f>
        <v>46409</v>
      </c>
      <c r="O118" s="23" t="s">
        <v>415</v>
      </c>
      <c r="P118" s="24" t="s">
        <v>175</v>
      </c>
      <c r="Q118" s="24" t="s">
        <v>872</v>
      </c>
      <c r="R118" s="24" t="s">
        <v>873</v>
      </c>
      <c r="S118" s="24" t="s">
        <v>874</v>
      </c>
      <c r="T118" s="23" t="s">
        <v>126</v>
      </c>
      <c r="U118" s="24"/>
      <c r="V118" s="23" t="str">
        <f aca="false">";"&amp;SUBSTITUTE(P118," ","")&amp;";"</f>
        <v>;ENG;</v>
      </c>
    </row>
    <row r="119" customFormat="false" ht="19.4" hidden="false" customHeight="false" outlineLevel="0" collapsed="false">
      <c r="A119" s="23" t="s">
        <v>875</v>
      </c>
      <c r="B119" s="23" t="s">
        <v>581</v>
      </c>
      <c r="C119" s="23" t="s">
        <v>147</v>
      </c>
      <c r="D119" s="24" t="s">
        <v>876</v>
      </c>
      <c r="E119" s="24" t="s">
        <v>877</v>
      </c>
      <c r="F119" s="25" t="n">
        <v>10</v>
      </c>
      <c r="G119" s="25" t="n">
        <v>5</v>
      </c>
      <c r="H119" s="23" t="n">
        <f aca="false">F119+G119-1</f>
        <v>14</v>
      </c>
      <c r="I119" s="24" t="s">
        <v>495</v>
      </c>
      <c r="J119" s="23" t="n">
        <f aca="false">IF(I119="","",SUMPRODUCT(MAX(ISNUMBER(SEARCH(","&amp;$A$7:$A$156&amp;",",","&amp;SUBSTITUTE(I119," ","")&amp;","))*$H$7:$H$156)))</f>
        <v>7</v>
      </c>
      <c r="K119" s="23" t="str">
        <f aca="false">IF(I119="","OK",IF(F119&gt;J119,"OK","VIOLATION"))</f>
        <v>OK</v>
      </c>
      <c r="L119" s="23" t="str">
        <f aca="false">IF(H119&lt;=26,"OK","LATE")</f>
        <v>OK</v>
      </c>
      <c r="M119" s="26" t="n">
        <f aca="false">Overview!$B$4+7*(F119-1)</f>
        <v>46384</v>
      </c>
      <c r="N119" s="26" t="n">
        <f aca="false">Overview!$B$4+7*(H119-1)+4</f>
        <v>46416</v>
      </c>
      <c r="O119" s="23" t="s">
        <v>415</v>
      </c>
      <c r="P119" s="24" t="s">
        <v>175</v>
      </c>
      <c r="Q119" s="24" t="s">
        <v>878</v>
      </c>
      <c r="R119" s="24" t="s">
        <v>879</v>
      </c>
      <c r="S119" s="24" t="s">
        <v>880</v>
      </c>
      <c r="T119" s="23" t="s">
        <v>126</v>
      </c>
      <c r="U119" s="24"/>
      <c r="V119" s="23" t="str">
        <f aca="false">";"&amp;SUBSTITUTE(P119," ","")&amp;";"</f>
        <v>;ENG;</v>
      </c>
    </row>
    <row r="120" customFormat="false" ht="19.4" hidden="false" customHeight="false" outlineLevel="0" collapsed="false">
      <c r="A120" s="23" t="s">
        <v>881</v>
      </c>
      <c r="B120" s="23" t="s">
        <v>581</v>
      </c>
      <c r="C120" s="23" t="s">
        <v>147</v>
      </c>
      <c r="D120" s="24" t="s">
        <v>882</v>
      </c>
      <c r="E120" s="24" t="s">
        <v>883</v>
      </c>
      <c r="F120" s="25" t="n">
        <v>11</v>
      </c>
      <c r="G120" s="25" t="n">
        <v>3</v>
      </c>
      <c r="H120" s="23" t="n">
        <f aca="false">F120+G120-1</f>
        <v>13</v>
      </c>
      <c r="I120" s="24" t="s">
        <v>461</v>
      </c>
      <c r="J120" s="23" t="n">
        <f aca="false">IF(I120="","",SUMPRODUCT(MAX(ISNUMBER(SEARCH(","&amp;$A$7:$A$156&amp;",",","&amp;SUBSTITUTE(I120," ","")&amp;","))*$H$7:$H$156)))</f>
        <v>4</v>
      </c>
      <c r="K120" s="23" t="str">
        <f aca="false">IF(I120="","OK",IF(F120&gt;J120,"OK","VIOLATION"))</f>
        <v>OK</v>
      </c>
      <c r="L120" s="23" t="str">
        <f aca="false">IF(H120&lt;=26,"OK","LATE")</f>
        <v>OK</v>
      </c>
      <c r="M120" s="26" t="n">
        <f aca="false">Overview!$B$4+7*(F120-1)</f>
        <v>46391</v>
      </c>
      <c r="N120" s="26" t="n">
        <f aca="false">Overview!$B$4+7*(H120-1)+4</f>
        <v>46409</v>
      </c>
      <c r="O120" s="23" t="s">
        <v>150</v>
      </c>
      <c r="P120" s="24" t="s">
        <v>175</v>
      </c>
      <c r="Q120" s="24" t="s">
        <v>884</v>
      </c>
      <c r="R120" s="24" t="s">
        <v>885</v>
      </c>
      <c r="S120" s="24" t="s">
        <v>886</v>
      </c>
      <c r="T120" s="23" t="s">
        <v>126</v>
      </c>
      <c r="U120" s="24"/>
      <c r="V120" s="23" t="str">
        <f aca="false">";"&amp;SUBSTITUTE(P120," ","")&amp;";"</f>
        <v>;ENG;</v>
      </c>
    </row>
    <row r="121" customFormat="false" ht="37.3" hidden="false" customHeight="false" outlineLevel="0" collapsed="false">
      <c r="A121" s="23" t="s">
        <v>887</v>
      </c>
      <c r="B121" s="23" t="s">
        <v>581</v>
      </c>
      <c r="C121" s="23" t="s">
        <v>147</v>
      </c>
      <c r="D121" s="24" t="s">
        <v>888</v>
      </c>
      <c r="E121" s="24" t="s">
        <v>889</v>
      </c>
      <c r="F121" s="25" t="n">
        <v>11</v>
      </c>
      <c r="G121" s="25" t="n">
        <v>4</v>
      </c>
      <c r="H121" s="23" t="n">
        <f aca="false">F121+G121-1</f>
        <v>14</v>
      </c>
      <c r="I121" s="24" t="s">
        <v>890</v>
      </c>
      <c r="J121" s="23" t="n">
        <f aca="false">IF(I121="","",SUMPRODUCT(MAX(ISNUMBER(SEARCH(","&amp;$A$7:$A$156&amp;",",","&amp;SUBSTITUTE(I121," ","")&amp;","))*$H$7:$H$156)))</f>
        <v>9</v>
      </c>
      <c r="K121" s="23" t="str">
        <f aca="false">IF(I121="","OK",IF(F121&gt;J121,"OK","VIOLATION"))</f>
        <v>OK</v>
      </c>
      <c r="L121" s="23" t="str">
        <f aca="false">IF(H121&lt;=26,"OK","LATE")</f>
        <v>OK</v>
      </c>
      <c r="M121" s="26" t="n">
        <f aca="false">Overview!$B$4+7*(F121-1)</f>
        <v>46391</v>
      </c>
      <c r="N121" s="26" t="n">
        <f aca="false">Overview!$B$4+7*(H121-1)+4</f>
        <v>46416</v>
      </c>
      <c r="O121" s="23" t="s">
        <v>150</v>
      </c>
      <c r="P121" s="24" t="s">
        <v>158</v>
      </c>
      <c r="Q121" s="24" t="s">
        <v>891</v>
      </c>
      <c r="R121" s="24" t="s">
        <v>892</v>
      </c>
      <c r="S121" s="24" t="s">
        <v>893</v>
      </c>
      <c r="T121" s="23" t="s">
        <v>126</v>
      </c>
      <c r="U121" s="24"/>
      <c r="V121" s="23" t="str">
        <f aca="false">";"&amp;SUBSTITUTE(P121," ","")&amp;";"</f>
        <v>;CSO;</v>
      </c>
    </row>
    <row r="122" customFormat="false" ht="28.35" hidden="false" customHeight="false" outlineLevel="0" collapsed="false">
      <c r="A122" s="23" t="s">
        <v>894</v>
      </c>
      <c r="B122" s="23" t="s">
        <v>581</v>
      </c>
      <c r="C122" s="23" t="s">
        <v>147</v>
      </c>
      <c r="D122" s="24" t="s">
        <v>895</v>
      </c>
      <c r="E122" s="24" t="s">
        <v>896</v>
      </c>
      <c r="F122" s="25" t="n">
        <v>12</v>
      </c>
      <c r="G122" s="25" t="n">
        <v>3</v>
      </c>
      <c r="H122" s="23" t="n">
        <f aca="false">F122+G122-1</f>
        <v>14</v>
      </c>
      <c r="I122" s="24" t="s">
        <v>897</v>
      </c>
      <c r="J122" s="23" t="n">
        <f aca="false">IF(I122="","",SUMPRODUCT(MAX(ISNUMBER(SEARCH(","&amp;$A$7:$A$156&amp;",",","&amp;SUBSTITUTE(I122," ","")&amp;","))*$H$7:$H$156)))</f>
        <v>11</v>
      </c>
      <c r="K122" s="23" t="str">
        <f aca="false">IF(I122="","OK",IF(F122&gt;J122,"OK","VIOLATION"))</f>
        <v>OK</v>
      </c>
      <c r="L122" s="23" t="str">
        <f aca="false">IF(H122&lt;=26,"OK","LATE")</f>
        <v>OK</v>
      </c>
      <c r="M122" s="26" t="n">
        <f aca="false">Overview!$B$4+7*(F122-1)</f>
        <v>46398</v>
      </c>
      <c r="N122" s="26" t="n">
        <f aca="false">Overview!$B$4+7*(H122-1)+4</f>
        <v>46416</v>
      </c>
      <c r="O122" s="23" t="s">
        <v>158</v>
      </c>
      <c r="P122" s="24" t="s">
        <v>484</v>
      </c>
      <c r="Q122" s="24" t="s">
        <v>898</v>
      </c>
      <c r="R122" s="24" t="s">
        <v>899</v>
      </c>
      <c r="S122" s="24" t="s">
        <v>900</v>
      </c>
      <c r="T122" s="23" t="s">
        <v>126</v>
      </c>
      <c r="U122" s="24"/>
      <c r="V122" s="23" t="str">
        <f aca="false">";"&amp;SUBSTITUTE(P122," ","")&amp;";"</f>
        <v>;BSE;GRC;</v>
      </c>
    </row>
    <row r="123" customFormat="false" ht="19.4" hidden="false" customHeight="false" outlineLevel="0" collapsed="false">
      <c r="A123" s="23" t="s">
        <v>901</v>
      </c>
      <c r="B123" s="23" t="s">
        <v>581</v>
      </c>
      <c r="C123" s="23" t="s">
        <v>147</v>
      </c>
      <c r="D123" s="24" t="s">
        <v>902</v>
      </c>
      <c r="E123" s="24" t="s">
        <v>903</v>
      </c>
      <c r="F123" s="25" t="n">
        <v>13</v>
      </c>
      <c r="G123" s="25" t="n">
        <v>3</v>
      </c>
      <c r="H123" s="23" t="n">
        <f aca="false">F123+G123-1</f>
        <v>15</v>
      </c>
      <c r="I123" s="24" t="s">
        <v>904</v>
      </c>
      <c r="J123" s="23" t="n">
        <f aca="false">IF(I123="","",SUMPRODUCT(MAX(ISNUMBER(SEARCH(","&amp;$A$7:$A$156&amp;",",","&amp;SUBSTITUTE(I123," ","")&amp;","))*$H$7:$H$156)))</f>
        <v>8</v>
      </c>
      <c r="K123" s="23" t="str">
        <f aca="false">IF(I123="","OK",IF(F123&gt;J123,"OK","VIOLATION"))</f>
        <v>OK</v>
      </c>
      <c r="L123" s="23" t="str">
        <f aca="false">IF(H123&lt;=26,"OK","LATE")</f>
        <v>OK</v>
      </c>
      <c r="M123" s="26" t="n">
        <f aca="false">Overview!$B$4+7*(F123-1)</f>
        <v>46405</v>
      </c>
      <c r="N123" s="26" t="n">
        <f aca="false">Overview!$B$4+7*(H123-1)+4</f>
        <v>46423</v>
      </c>
      <c r="O123" s="23" t="s">
        <v>150</v>
      </c>
      <c r="P123" s="24" t="s">
        <v>184</v>
      </c>
      <c r="Q123" s="24" t="s">
        <v>905</v>
      </c>
      <c r="R123" s="24" t="s">
        <v>906</v>
      </c>
      <c r="S123" s="24" t="s">
        <v>907</v>
      </c>
      <c r="T123" s="23" t="s">
        <v>126</v>
      </c>
      <c r="U123" s="24"/>
      <c r="V123" s="23" t="str">
        <f aca="false">";"&amp;SUBSTITUTE(P123," ","")&amp;";"</f>
        <v>;ISE;</v>
      </c>
    </row>
    <row r="124" customFormat="false" ht="19.4" hidden="false" customHeight="false" outlineLevel="0" collapsed="false">
      <c r="A124" s="23" t="s">
        <v>908</v>
      </c>
      <c r="B124" s="23" t="s">
        <v>581</v>
      </c>
      <c r="C124" s="23" t="s">
        <v>147</v>
      </c>
      <c r="D124" s="24" t="s">
        <v>909</v>
      </c>
      <c r="E124" s="24" t="s">
        <v>910</v>
      </c>
      <c r="F124" s="25" t="n">
        <v>15</v>
      </c>
      <c r="G124" s="25" t="n">
        <v>1</v>
      </c>
      <c r="H124" s="23" t="n">
        <f aca="false">F124+G124-1</f>
        <v>15</v>
      </c>
      <c r="I124" s="24" t="s">
        <v>911</v>
      </c>
      <c r="J124" s="23" t="n">
        <f aca="false">IF(I124="","",SUMPRODUCT(MAX(ISNUMBER(SEARCH(","&amp;$A$7:$A$156&amp;",",","&amp;SUBSTITUTE(I124," ","")&amp;","))*$H$7:$H$156)))</f>
        <v>14</v>
      </c>
      <c r="K124" s="23" t="str">
        <f aca="false">IF(I124="","OK",IF(F124&gt;J124,"OK","VIOLATION"))</f>
        <v>OK</v>
      </c>
      <c r="L124" s="23" t="str">
        <f aca="false">IF(H124&lt;=26,"OK","LATE")</f>
        <v>OK</v>
      </c>
      <c r="M124" s="26" t="n">
        <f aca="false">Overview!$B$4+7*(F124-1)</f>
        <v>46419</v>
      </c>
      <c r="N124" s="26" t="n">
        <f aca="false">Overview!$B$4+7*(H124-1)+4</f>
        <v>46423</v>
      </c>
      <c r="O124" s="23" t="s">
        <v>150</v>
      </c>
      <c r="P124" s="24" t="s">
        <v>175</v>
      </c>
      <c r="Q124" s="24" t="s">
        <v>912</v>
      </c>
      <c r="R124" s="24" t="s">
        <v>913</v>
      </c>
      <c r="S124" s="24" t="s">
        <v>914</v>
      </c>
      <c r="T124" s="23" t="s">
        <v>126</v>
      </c>
      <c r="U124" s="24"/>
      <c r="V124" s="23" t="str">
        <f aca="false">";"&amp;SUBSTITUTE(P124," ","")&amp;";"</f>
        <v>;ENG;</v>
      </c>
    </row>
    <row r="125" customFormat="false" ht="19.4" hidden="false" customHeight="false" outlineLevel="0" collapsed="false">
      <c r="A125" s="23" t="s">
        <v>915</v>
      </c>
      <c r="B125" s="23" t="s">
        <v>581</v>
      </c>
      <c r="C125" s="23" t="s">
        <v>147</v>
      </c>
      <c r="D125" s="24" t="s">
        <v>916</v>
      </c>
      <c r="E125" s="24" t="s">
        <v>917</v>
      </c>
      <c r="F125" s="25" t="n">
        <v>15</v>
      </c>
      <c r="G125" s="25" t="n">
        <v>2</v>
      </c>
      <c r="H125" s="23" t="n">
        <f aca="false">F125+G125-1</f>
        <v>16</v>
      </c>
      <c r="I125" s="24" t="s">
        <v>918</v>
      </c>
      <c r="J125" s="23" t="n">
        <f aca="false">IF(I125="","",SUMPRODUCT(MAX(ISNUMBER(SEARCH(","&amp;$A$7:$A$156&amp;",",","&amp;SUBSTITUTE(I125," ","")&amp;","))*$H$7:$H$156)))</f>
        <v>14</v>
      </c>
      <c r="K125" s="23" t="str">
        <f aca="false">IF(I125="","OK",IF(F125&gt;J125,"OK","VIOLATION"))</f>
        <v>OK</v>
      </c>
      <c r="L125" s="23" t="str">
        <f aca="false">IF(H125&lt;=26,"OK","LATE")</f>
        <v>OK</v>
      </c>
      <c r="M125" s="26" t="n">
        <f aca="false">Overview!$B$4+7*(F125-1)</f>
        <v>46419</v>
      </c>
      <c r="N125" s="26" t="n">
        <f aca="false">Overview!$B$4+7*(H125-1)+4</f>
        <v>46430</v>
      </c>
      <c r="O125" s="23" t="s">
        <v>150</v>
      </c>
      <c r="P125" s="24" t="s">
        <v>184</v>
      </c>
      <c r="Q125" s="24" t="s">
        <v>919</v>
      </c>
      <c r="R125" s="24" t="s">
        <v>920</v>
      </c>
      <c r="S125" s="24" t="s">
        <v>921</v>
      </c>
      <c r="T125" s="23" t="s">
        <v>126</v>
      </c>
      <c r="U125" s="24"/>
      <c r="V125" s="23" t="str">
        <f aca="false">";"&amp;SUBSTITUTE(P125," ","")&amp;";"</f>
        <v>;ISE;</v>
      </c>
    </row>
    <row r="126" customFormat="false" ht="28.35" hidden="false" customHeight="false" outlineLevel="0" collapsed="false">
      <c r="A126" s="23" t="s">
        <v>922</v>
      </c>
      <c r="B126" s="23" t="s">
        <v>581</v>
      </c>
      <c r="C126" s="23" t="s">
        <v>147</v>
      </c>
      <c r="D126" s="24" t="s">
        <v>923</v>
      </c>
      <c r="E126" s="24" t="s">
        <v>924</v>
      </c>
      <c r="F126" s="25" t="n">
        <v>4</v>
      </c>
      <c r="G126" s="25" t="n">
        <v>6</v>
      </c>
      <c r="H126" s="23" t="n">
        <f aca="false">F126+G126-1</f>
        <v>9</v>
      </c>
      <c r="I126" s="24"/>
      <c r="J126" s="23" t="str">
        <f aca="false">IF(I126="","",SUMPRODUCT(MAX(ISNUMBER(SEARCH(","&amp;$A$7:$A$156&amp;",",","&amp;SUBSTITUTE(I126," ","")&amp;","))*$H$7:$H$156)))</f>
        <v/>
      </c>
      <c r="K126" s="23" t="str">
        <f aca="false">IF(I126="","OK",IF(F126&gt;J126,"OK","VIOLATION"))</f>
        <v>OK</v>
      </c>
      <c r="L126" s="23" t="str">
        <f aca="false">IF(H126&lt;=26,"OK","LATE")</f>
        <v>OK</v>
      </c>
      <c r="M126" s="26" t="n">
        <f aca="false">Overview!$B$4+7*(F126-1)</f>
        <v>46342</v>
      </c>
      <c r="N126" s="26" t="n">
        <f aca="false">Overview!$B$4+7*(H126-1)+4</f>
        <v>46381</v>
      </c>
      <c r="O126" s="23" t="s">
        <v>343</v>
      </c>
      <c r="P126" s="24" t="s">
        <v>175</v>
      </c>
      <c r="Q126" s="24" t="s">
        <v>925</v>
      </c>
      <c r="R126" s="24" t="s">
        <v>926</v>
      </c>
      <c r="S126" s="24" t="s">
        <v>927</v>
      </c>
      <c r="T126" s="23" t="s">
        <v>126</v>
      </c>
      <c r="U126" s="24"/>
      <c r="V126" s="23" t="str">
        <f aca="false">";"&amp;SUBSTITUTE(P126," ","")&amp;";"</f>
        <v>;ENG;</v>
      </c>
    </row>
    <row r="127" customFormat="false" ht="19.4" hidden="false" customHeight="false" outlineLevel="0" collapsed="false">
      <c r="A127" s="23" t="s">
        <v>928</v>
      </c>
      <c r="B127" s="23" t="s">
        <v>581</v>
      </c>
      <c r="C127" s="23" t="s">
        <v>137</v>
      </c>
      <c r="D127" s="24" t="s">
        <v>929</v>
      </c>
      <c r="E127" s="24" t="s">
        <v>930</v>
      </c>
      <c r="F127" s="25" t="n">
        <v>6</v>
      </c>
      <c r="G127" s="25" t="n">
        <v>6</v>
      </c>
      <c r="H127" s="23" t="n">
        <f aca="false">F127+G127-1</f>
        <v>11</v>
      </c>
      <c r="I127" s="24" t="s">
        <v>136</v>
      </c>
      <c r="J127" s="23" t="n">
        <f aca="false">IF(I127="","",SUMPRODUCT(MAX(ISNUMBER(SEARCH(","&amp;$A$7:$A$156&amp;",",","&amp;SUBSTITUTE(I127," ","")&amp;","))*$H$7:$H$156)))</f>
        <v>4</v>
      </c>
      <c r="K127" s="23" t="str">
        <f aca="false">IF(I127="","OK",IF(F127&gt;J127,"OK","VIOLATION"))</f>
        <v>OK</v>
      </c>
      <c r="L127" s="23" t="str">
        <f aca="false">IF(H127&lt;=26,"OK","LATE")</f>
        <v>OK</v>
      </c>
      <c r="M127" s="26" t="n">
        <f aca="false">Overview!$B$4+7*(F127-1)</f>
        <v>46356</v>
      </c>
      <c r="N127" s="26" t="n">
        <f aca="false">Overview!$B$4+7*(H127-1)+4</f>
        <v>46395</v>
      </c>
      <c r="O127" s="23" t="s">
        <v>158</v>
      </c>
      <c r="P127" s="24" t="s">
        <v>175</v>
      </c>
      <c r="Q127" s="24" t="s">
        <v>931</v>
      </c>
      <c r="R127" s="24" t="s">
        <v>932</v>
      </c>
      <c r="S127" s="24" t="s">
        <v>933</v>
      </c>
      <c r="T127" s="23" t="s">
        <v>126</v>
      </c>
      <c r="U127" s="24"/>
      <c r="V127" s="23" t="str">
        <f aca="false">";"&amp;SUBSTITUTE(P127," ","")&amp;";"</f>
        <v>;ENG;</v>
      </c>
    </row>
    <row r="128" customFormat="false" ht="19.4" hidden="false" customHeight="false" outlineLevel="0" collapsed="false">
      <c r="A128" s="23" t="s">
        <v>934</v>
      </c>
      <c r="B128" s="23" t="s">
        <v>581</v>
      </c>
      <c r="C128" s="23" t="s">
        <v>137</v>
      </c>
      <c r="D128" s="24" t="s">
        <v>935</v>
      </c>
      <c r="E128" s="24" t="s">
        <v>936</v>
      </c>
      <c r="F128" s="25" t="n">
        <v>11</v>
      </c>
      <c r="G128" s="25" t="n">
        <v>6</v>
      </c>
      <c r="H128" s="23" t="n">
        <f aca="false">F128+G128-1</f>
        <v>16</v>
      </c>
      <c r="I128" s="24" t="s">
        <v>514</v>
      </c>
      <c r="J128" s="23" t="n">
        <f aca="false">IF(I128="","",SUMPRODUCT(MAX(ISNUMBER(SEARCH(","&amp;$A$7:$A$156&amp;",",","&amp;SUBSTITUTE(I128," ","")&amp;","))*$H$7:$H$156)))</f>
        <v>8</v>
      </c>
      <c r="K128" s="23" t="str">
        <f aca="false">IF(I128="","OK",IF(F128&gt;J128,"OK","VIOLATION"))</f>
        <v>OK</v>
      </c>
      <c r="L128" s="23" t="str">
        <f aca="false">IF(H128&lt;=26,"OK","LATE")</f>
        <v>OK</v>
      </c>
      <c r="M128" s="26" t="n">
        <f aca="false">Overview!$B$4+7*(F128-1)</f>
        <v>46391</v>
      </c>
      <c r="N128" s="26" t="n">
        <f aca="false">Overview!$B$4+7*(H128-1)+4</f>
        <v>46430</v>
      </c>
      <c r="O128" s="23" t="s">
        <v>140</v>
      </c>
      <c r="P128" s="24" t="s">
        <v>937</v>
      </c>
      <c r="Q128" s="24" t="s">
        <v>938</v>
      </c>
      <c r="R128" s="24" t="s">
        <v>939</v>
      </c>
      <c r="S128" s="24" t="s">
        <v>940</v>
      </c>
      <c r="T128" s="23" t="s">
        <v>126</v>
      </c>
      <c r="U128" s="24"/>
      <c r="V128" s="23" t="str">
        <f aca="false">";"&amp;SUBSTITUTE(P128," ","")&amp;";"</f>
        <v>;BSE;ISE;</v>
      </c>
    </row>
    <row r="129" customFormat="false" ht="19.4" hidden="false" customHeight="false" outlineLevel="0" collapsed="false">
      <c r="A129" s="23" t="s">
        <v>941</v>
      </c>
      <c r="B129" s="23" t="s">
        <v>581</v>
      </c>
      <c r="C129" s="23" t="s">
        <v>137</v>
      </c>
      <c r="D129" s="24" t="s">
        <v>942</v>
      </c>
      <c r="E129" s="24" t="s">
        <v>943</v>
      </c>
      <c r="F129" s="25" t="n">
        <v>11</v>
      </c>
      <c r="G129" s="25" t="n">
        <v>3</v>
      </c>
      <c r="H129" s="23" t="n">
        <f aca="false">F129+G129-1</f>
        <v>13</v>
      </c>
      <c r="I129" s="24" t="s">
        <v>514</v>
      </c>
      <c r="J129" s="23" t="n">
        <f aca="false">IF(I129="","",SUMPRODUCT(MAX(ISNUMBER(SEARCH(","&amp;$A$7:$A$156&amp;",",","&amp;SUBSTITUTE(I129," ","")&amp;","))*$H$7:$H$156)))</f>
        <v>8</v>
      </c>
      <c r="K129" s="23" t="str">
        <f aca="false">IF(I129="","OK",IF(F129&gt;J129,"OK","VIOLATION"))</f>
        <v>OK</v>
      </c>
      <c r="L129" s="23" t="str">
        <f aca="false">IF(H129&lt;=26,"OK","LATE")</f>
        <v>OK</v>
      </c>
      <c r="M129" s="26" t="n">
        <f aca="false">Overview!$B$4+7*(F129-1)</f>
        <v>46391</v>
      </c>
      <c r="N129" s="26" t="n">
        <f aca="false">Overview!$B$4+7*(H129-1)+4</f>
        <v>46409</v>
      </c>
      <c r="O129" s="23" t="s">
        <v>944</v>
      </c>
      <c r="P129" s="24" t="s">
        <v>945</v>
      </c>
      <c r="Q129" s="24" t="s">
        <v>946</v>
      </c>
      <c r="R129" s="24" t="s">
        <v>947</v>
      </c>
      <c r="S129" s="24" t="s">
        <v>948</v>
      </c>
      <c r="T129" s="23" t="s">
        <v>126</v>
      </c>
      <c r="U129" s="24"/>
      <c r="V129" s="23" t="str">
        <f aca="false">";"&amp;SUBSTITUTE(P129," ","")&amp;";"</f>
        <v>;GRC;ISE;</v>
      </c>
    </row>
    <row r="130" customFormat="false" ht="19.4" hidden="false" customHeight="false" outlineLevel="0" collapsed="false">
      <c r="A130" s="23" t="s">
        <v>949</v>
      </c>
      <c r="B130" s="23" t="s">
        <v>581</v>
      </c>
      <c r="C130" s="23" t="s">
        <v>137</v>
      </c>
      <c r="D130" s="24" t="s">
        <v>950</v>
      </c>
      <c r="E130" s="24" t="s">
        <v>951</v>
      </c>
      <c r="F130" s="25" t="n">
        <v>10</v>
      </c>
      <c r="G130" s="25" t="n">
        <v>4</v>
      </c>
      <c r="H130" s="23" t="n">
        <f aca="false">F130+G130-1</f>
        <v>13</v>
      </c>
      <c r="I130" s="24" t="s">
        <v>514</v>
      </c>
      <c r="J130" s="23" t="n">
        <f aca="false">IF(I130="","",SUMPRODUCT(MAX(ISNUMBER(SEARCH(","&amp;$A$7:$A$156&amp;",",","&amp;SUBSTITUTE(I130," ","")&amp;","))*$H$7:$H$156)))</f>
        <v>8</v>
      </c>
      <c r="K130" s="23" t="str">
        <f aca="false">IF(I130="","OK",IF(F130&gt;J130,"OK","VIOLATION"))</f>
        <v>OK</v>
      </c>
      <c r="L130" s="23" t="str">
        <f aca="false">IF(H130&lt;=26,"OK","LATE")</f>
        <v>OK</v>
      </c>
      <c r="M130" s="26" t="n">
        <f aca="false">Overview!$B$4+7*(F130-1)</f>
        <v>46384</v>
      </c>
      <c r="N130" s="26" t="n">
        <f aca="false">Overview!$B$4+7*(H130-1)+4</f>
        <v>46409</v>
      </c>
      <c r="O130" s="23" t="s">
        <v>140</v>
      </c>
      <c r="P130" s="24" t="s">
        <v>571</v>
      </c>
      <c r="Q130" s="24" t="s">
        <v>952</v>
      </c>
      <c r="R130" s="24" t="s">
        <v>953</v>
      </c>
      <c r="S130" s="24" t="s">
        <v>954</v>
      </c>
      <c r="T130" s="23" t="s">
        <v>126</v>
      </c>
      <c r="U130" s="24"/>
      <c r="V130" s="23" t="str">
        <f aca="false">";"&amp;SUBSTITUTE(P130," ","")&amp;";"</f>
        <v>;LEG;</v>
      </c>
    </row>
    <row r="131" customFormat="false" ht="19.4" hidden="false" customHeight="false" outlineLevel="0" collapsed="false">
      <c r="A131" s="23" t="s">
        <v>955</v>
      </c>
      <c r="B131" s="23" t="s">
        <v>581</v>
      </c>
      <c r="C131" s="23" t="s">
        <v>137</v>
      </c>
      <c r="D131" s="24" t="s">
        <v>956</v>
      </c>
      <c r="E131" s="24" t="s">
        <v>957</v>
      </c>
      <c r="F131" s="25" t="n">
        <v>7</v>
      </c>
      <c r="G131" s="25" t="n">
        <v>4</v>
      </c>
      <c r="H131" s="23" t="n">
        <f aca="false">F131+G131-1</f>
        <v>10</v>
      </c>
      <c r="I131" s="24" t="s">
        <v>288</v>
      </c>
      <c r="J131" s="23" t="n">
        <f aca="false">IF(I131="","",SUMPRODUCT(MAX(ISNUMBER(SEARCH(","&amp;$A$7:$A$156&amp;",",","&amp;SUBSTITUTE(I131," ","")&amp;","))*$H$7:$H$156)))</f>
        <v>5</v>
      </c>
      <c r="K131" s="23" t="str">
        <f aca="false">IF(I131="","OK",IF(F131&gt;J131,"OK","VIOLATION"))</f>
        <v>OK</v>
      </c>
      <c r="L131" s="23" t="str">
        <f aca="false">IF(H131&lt;=26,"OK","LATE")</f>
        <v>OK</v>
      </c>
      <c r="M131" s="26" t="n">
        <f aca="false">Overview!$B$4+7*(F131-1)</f>
        <v>46363</v>
      </c>
      <c r="N131" s="26" t="n">
        <f aca="false">Overview!$B$4+7*(H131-1)+4</f>
        <v>46388</v>
      </c>
      <c r="O131" s="23" t="s">
        <v>121</v>
      </c>
      <c r="P131" s="24"/>
      <c r="Q131" s="24" t="s">
        <v>958</v>
      </c>
      <c r="R131" s="24" t="s">
        <v>959</v>
      </c>
      <c r="S131" s="24" t="s">
        <v>960</v>
      </c>
      <c r="T131" s="23" t="s">
        <v>126</v>
      </c>
      <c r="U131" s="24"/>
      <c r="V131" s="23" t="str">
        <f aca="false">";"&amp;SUBSTITUTE(P131," ","")&amp;";"</f>
        <v>;;</v>
      </c>
    </row>
    <row r="132" customFormat="false" ht="19.4" hidden="false" customHeight="false" outlineLevel="0" collapsed="false">
      <c r="A132" s="23" t="s">
        <v>961</v>
      </c>
      <c r="B132" s="23" t="s">
        <v>581</v>
      </c>
      <c r="C132" s="23" t="s">
        <v>137</v>
      </c>
      <c r="D132" s="24" t="s">
        <v>962</v>
      </c>
      <c r="E132" s="24" t="s">
        <v>963</v>
      </c>
      <c r="F132" s="25" t="n">
        <v>12</v>
      </c>
      <c r="G132" s="25" t="n">
        <v>4</v>
      </c>
      <c r="H132" s="23" t="n">
        <f aca="false">F132+G132-1</f>
        <v>15</v>
      </c>
      <c r="I132" s="24" t="s">
        <v>964</v>
      </c>
      <c r="J132" s="23" t="n">
        <f aca="false">IF(I132="","",SUMPRODUCT(MAX(ISNUMBER(SEARCH(","&amp;$A$7:$A$156&amp;",",","&amp;SUBSTITUTE(I132," ","")&amp;","))*$H$7:$H$156)))</f>
        <v>9</v>
      </c>
      <c r="K132" s="23" t="str">
        <f aca="false">IF(I132="","OK",IF(F132&gt;J132,"OK","VIOLATION"))</f>
        <v>OK</v>
      </c>
      <c r="L132" s="23" t="str">
        <f aca="false">IF(H132&lt;=26,"OK","LATE")</f>
        <v>OK</v>
      </c>
      <c r="M132" s="26" t="n">
        <f aca="false">Overview!$B$4+7*(F132-1)</f>
        <v>46398</v>
      </c>
      <c r="N132" s="26" t="n">
        <f aca="false">Overview!$B$4+7*(H132-1)+4</f>
        <v>46423</v>
      </c>
      <c r="O132" s="23" t="s">
        <v>158</v>
      </c>
      <c r="P132" s="24" t="s">
        <v>238</v>
      </c>
      <c r="Q132" s="24" t="s">
        <v>532</v>
      </c>
      <c r="R132" s="24" t="s">
        <v>965</v>
      </c>
      <c r="S132" s="24" t="s">
        <v>966</v>
      </c>
      <c r="T132" s="23" t="s">
        <v>126</v>
      </c>
      <c r="U132" s="24"/>
      <c r="V132" s="23" t="str">
        <f aca="false">";"&amp;SUBSTITUTE(P132," ","")&amp;";"</f>
        <v>;GRC;BSE;</v>
      </c>
    </row>
    <row r="133" customFormat="false" ht="19.4" hidden="false" customHeight="false" outlineLevel="0" collapsed="false">
      <c r="A133" s="23" t="s">
        <v>967</v>
      </c>
      <c r="B133" s="23" t="s">
        <v>581</v>
      </c>
      <c r="C133" s="23" t="s">
        <v>118</v>
      </c>
      <c r="D133" s="24" t="s">
        <v>968</v>
      </c>
      <c r="E133" s="24" t="s">
        <v>969</v>
      </c>
      <c r="F133" s="25" t="n">
        <v>14</v>
      </c>
      <c r="G133" s="25" t="n">
        <v>3</v>
      </c>
      <c r="H133" s="23" t="n">
        <f aca="false">F133+G133-1</f>
        <v>16</v>
      </c>
      <c r="I133" s="24" t="s">
        <v>970</v>
      </c>
      <c r="J133" s="23" t="n">
        <f aca="false">IF(I133="","",SUMPRODUCT(MAX(ISNUMBER(SEARCH(","&amp;$A$7:$A$156&amp;",",","&amp;SUBSTITUTE(I133," ","")&amp;","))*$H$7:$H$156)))</f>
        <v>9</v>
      </c>
      <c r="K133" s="23" t="str">
        <f aca="false">IF(I133="","OK",IF(F133&gt;J133,"OK","VIOLATION"))</f>
        <v>OK</v>
      </c>
      <c r="L133" s="23" t="str">
        <f aca="false">IF(H133&lt;=26,"OK","LATE")</f>
        <v>OK</v>
      </c>
      <c r="M133" s="26" t="n">
        <f aca="false">Overview!$B$4+7*(F133-1)</f>
        <v>46412</v>
      </c>
      <c r="N133" s="26" t="n">
        <f aca="false">Overview!$B$4+7*(H133-1)+4</f>
        <v>46430</v>
      </c>
      <c r="O133" s="23" t="s">
        <v>140</v>
      </c>
      <c r="P133" s="24" t="s">
        <v>971</v>
      </c>
      <c r="Q133" s="24" t="s">
        <v>972</v>
      </c>
      <c r="R133" s="24" t="s">
        <v>973</v>
      </c>
      <c r="S133" s="24" t="s">
        <v>974</v>
      </c>
      <c r="T133" s="23" t="s">
        <v>126</v>
      </c>
      <c r="U133" s="24"/>
      <c r="V133" s="23" t="str">
        <f aca="false">";"&amp;SUBSTITUTE(P133," ","")&amp;";"</f>
        <v>;PL;PMC;</v>
      </c>
    </row>
    <row r="134" customFormat="false" ht="55.2" hidden="false" customHeight="false" outlineLevel="0" collapsed="false">
      <c r="A134" s="23" t="s">
        <v>80</v>
      </c>
      <c r="B134" s="23" t="s">
        <v>975</v>
      </c>
      <c r="C134" s="23" t="s">
        <v>118</v>
      </c>
      <c r="D134" s="24" t="s">
        <v>976</v>
      </c>
      <c r="E134" s="24" t="s">
        <v>977</v>
      </c>
      <c r="F134" s="25" t="n">
        <v>15</v>
      </c>
      <c r="G134" s="25" t="n">
        <v>1</v>
      </c>
      <c r="H134" s="23" t="n">
        <f aca="false">F134+G134-1</f>
        <v>15</v>
      </c>
      <c r="I134" s="24" t="s">
        <v>978</v>
      </c>
      <c r="J134" s="23" t="n">
        <f aca="false">IF(I134="","",SUMPRODUCT(MAX(ISNUMBER(SEARCH(","&amp;$A$7:$A$156&amp;",",","&amp;SUBSTITUTE(I134," ","")&amp;","))*$H$7:$H$156)))</f>
        <v>13</v>
      </c>
      <c r="K134" s="23" t="str">
        <f aca="false">IF(I134="","OK",IF(F134&gt;J134,"OK","VIOLATION"))</f>
        <v>OK</v>
      </c>
      <c r="L134" s="23" t="str">
        <f aca="false">IF(H134&lt;=26,"OK","LATE")</f>
        <v>OK</v>
      </c>
      <c r="M134" s="26" t="n">
        <f aca="false">Overview!$B$4+7*(F134-1)</f>
        <v>46419</v>
      </c>
      <c r="N134" s="26" t="n">
        <f aca="false">Overview!$B$4+7*(H134-1)+4</f>
        <v>46423</v>
      </c>
      <c r="O134" s="23" t="s">
        <v>121</v>
      </c>
      <c r="P134" s="24" t="s">
        <v>224</v>
      </c>
      <c r="Q134" s="24" t="s">
        <v>310</v>
      </c>
      <c r="R134" s="24" t="s">
        <v>979</v>
      </c>
      <c r="S134" s="24" t="s">
        <v>312</v>
      </c>
      <c r="T134" s="23" t="s">
        <v>126</v>
      </c>
      <c r="U134" s="24"/>
      <c r="V134" s="23" t="str">
        <f aca="false">";"&amp;SUBSTITUTE(P134," ","")&amp;";"</f>
        <v>;PMC;</v>
      </c>
    </row>
    <row r="135" customFormat="false" ht="19.4" hidden="false" customHeight="false" outlineLevel="0" collapsed="false">
      <c r="A135" s="23" t="s">
        <v>980</v>
      </c>
      <c r="B135" s="23" t="s">
        <v>975</v>
      </c>
      <c r="C135" s="23" t="s">
        <v>147</v>
      </c>
      <c r="D135" s="24" t="s">
        <v>981</v>
      </c>
      <c r="E135" s="24" t="s">
        <v>982</v>
      </c>
      <c r="F135" s="25" t="n">
        <v>16</v>
      </c>
      <c r="G135" s="25" t="n">
        <v>4</v>
      </c>
      <c r="H135" s="23" t="n">
        <f aca="false">F135+G135-1</f>
        <v>19</v>
      </c>
      <c r="I135" s="24" t="s">
        <v>908</v>
      </c>
      <c r="J135" s="23" t="n">
        <f aca="false">IF(I135="","",SUMPRODUCT(MAX(ISNUMBER(SEARCH(","&amp;$A$7:$A$156&amp;",",","&amp;SUBSTITUTE(I135," ","")&amp;","))*$H$7:$H$156)))</f>
        <v>15</v>
      </c>
      <c r="K135" s="23" t="str">
        <f aca="false">IF(I135="","OK",IF(F135&gt;J135,"OK","VIOLATION"))</f>
        <v>OK</v>
      </c>
      <c r="L135" s="23" t="str">
        <f aca="false">IF(H135&lt;=26,"OK","LATE")</f>
        <v>OK</v>
      </c>
      <c r="M135" s="26" t="n">
        <f aca="false">Overview!$B$4+7*(F135-1)</f>
        <v>46426</v>
      </c>
      <c r="N135" s="26" t="n">
        <f aca="false">Overview!$B$4+7*(H135-1)+4</f>
        <v>46451</v>
      </c>
      <c r="O135" s="23" t="s">
        <v>983</v>
      </c>
      <c r="P135" s="24" t="s">
        <v>150</v>
      </c>
      <c r="Q135" s="24" t="s">
        <v>984</v>
      </c>
      <c r="R135" s="24" t="s">
        <v>985</v>
      </c>
      <c r="S135" s="24" t="s">
        <v>986</v>
      </c>
      <c r="T135" s="23" t="s">
        <v>126</v>
      </c>
      <c r="U135" s="24"/>
      <c r="V135" s="23" t="str">
        <f aca="false">";"&amp;SUBSTITUTE(P135," ","")&amp;";"</f>
        <v>;BSE;</v>
      </c>
    </row>
    <row r="136" customFormat="false" ht="19.4" hidden="false" customHeight="false" outlineLevel="0" collapsed="false">
      <c r="A136" s="23" t="s">
        <v>987</v>
      </c>
      <c r="B136" s="23" t="s">
        <v>975</v>
      </c>
      <c r="C136" s="23" t="s">
        <v>147</v>
      </c>
      <c r="D136" s="24" t="s">
        <v>988</v>
      </c>
      <c r="E136" s="24" t="s">
        <v>989</v>
      </c>
      <c r="F136" s="25" t="n">
        <v>16</v>
      </c>
      <c r="G136" s="25" t="n">
        <v>2</v>
      </c>
      <c r="H136" s="23" t="n">
        <f aca="false">F136+G136-1</f>
        <v>17</v>
      </c>
      <c r="I136" s="24" t="s">
        <v>461</v>
      </c>
      <c r="J136" s="23" t="n">
        <f aca="false">IF(I136="","",SUMPRODUCT(MAX(ISNUMBER(SEARCH(","&amp;$A$7:$A$156&amp;",",","&amp;SUBSTITUTE(I136," ","")&amp;","))*$H$7:$H$156)))</f>
        <v>4</v>
      </c>
      <c r="K136" s="23" t="str">
        <f aca="false">IF(I136="","OK",IF(F136&gt;J136,"OK","VIOLATION"))</f>
        <v>OK</v>
      </c>
      <c r="L136" s="23" t="str">
        <f aca="false">IF(H136&lt;=26,"OK","LATE")</f>
        <v>OK</v>
      </c>
      <c r="M136" s="26" t="n">
        <f aca="false">Overview!$B$4+7*(F136-1)</f>
        <v>46426</v>
      </c>
      <c r="N136" s="26" t="n">
        <f aca="false">Overview!$B$4+7*(H136-1)+4</f>
        <v>46437</v>
      </c>
      <c r="O136" s="23" t="s">
        <v>184</v>
      </c>
      <c r="P136" s="24" t="s">
        <v>150</v>
      </c>
      <c r="Q136" s="24" t="s">
        <v>990</v>
      </c>
      <c r="R136" s="24" t="s">
        <v>991</v>
      </c>
      <c r="S136" s="24" t="s">
        <v>992</v>
      </c>
      <c r="T136" s="23" t="s">
        <v>126</v>
      </c>
      <c r="U136" s="24"/>
      <c r="V136" s="23" t="str">
        <f aca="false">";"&amp;SUBSTITUTE(P136," ","")&amp;";"</f>
        <v>;BSE;</v>
      </c>
    </row>
    <row r="137" customFormat="false" ht="19.4" hidden="false" customHeight="false" outlineLevel="0" collapsed="false">
      <c r="A137" s="23" t="s">
        <v>993</v>
      </c>
      <c r="B137" s="23" t="s">
        <v>975</v>
      </c>
      <c r="C137" s="23" t="s">
        <v>147</v>
      </c>
      <c r="D137" s="24" t="s">
        <v>994</v>
      </c>
      <c r="E137" s="24" t="s">
        <v>995</v>
      </c>
      <c r="F137" s="25" t="n">
        <v>16</v>
      </c>
      <c r="G137" s="25" t="n">
        <v>2</v>
      </c>
      <c r="H137" s="23" t="n">
        <f aca="false">F137+G137-1</f>
        <v>17</v>
      </c>
      <c r="I137" s="24" t="s">
        <v>996</v>
      </c>
      <c r="J137" s="23" t="n">
        <f aca="false">IF(I137="","",SUMPRODUCT(MAX(ISNUMBER(SEARCH(","&amp;$A$7:$A$156&amp;",",","&amp;SUBSTITUTE(I137," ","")&amp;","))*$H$7:$H$156)))</f>
        <v>9</v>
      </c>
      <c r="K137" s="23" t="str">
        <f aca="false">IF(I137="","OK",IF(F137&gt;J137,"OK","VIOLATION"))</f>
        <v>OK</v>
      </c>
      <c r="L137" s="23" t="str">
        <f aca="false">IF(H137&lt;=26,"OK","LATE")</f>
        <v>OK</v>
      </c>
      <c r="M137" s="26" t="n">
        <f aca="false">Overview!$B$4+7*(F137-1)</f>
        <v>46426</v>
      </c>
      <c r="N137" s="26" t="n">
        <f aca="false">Overview!$B$4+7*(H137-1)+4</f>
        <v>46437</v>
      </c>
      <c r="O137" s="23" t="s">
        <v>150</v>
      </c>
      <c r="P137" s="24" t="s">
        <v>174</v>
      </c>
      <c r="Q137" s="24" t="s">
        <v>997</v>
      </c>
      <c r="R137" s="24" t="s">
        <v>998</v>
      </c>
      <c r="S137" s="24" t="s">
        <v>999</v>
      </c>
      <c r="T137" s="23" t="s">
        <v>126</v>
      </c>
      <c r="U137" s="24"/>
      <c r="V137" s="23" t="str">
        <f aca="false">";"&amp;SUBSTITUTE(P137," ","")&amp;";"</f>
        <v>;CSE;</v>
      </c>
    </row>
    <row r="138" customFormat="false" ht="19.4" hidden="false" customHeight="false" outlineLevel="0" collapsed="false">
      <c r="A138" s="23" t="s">
        <v>1000</v>
      </c>
      <c r="B138" s="23" t="s">
        <v>975</v>
      </c>
      <c r="C138" s="23" t="s">
        <v>147</v>
      </c>
      <c r="D138" s="24" t="s">
        <v>1001</v>
      </c>
      <c r="E138" s="24" t="s">
        <v>1002</v>
      </c>
      <c r="F138" s="25" t="n">
        <v>16</v>
      </c>
      <c r="G138" s="25" t="n">
        <v>4</v>
      </c>
      <c r="H138" s="23" t="n">
        <f aca="false">F138+G138-1</f>
        <v>19</v>
      </c>
      <c r="I138" s="24" t="s">
        <v>862</v>
      </c>
      <c r="J138" s="23" t="n">
        <f aca="false">IF(I138="","",SUMPRODUCT(MAX(ISNUMBER(SEARCH(","&amp;$A$7:$A$156&amp;",",","&amp;SUBSTITUTE(I138," ","")&amp;","))*$H$7:$H$156)))</f>
        <v>13</v>
      </c>
      <c r="K138" s="23" t="str">
        <f aca="false">IF(I138="","OK",IF(F138&gt;J138,"OK","VIOLATION"))</f>
        <v>OK</v>
      </c>
      <c r="L138" s="23" t="str">
        <f aca="false">IF(H138&lt;=26,"OK","LATE")</f>
        <v>OK</v>
      </c>
      <c r="M138" s="26" t="n">
        <f aca="false">Overview!$B$4+7*(F138-1)</f>
        <v>46426</v>
      </c>
      <c r="N138" s="26" t="n">
        <f aca="false">Overview!$B$4+7*(H138-1)+4</f>
        <v>46451</v>
      </c>
      <c r="O138" s="23" t="s">
        <v>158</v>
      </c>
      <c r="P138" s="24" t="s">
        <v>150</v>
      </c>
      <c r="Q138" s="24" t="s">
        <v>1003</v>
      </c>
      <c r="R138" s="24" t="s">
        <v>1004</v>
      </c>
      <c r="S138" s="24" t="s">
        <v>1005</v>
      </c>
      <c r="T138" s="23" t="s">
        <v>126</v>
      </c>
      <c r="U138" s="24"/>
      <c r="V138" s="23" t="str">
        <f aca="false">";"&amp;SUBSTITUTE(P138," ","")&amp;";"</f>
        <v>;BSE;</v>
      </c>
    </row>
    <row r="139" customFormat="false" ht="19.4" hidden="false" customHeight="false" outlineLevel="0" collapsed="false">
      <c r="A139" s="23" t="s">
        <v>1006</v>
      </c>
      <c r="B139" s="23" t="s">
        <v>975</v>
      </c>
      <c r="C139" s="23" t="s">
        <v>181</v>
      </c>
      <c r="D139" s="24" t="s">
        <v>1007</v>
      </c>
      <c r="E139" s="24" t="s">
        <v>1008</v>
      </c>
      <c r="F139" s="25" t="n">
        <v>16</v>
      </c>
      <c r="G139" s="25" t="n">
        <v>2</v>
      </c>
      <c r="H139" s="23" t="n">
        <f aca="false">F139+G139-1</f>
        <v>17</v>
      </c>
      <c r="I139" s="24" t="s">
        <v>799</v>
      </c>
      <c r="J139" s="23" t="n">
        <f aca="false">IF(I139="","",SUMPRODUCT(MAX(ISNUMBER(SEARCH(","&amp;$A$7:$A$156&amp;",",","&amp;SUBSTITUTE(I139," ","")&amp;","))*$H$7:$H$156)))</f>
        <v>12</v>
      </c>
      <c r="K139" s="23" t="str">
        <f aca="false">IF(I139="","OK",IF(F139&gt;J139,"OK","VIOLATION"))</f>
        <v>OK</v>
      </c>
      <c r="L139" s="23" t="str">
        <f aca="false">IF(H139&lt;=26,"OK","LATE")</f>
        <v>OK</v>
      </c>
      <c r="M139" s="26" t="n">
        <f aca="false">Overview!$B$4+7*(F139-1)</f>
        <v>46426</v>
      </c>
      <c r="N139" s="26" t="n">
        <f aca="false">Overview!$B$4+7*(H139-1)+4</f>
        <v>46437</v>
      </c>
      <c r="O139" s="23" t="s">
        <v>343</v>
      </c>
      <c r="P139" s="24" t="s">
        <v>175</v>
      </c>
      <c r="Q139" s="24" t="s">
        <v>1009</v>
      </c>
      <c r="R139" s="24" t="s">
        <v>1010</v>
      </c>
      <c r="S139" s="24" t="s">
        <v>1011</v>
      </c>
      <c r="T139" s="23" t="s">
        <v>126</v>
      </c>
      <c r="U139" s="24"/>
      <c r="V139" s="23" t="str">
        <f aca="false">";"&amp;SUBSTITUTE(P139," ","")&amp;";"</f>
        <v>;ENG;</v>
      </c>
    </row>
    <row r="140" customFormat="false" ht="19.4" hidden="false" customHeight="false" outlineLevel="0" collapsed="false">
      <c r="A140" s="23" t="s">
        <v>1012</v>
      </c>
      <c r="B140" s="23" t="s">
        <v>975</v>
      </c>
      <c r="C140" s="23" t="s">
        <v>137</v>
      </c>
      <c r="D140" s="24" t="s">
        <v>1013</v>
      </c>
      <c r="E140" s="24" t="s">
        <v>1014</v>
      </c>
      <c r="F140" s="25" t="n">
        <v>16</v>
      </c>
      <c r="G140" s="25" t="n">
        <v>2</v>
      </c>
      <c r="H140" s="23" t="n">
        <f aca="false">F140+G140-1</f>
        <v>17</v>
      </c>
      <c r="I140" s="24" t="s">
        <v>1015</v>
      </c>
      <c r="J140" s="23" t="n">
        <f aca="false">IF(I140="","",SUMPRODUCT(MAX(ISNUMBER(SEARCH(","&amp;$A$7:$A$156&amp;",",","&amp;SUBSTITUTE(I140," ","")&amp;","))*$H$7:$H$156)))</f>
        <v>7</v>
      </c>
      <c r="K140" s="23" t="str">
        <f aca="false">IF(I140="","OK",IF(F140&gt;J140,"OK","VIOLATION"))</f>
        <v>OK</v>
      </c>
      <c r="L140" s="23" t="str">
        <f aca="false">IF(H140&lt;=26,"OK","LATE")</f>
        <v>OK</v>
      </c>
      <c r="M140" s="26" t="n">
        <f aca="false">Overview!$B$4+7*(F140-1)</f>
        <v>46426</v>
      </c>
      <c r="N140" s="26" t="n">
        <f aca="false">Overview!$B$4+7*(H140-1)+4</f>
        <v>46437</v>
      </c>
      <c r="O140" s="23" t="s">
        <v>140</v>
      </c>
      <c r="P140" s="24" t="s">
        <v>121</v>
      </c>
      <c r="Q140" s="24" t="s">
        <v>1016</v>
      </c>
      <c r="R140" s="24" t="s">
        <v>1017</v>
      </c>
      <c r="S140" s="24" t="s">
        <v>1018</v>
      </c>
      <c r="T140" s="23" t="s">
        <v>126</v>
      </c>
      <c r="U140" s="24"/>
      <c r="V140" s="23" t="str">
        <f aca="false">";"&amp;SUBSTITUTE(P140," ","")&amp;";"</f>
        <v>;PL;</v>
      </c>
    </row>
    <row r="141" customFormat="false" ht="19.4" hidden="false" customHeight="false" outlineLevel="0" collapsed="false">
      <c r="A141" s="23" t="s">
        <v>1019</v>
      </c>
      <c r="B141" s="23" t="s">
        <v>975</v>
      </c>
      <c r="C141" s="23" t="s">
        <v>147</v>
      </c>
      <c r="D141" s="24" t="s">
        <v>1020</v>
      </c>
      <c r="E141" s="24" t="s">
        <v>1021</v>
      </c>
      <c r="F141" s="25" t="n">
        <v>17</v>
      </c>
      <c r="G141" s="25" t="n">
        <v>2</v>
      </c>
      <c r="H141" s="23" t="n">
        <f aca="false">F141+G141-1</f>
        <v>18</v>
      </c>
      <c r="I141" s="24" t="s">
        <v>1022</v>
      </c>
      <c r="J141" s="23" t="n">
        <f aca="false">IF(I141="","",SUMPRODUCT(MAX(ISNUMBER(SEARCH(","&amp;$A$7:$A$156&amp;",",","&amp;SUBSTITUTE(I141," ","")&amp;","))*$H$7:$H$156)))</f>
        <v>16</v>
      </c>
      <c r="K141" s="23" t="str">
        <f aca="false">IF(I141="","OK",IF(F141&gt;J141,"OK","VIOLATION"))</f>
        <v>OK</v>
      </c>
      <c r="L141" s="23" t="str">
        <f aca="false">IF(H141&lt;=26,"OK","LATE")</f>
        <v>OK</v>
      </c>
      <c r="M141" s="26" t="n">
        <f aca="false">Overview!$B$4+7*(F141-1)</f>
        <v>46433</v>
      </c>
      <c r="N141" s="26" t="n">
        <f aca="false">Overview!$B$4+7*(H141-1)+4</f>
        <v>46444</v>
      </c>
      <c r="O141" s="23" t="s">
        <v>415</v>
      </c>
      <c r="P141" s="24" t="s">
        <v>150</v>
      </c>
      <c r="Q141" s="24" t="s">
        <v>919</v>
      </c>
      <c r="R141" s="24" t="s">
        <v>1023</v>
      </c>
      <c r="S141" s="24" t="s">
        <v>1024</v>
      </c>
      <c r="T141" s="23" t="s">
        <v>126</v>
      </c>
      <c r="U141" s="24"/>
      <c r="V141" s="23" t="str">
        <f aca="false">";"&amp;SUBSTITUTE(P141," ","")&amp;";"</f>
        <v>;BSE;</v>
      </c>
    </row>
    <row r="142" customFormat="false" ht="15" hidden="false" customHeight="false" outlineLevel="0" collapsed="false">
      <c r="A142" s="23" t="s">
        <v>1025</v>
      </c>
      <c r="B142" s="23" t="s">
        <v>975</v>
      </c>
      <c r="C142" s="23" t="s">
        <v>181</v>
      </c>
      <c r="D142" s="24" t="s">
        <v>1026</v>
      </c>
      <c r="E142" s="24" t="s">
        <v>1027</v>
      </c>
      <c r="F142" s="25" t="n">
        <v>17</v>
      </c>
      <c r="G142" s="25" t="n">
        <v>2</v>
      </c>
      <c r="H142" s="23" t="n">
        <f aca="false">F142+G142-1</f>
        <v>18</v>
      </c>
      <c r="I142" s="24" t="s">
        <v>1028</v>
      </c>
      <c r="J142" s="23" t="n">
        <f aca="false">IF(I142="","",SUMPRODUCT(MAX(ISNUMBER(SEARCH(","&amp;$A$7:$A$156&amp;",",","&amp;SUBSTITUTE(I142," ","")&amp;","))*$H$7:$H$156)))</f>
        <v>16</v>
      </c>
      <c r="K142" s="23" t="str">
        <f aca="false">IF(I142="","OK",IF(F142&gt;J142,"OK","VIOLATION"))</f>
        <v>OK</v>
      </c>
      <c r="L142" s="23" t="str">
        <f aca="false">IF(H142&lt;=26,"OK","LATE")</f>
        <v>OK</v>
      </c>
      <c r="M142" s="26" t="n">
        <f aca="false">Overview!$B$4+7*(F142-1)</f>
        <v>46433</v>
      </c>
      <c r="N142" s="26" t="n">
        <f aca="false">Overview!$B$4+7*(H142-1)+4</f>
        <v>46444</v>
      </c>
      <c r="O142" s="23" t="s">
        <v>429</v>
      </c>
      <c r="P142" s="24" t="s">
        <v>1029</v>
      </c>
      <c r="Q142" s="24" t="s">
        <v>1030</v>
      </c>
      <c r="R142" s="24" t="s">
        <v>1031</v>
      </c>
      <c r="S142" s="24" t="s">
        <v>1032</v>
      </c>
      <c r="T142" s="23" t="s">
        <v>126</v>
      </c>
      <c r="U142" s="24"/>
      <c r="V142" s="23" t="str">
        <f aca="false">";"&amp;SUBSTITUTE(P142," ","")&amp;";"</f>
        <v>;ISE;MDR;</v>
      </c>
    </row>
    <row r="143" customFormat="false" ht="19.4" hidden="false" customHeight="false" outlineLevel="0" collapsed="false">
      <c r="A143" s="23" t="s">
        <v>1033</v>
      </c>
      <c r="B143" s="23" t="s">
        <v>975</v>
      </c>
      <c r="C143" s="23" t="s">
        <v>137</v>
      </c>
      <c r="D143" s="24" t="s">
        <v>1034</v>
      </c>
      <c r="E143" s="24" t="s">
        <v>1035</v>
      </c>
      <c r="F143" s="25" t="n">
        <v>17</v>
      </c>
      <c r="G143" s="25" t="n">
        <v>2</v>
      </c>
      <c r="H143" s="23" t="n">
        <f aca="false">F143+G143-1</f>
        <v>18</v>
      </c>
      <c r="I143" s="24" t="s">
        <v>1036</v>
      </c>
      <c r="J143" s="23" t="n">
        <f aca="false">IF(I143="","",SUMPRODUCT(MAX(ISNUMBER(SEARCH(","&amp;$A$7:$A$156&amp;",",","&amp;SUBSTITUTE(I143," ","")&amp;","))*$H$7:$H$156)))</f>
        <v>16</v>
      </c>
      <c r="K143" s="23" t="str">
        <f aca="false">IF(I143="","OK",IF(F143&gt;J143,"OK","VIOLATION"))</f>
        <v>OK</v>
      </c>
      <c r="L143" s="23" t="str">
        <f aca="false">IF(H143&lt;=26,"OK","LATE")</f>
        <v>OK</v>
      </c>
      <c r="M143" s="26" t="n">
        <f aca="false">Overview!$B$4+7*(F143-1)</f>
        <v>46433</v>
      </c>
      <c r="N143" s="26" t="n">
        <f aca="false">Overview!$B$4+7*(H143-1)+4</f>
        <v>46444</v>
      </c>
      <c r="O143" s="23" t="s">
        <v>1037</v>
      </c>
      <c r="P143" s="24" t="s">
        <v>140</v>
      </c>
      <c r="Q143" s="24" t="s">
        <v>1038</v>
      </c>
      <c r="R143" s="24" t="s">
        <v>1039</v>
      </c>
      <c r="S143" s="24" t="s">
        <v>287</v>
      </c>
      <c r="T143" s="23" t="s">
        <v>126</v>
      </c>
      <c r="U143" s="24"/>
      <c r="V143" s="23" t="str">
        <f aca="false">";"&amp;SUBSTITUTE(P143," ","")&amp;";"</f>
        <v>;GRC;</v>
      </c>
    </row>
    <row r="144" customFormat="false" ht="19.4" hidden="false" customHeight="false" outlineLevel="0" collapsed="false">
      <c r="A144" s="23" t="s">
        <v>1040</v>
      </c>
      <c r="B144" s="23" t="s">
        <v>975</v>
      </c>
      <c r="C144" s="23" t="s">
        <v>181</v>
      </c>
      <c r="D144" s="24" t="s">
        <v>1041</v>
      </c>
      <c r="E144" s="24" t="s">
        <v>1042</v>
      </c>
      <c r="F144" s="25" t="n">
        <v>18</v>
      </c>
      <c r="G144" s="25" t="n">
        <v>2</v>
      </c>
      <c r="H144" s="23" t="n">
        <f aca="false">F144+G144-1</f>
        <v>19</v>
      </c>
      <c r="I144" s="24" t="s">
        <v>1043</v>
      </c>
      <c r="J144" s="23" t="n">
        <f aca="false">IF(I144="","",SUMPRODUCT(MAX(ISNUMBER(SEARCH(","&amp;$A$7:$A$156&amp;",",","&amp;SUBSTITUTE(I144," ","")&amp;","))*$H$7:$H$156)))</f>
        <v>17</v>
      </c>
      <c r="K144" s="23" t="str">
        <f aca="false">IF(I144="","OK",IF(F144&gt;J144,"OK","VIOLATION"))</f>
        <v>OK</v>
      </c>
      <c r="L144" s="23" t="str">
        <f aca="false">IF(H144&lt;=26,"OK","LATE")</f>
        <v>OK</v>
      </c>
      <c r="M144" s="26" t="n">
        <f aca="false">Overview!$B$4+7*(F144-1)</f>
        <v>46440</v>
      </c>
      <c r="N144" s="26" t="n">
        <f aca="false">Overview!$B$4+7*(H144-1)+4</f>
        <v>46451</v>
      </c>
      <c r="O144" s="23" t="s">
        <v>1044</v>
      </c>
      <c r="P144" s="24" t="s">
        <v>551</v>
      </c>
      <c r="Q144" s="24" t="s">
        <v>1045</v>
      </c>
      <c r="R144" s="24" t="s">
        <v>1046</v>
      </c>
      <c r="S144" s="24" t="s">
        <v>1047</v>
      </c>
      <c r="T144" s="23" t="s">
        <v>126</v>
      </c>
      <c r="U144" s="24"/>
      <c r="V144" s="23" t="str">
        <f aca="false">";"&amp;SUBSTITUTE(P144," ","")&amp;";"</f>
        <v>;CSE;ISE;</v>
      </c>
    </row>
    <row r="145" customFormat="false" ht="19.4" hidden="false" customHeight="false" outlineLevel="0" collapsed="false">
      <c r="A145" s="23" t="s">
        <v>1048</v>
      </c>
      <c r="B145" s="23" t="s">
        <v>975</v>
      </c>
      <c r="C145" s="23" t="s">
        <v>137</v>
      </c>
      <c r="D145" s="24" t="s">
        <v>1049</v>
      </c>
      <c r="E145" s="24" t="s">
        <v>1050</v>
      </c>
      <c r="F145" s="25" t="n">
        <v>19</v>
      </c>
      <c r="G145" s="25" t="n">
        <v>3</v>
      </c>
      <c r="H145" s="23" t="n">
        <f aca="false">F145+G145-1</f>
        <v>21</v>
      </c>
      <c r="I145" s="24" t="s">
        <v>1033</v>
      </c>
      <c r="J145" s="23" t="n">
        <f aca="false">IF(I145="","",SUMPRODUCT(MAX(ISNUMBER(SEARCH(","&amp;$A$7:$A$156&amp;",",","&amp;SUBSTITUTE(I145," ","")&amp;","))*$H$7:$H$156)))</f>
        <v>18</v>
      </c>
      <c r="K145" s="23" t="str">
        <f aca="false">IF(I145="","OK",IF(F145&gt;J145,"OK","VIOLATION"))</f>
        <v>OK</v>
      </c>
      <c r="L145" s="23" t="str">
        <f aca="false">IF(H145&lt;=26,"OK","LATE")</f>
        <v>OK</v>
      </c>
      <c r="M145" s="26" t="n">
        <f aca="false">Overview!$B$4+7*(F145-1)</f>
        <v>46447</v>
      </c>
      <c r="N145" s="26" t="n">
        <f aca="false">Overview!$B$4+7*(H145-1)+4</f>
        <v>46465</v>
      </c>
      <c r="O145" s="23" t="s">
        <v>140</v>
      </c>
      <c r="P145" s="24" t="s">
        <v>1051</v>
      </c>
      <c r="Q145" s="24" t="s">
        <v>526</v>
      </c>
      <c r="R145" s="24" t="s">
        <v>1052</v>
      </c>
      <c r="S145" s="24" t="s">
        <v>287</v>
      </c>
      <c r="T145" s="23" t="s">
        <v>126</v>
      </c>
      <c r="U145" s="24"/>
      <c r="V145" s="23" t="str">
        <f aca="false">";"&amp;SUBSTITUTE(P145," ","")&amp;";"</f>
        <v>;GRCC;CSE;ISE;BSE;</v>
      </c>
    </row>
    <row r="146" customFormat="false" ht="19.4" hidden="false" customHeight="false" outlineLevel="0" collapsed="false">
      <c r="A146" s="23" t="s">
        <v>1053</v>
      </c>
      <c r="B146" s="23" t="s">
        <v>975</v>
      </c>
      <c r="C146" s="23" t="s">
        <v>181</v>
      </c>
      <c r="D146" s="24" t="s">
        <v>1054</v>
      </c>
      <c r="E146" s="24" t="s">
        <v>1055</v>
      </c>
      <c r="F146" s="25" t="n">
        <v>19</v>
      </c>
      <c r="G146" s="25" t="n">
        <v>2</v>
      </c>
      <c r="H146" s="23" t="n">
        <f aca="false">F146+G146-1</f>
        <v>20</v>
      </c>
      <c r="I146" s="24" t="s">
        <v>1056</v>
      </c>
      <c r="J146" s="23" t="n">
        <f aca="false">IF(I146="","",SUMPRODUCT(MAX(ISNUMBER(SEARCH(","&amp;$A$7:$A$156&amp;",",","&amp;SUBSTITUTE(I146," ","")&amp;","))*$H$7:$H$156)))</f>
        <v>16</v>
      </c>
      <c r="K146" s="23" t="str">
        <f aca="false">IF(I146="","OK",IF(F146&gt;J146,"OK","VIOLATION"))</f>
        <v>OK</v>
      </c>
      <c r="L146" s="23" t="str">
        <f aca="false">IF(H146&lt;=26,"OK","LATE")</f>
        <v>OK</v>
      </c>
      <c r="M146" s="26" t="n">
        <f aca="false">Overview!$B$4+7*(F146-1)</f>
        <v>46447</v>
      </c>
      <c r="N146" s="26" t="n">
        <f aca="false">Overview!$B$4+7*(H146-1)+4</f>
        <v>46458</v>
      </c>
      <c r="O146" s="23" t="s">
        <v>184</v>
      </c>
      <c r="P146" s="24" t="s">
        <v>1057</v>
      </c>
      <c r="Q146" s="24" t="s">
        <v>1058</v>
      </c>
      <c r="R146" s="24" t="s">
        <v>1059</v>
      </c>
      <c r="S146" s="24" t="s">
        <v>1060</v>
      </c>
      <c r="T146" s="23" t="s">
        <v>126</v>
      </c>
      <c r="U146" s="24"/>
      <c r="V146" s="23" t="str">
        <f aca="false">";"&amp;SUBSTITUTE(P146," ","")&amp;";"</f>
        <v>;BSE;PL;MDR;</v>
      </c>
    </row>
    <row r="147" customFormat="false" ht="37.3" hidden="false" customHeight="false" outlineLevel="0" collapsed="false">
      <c r="A147" s="23" t="s">
        <v>84</v>
      </c>
      <c r="B147" s="23" t="s">
        <v>975</v>
      </c>
      <c r="C147" s="23" t="s">
        <v>118</v>
      </c>
      <c r="D147" s="24" t="s">
        <v>1061</v>
      </c>
      <c r="E147" s="24" t="s">
        <v>977</v>
      </c>
      <c r="F147" s="25" t="n">
        <v>20</v>
      </c>
      <c r="G147" s="25" t="n">
        <v>1</v>
      </c>
      <c r="H147" s="23" t="n">
        <f aca="false">F147+G147-1</f>
        <v>20</v>
      </c>
      <c r="I147" s="24" t="s">
        <v>1062</v>
      </c>
      <c r="J147" s="23" t="n">
        <f aca="false">IF(I147="","",SUMPRODUCT(MAX(ISNUMBER(SEARCH(","&amp;$A$7:$A$156&amp;",",","&amp;SUBSTITUTE(I147," ","")&amp;","))*$H$7:$H$156)))</f>
        <v>19</v>
      </c>
      <c r="K147" s="23" t="str">
        <f aca="false">IF(I147="","OK",IF(F147&gt;J147,"OK","VIOLATION"))</f>
        <v>OK</v>
      </c>
      <c r="L147" s="23" t="str">
        <f aca="false">IF(H147&lt;=26,"OK","LATE")</f>
        <v>OK</v>
      </c>
      <c r="M147" s="26" t="n">
        <f aca="false">Overview!$B$4+7*(F147-1)</f>
        <v>46454</v>
      </c>
      <c r="N147" s="26" t="n">
        <f aca="false">Overview!$B$4+7*(H147-1)+4</f>
        <v>46458</v>
      </c>
      <c r="O147" s="23" t="s">
        <v>121</v>
      </c>
      <c r="P147" s="24" t="s">
        <v>224</v>
      </c>
      <c r="Q147" s="24" t="s">
        <v>310</v>
      </c>
      <c r="R147" s="24" t="s">
        <v>1063</v>
      </c>
      <c r="S147" s="24" t="s">
        <v>312</v>
      </c>
      <c r="T147" s="23" t="s">
        <v>126</v>
      </c>
      <c r="U147" s="24"/>
      <c r="V147" s="23" t="str">
        <f aca="false">";"&amp;SUBSTITUTE(P147," ","")&amp;";"</f>
        <v>;PMC;</v>
      </c>
    </row>
    <row r="148" customFormat="false" ht="15" hidden="false" customHeight="false" outlineLevel="0" collapsed="false">
      <c r="A148" s="23" t="s">
        <v>1064</v>
      </c>
      <c r="B148" s="23" t="s">
        <v>975</v>
      </c>
      <c r="C148" s="23" t="s">
        <v>181</v>
      </c>
      <c r="D148" s="24" t="s">
        <v>1065</v>
      </c>
      <c r="E148" s="24" t="s">
        <v>1066</v>
      </c>
      <c r="F148" s="25" t="n">
        <v>20</v>
      </c>
      <c r="G148" s="25" t="n">
        <v>3</v>
      </c>
      <c r="H148" s="23" t="n">
        <f aca="false">F148+G148-1</f>
        <v>22</v>
      </c>
      <c r="I148" s="24" t="s">
        <v>1040</v>
      </c>
      <c r="J148" s="23" t="n">
        <f aca="false">IF(I148="","",SUMPRODUCT(MAX(ISNUMBER(SEARCH(","&amp;$A$7:$A$156&amp;",",","&amp;SUBSTITUTE(I148," ","")&amp;","))*$H$7:$H$156)))</f>
        <v>19</v>
      </c>
      <c r="K148" s="23" t="str">
        <f aca="false">IF(I148="","OK",IF(F148&gt;J148,"OK","VIOLATION"))</f>
        <v>OK</v>
      </c>
      <c r="L148" s="23" t="str">
        <f aca="false">IF(H148&lt;=26,"OK","LATE")</f>
        <v>OK</v>
      </c>
      <c r="M148" s="26" t="n">
        <f aca="false">Overview!$B$4+7*(F148-1)</f>
        <v>46454</v>
      </c>
      <c r="N148" s="26" t="n">
        <f aca="false">Overview!$B$4+7*(H148-1)+4</f>
        <v>46472</v>
      </c>
      <c r="O148" s="23" t="s">
        <v>174</v>
      </c>
      <c r="P148" s="24" t="s">
        <v>1067</v>
      </c>
      <c r="Q148" s="24" t="s">
        <v>1068</v>
      </c>
      <c r="R148" s="24" t="s">
        <v>1069</v>
      </c>
      <c r="S148" s="24" t="s">
        <v>1070</v>
      </c>
      <c r="T148" s="23" t="s">
        <v>126</v>
      </c>
      <c r="U148" s="24"/>
      <c r="V148" s="23" t="str">
        <f aca="false">";"&amp;SUBSTITUTE(P148," ","")&amp;";"</f>
        <v>;PEN;ENG;</v>
      </c>
    </row>
    <row r="149" customFormat="false" ht="19.4" hidden="false" customHeight="false" outlineLevel="0" collapsed="false">
      <c r="A149" s="23" t="s">
        <v>1071</v>
      </c>
      <c r="B149" s="23" t="s">
        <v>975</v>
      </c>
      <c r="C149" s="23" t="s">
        <v>147</v>
      </c>
      <c r="D149" s="24" t="s">
        <v>1072</v>
      </c>
      <c r="E149" s="24" t="s">
        <v>1073</v>
      </c>
      <c r="F149" s="25" t="n">
        <v>20</v>
      </c>
      <c r="G149" s="25" t="n">
        <v>3</v>
      </c>
      <c r="H149" s="23" t="n">
        <f aca="false">F149+G149-1</f>
        <v>22</v>
      </c>
      <c r="I149" s="24" t="s">
        <v>980</v>
      </c>
      <c r="J149" s="23" t="n">
        <f aca="false">IF(I149="","",SUMPRODUCT(MAX(ISNUMBER(SEARCH(","&amp;$A$7:$A$156&amp;",",","&amp;SUBSTITUTE(I149," ","")&amp;","))*$H$7:$H$156)))</f>
        <v>19</v>
      </c>
      <c r="K149" s="23" t="str">
        <f aca="false">IF(I149="","OK",IF(F149&gt;J149,"OK","VIOLATION"))</f>
        <v>OK</v>
      </c>
      <c r="L149" s="23" t="str">
        <f aca="false">IF(H149&lt;=26,"OK","LATE")</f>
        <v>OK</v>
      </c>
      <c r="M149" s="26" t="n">
        <f aca="false">Overview!$B$4+7*(F149-1)</f>
        <v>46454</v>
      </c>
      <c r="N149" s="26" t="n">
        <f aca="false">Overview!$B$4+7*(H149-1)+4</f>
        <v>46472</v>
      </c>
      <c r="O149" s="23" t="s">
        <v>150</v>
      </c>
      <c r="P149" s="24" t="s">
        <v>1074</v>
      </c>
      <c r="Q149" s="24" t="s">
        <v>1075</v>
      </c>
      <c r="R149" s="24" t="s">
        <v>1076</v>
      </c>
      <c r="S149" s="24" t="s">
        <v>914</v>
      </c>
      <c r="T149" s="23" t="s">
        <v>126</v>
      </c>
      <c r="U149" s="24"/>
      <c r="V149" s="23" t="str">
        <f aca="false">";"&amp;SUBSTITUTE(P149," ","")&amp;";"</f>
        <v>;SCA;BSC;ENG;</v>
      </c>
    </row>
    <row r="150" customFormat="false" ht="19.4" hidden="false" customHeight="false" outlineLevel="0" collapsed="false">
      <c r="A150" s="23" t="s">
        <v>1077</v>
      </c>
      <c r="B150" s="23" t="s">
        <v>1078</v>
      </c>
      <c r="C150" s="23" t="s">
        <v>118</v>
      </c>
      <c r="D150" s="24" t="s">
        <v>1079</v>
      </c>
      <c r="E150" s="24" t="s">
        <v>1080</v>
      </c>
      <c r="F150" s="25" t="n">
        <v>21</v>
      </c>
      <c r="G150" s="25" t="n">
        <v>4</v>
      </c>
      <c r="H150" s="23" t="n">
        <f aca="false">F150+G150-1</f>
        <v>24</v>
      </c>
      <c r="I150" s="24" t="s">
        <v>84</v>
      </c>
      <c r="J150" s="23" t="n">
        <f aca="false">IF(I150="","",SUMPRODUCT(MAX(ISNUMBER(SEARCH(","&amp;$A$7:$A$156&amp;",",","&amp;SUBSTITUTE(I150," ","")&amp;","))*$H$7:$H$156)))</f>
        <v>20</v>
      </c>
      <c r="K150" s="23" t="str">
        <f aca="false">IF(I150="","OK",IF(F150&gt;J150,"OK","VIOLATION"))</f>
        <v>OK</v>
      </c>
      <c r="L150" s="23" t="str">
        <f aca="false">IF(H150&lt;=26,"OK","LATE")</f>
        <v>OK</v>
      </c>
      <c r="M150" s="26" t="n">
        <f aca="false">Overview!$B$4+7*(F150-1)</f>
        <v>46461</v>
      </c>
      <c r="N150" s="26" t="n">
        <f aca="false">Overview!$B$4+7*(H150-1)+4</f>
        <v>46486</v>
      </c>
      <c r="O150" s="23" t="s">
        <v>121</v>
      </c>
      <c r="P150" s="24" t="s">
        <v>1081</v>
      </c>
      <c r="Q150" s="24" t="s">
        <v>1082</v>
      </c>
      <c r="R150" s="24" t="s">
        <v>1083</v>
      </c>
      <c r="S150" s="24" t="s">
        <v>1084</v>
      </c>
      <c r="T150" s="23" t="s">
        <v>126</v>
      </c>
      <c r="U150" s="24"/>
      <c r="V150" s="23" t="str">
        <f aca="false">";"&amp;SUBSTITUTE(P150," ","")&amp;";"</f>
        <v>;CSE;ISE;BSE;GRC;PMC;</v>
      </c>
    </row>
    <row r="151" customFormat="false" ht="19.4" hidden="false" customHeight="false" outlineLevel="0" collapsed="false">
      <c r="A151" s="23" t="s">
        <v>1085</v>
      </c>
      <c r="B151" s="23" t="s">
        <v>1078</v>
      </c>
      <c r="C151" s="23" t="s">
        <v>118</v>
      </c>
      <c r="D151" s="24" t="s">
        <v>1086</v>
      </c>
      <c r="E151" s="24" t="s">
        <v>1087</v>
      </c>
      <c r="F151" s="25" t="n">
        <v>21</v>
      </c>
      <c r="G151" s="25" t="n">
        <v>2</v>
      </c>
      <c r="H151" s="23" t="n">
        <f aca="false">F151+G151-1</f>
        <v>22</v>
      </c>
      <c r="I151" s="24" t="s">
        <v>1088</v>
      </c>
      <c r="J151" s="23" t="n">
        <f aca="false">IF(I151="","",SUMPRODUCT(MAX(ISNUMBER(SEARCH(","&amp;$A$7:$A$156&amp;",",","&amp;SUBSTITUTE(I151," ","")&amp;","))*$H$7:$H$156)))</f>
        <v>20</v>
      </c>
      <c r="K151" s="23" t="str">
        <f aca="false">IF(I151="","OK",IF(F151&gt;J151,"OK","VIOLATION"))</f>
        <v>OK</v>
      </c>
      <c r="L151" s="23" t="str">
        <f aca="false">IF(H151&lt;=26,"OK","LATE")</f>
        <v>OK</v>
      </c>
      <c r="M151" s="26" t="n">
        <f aca="false">Overview!$B$4+7*(F151-1)</f>
        <v>46461</v>
      </c>
      <c r="N151" s="26" t="n">
        <f aca="false">Overview!$B$4+7*(H151-1)+4</f>
        <v>46472</v>
      </c>
      <c r="O151" s="23" t="s">
        <v>224</v>
      </c>
      <c r="P151" s="24" t="s">
        <v>1089</v>
      </c>
      <c r="Q151" s="24" t="s">
        <v>1090</v>
      </c>
      <c r="R151" s="24" t="s">
        <v>1091</v>
      </c>
      <c r="S151" s="24" t="s">
        <v>1092</v>
      </c>
      <c r="T151" s="23" t="s">
        <v>126</v>
      </c>
      <c r="U151" s="24"/>
      <c r="V151" s="23" t="str">
        <f aca="false">";"&amp;SUBSTITUTE(P151," ","")&amp;";"</f>
        <v>;DET;GRC;</v>
      </c>
    </row>
    <row r="152" customFormat="false" ht="28.35" hidden="false" customHeight="false" outlineLevel="0" collapsed="false">
      <c r="A152" s="23" t="s">
        <v>1093</v>
      </c>
      <c r="B152" s="23" t="s">
        <v>1078</v>
      </c>
      <c r="C152" s="23" t="s">
        <v>137</v>
      </c>
      <c r="D152" s="24" t="s">
        <v>1094</v>
      </c>
      <c r="E152" s="24" t="s">
        <v>1095</v>
      </c>
      <c r="F152" s="25" t="n">
        <v>22</v>
      </c>
      <c r="G152" s="25" t="n">
        <v>4</v>
      </c>
      <c r="H152" s="23" t="n">
        <f aca="false">F152+G152-1</f>
        <v>25</v>
      </c>
      <c r="I152" s="24" t="s">
        <v>1048</v>
      </c>
      <c r="J152" s="23" t="n">
        <f aca="false">IF(I152="","",SUMPRODUCT(MAX(ISNUMBER(SEARCH(","&amp;$A$7:$A$156&amp;",",","&amp;SUBSTITUTE(I152," ","")&amp;","))*$H$7:$H$156)))</f>
        <v>21</v>
      </c>
      <c r="K152" s="23" t="str">
        <f aca="false">IF(I152="","OK",IF(F152&gt;J152,"OK","VIOLATION"))</f>
        <v>OK</v>
      </c>
      <c r="L152" s="23" t="str">
        <f aca="false">IF(H152&lt;=26,"OK","LATE")</f>
        <v>OK</v>
      </c>
      <c r="M152" s="26" t="n">
        <f aca="false">Overview!$B$4+7*(F152-1)</f>
        <v>46468</v>
      </c>
      <c r="N152" s="26" t="n">
        <f aca="false">Overview!$B$4+7*(H152-1)+4</f>
        <v>46493</v>
      </c>
      <c r="O152" s="23" t="s">
        <v>1096</v>
      </c>
      <c r="P152" s="24" t="s">
        <v>140</v>
      </c>
      <c r="Q152" s="24" t="s">
        <v>1097</v>
      </c>
      <c r="R152" s="24" t="s">
        <v>1098</v>
      </c>
      <c r="S152" s="24" t="s">
        <v>1099</v>
      </c>
      <c r="T152" s="23" t="s">
        <v>126</v>
      </c>
      <c r="U152" s="24"/>
      <c r="V152" s="23" t="str">
        <f aca="false">";"&amp;SUBSTITUTE(P152," ","")&amp;";"</f>
        <v>;GRC;</v>
      </c>
    </row>
    <row r="153" customFormat="false" ht="19.4" hidden="false" customHeight="false" outlineLevel="0" collapsed="false">
      <c r="A153" s="23" t="s">
        <v>1100</v>
      </c>
      <c r="B153" s="23" t="s">
        <v>1078</v>
      </c>
      <c r="C153" s="23" t="s">
        <v>137</v>
      </c>
      <c r="D153" s="24" t="s">
        <v>1101</v>
      </c>
      <c r="E153" s="24" t="s">
        <v>1102</v>
      </c>
      <c r="F153" s="25" t="n">
        <v>22</v>
      </c>
      <c r="G153" s="25" t="n">
        <v>3</v>
      </c>
      <c r="H153" s="23" t="n">
        <f aca="false">F153+G153-1</f>
        <v>24</v>
      </c>
      <c r="I153" s="24" t="s">
        <v>1103</v>
      </c>
      <c r="J153" s="23" t="n">
        <f aca="false">IF(I153="","",SUMPRODUCT(MAX(ISNUMBER(SEARCH(","&amp;$A$7:$A$156&amp;",",","&amp;SUBSTITUTE(I153," ","")&amp;","))*$H$7:$H$156)))</f>
        <v>21</v>
      </c>
      <c r="K153" s="23" t="str">
        <f aca="false">IF(I153="","OK",IF(F153&gt;J153,"OK","VIOLATION"))</f>
        <v>OK</v>
      </c>
      <c r="L153" s="23" t="str">
        <f aca="false">IF(H153&lt;=26,"OK","LATE")</f>
        <v>OK</v>
      </c>
      <c r="M153" s="26" t="n">
        <f aca="false">Overview!$B$4+7*(F153-1)</f>
        <v>46468</v>
      </c>
      <c r="N153" s="26" t="n">
        <f aca="false">Overview!$B$4+7*(H153-1)+4</f>
        <v>46486</v>
      </c>
      <c r="O153" s="23" t="s">
        <v>1104</v>
      </c>
      <c r="P153" s="24" t="s">
        <v>140</v>
      </c>
      <c r="Q153" s="24" t="s">
        <v>1105</v>
      </c>
      <c r="R153" s="24" t="s">
        <v>1106</v>
      </c>
      <c r="S153" s="24" t="s">
        <v>1107</v>
      </c>
      <c r="T153" s="23" t="s">
        <v>126</v>
      </c>
      <c r="U153" s="24"/>
      <c r="V153" s="23" t="str">
        <f aca="false">";"&amp;SUBSTITUTE(P153," ","")&amp;";"</f>
        <v>;GRC;</v>
      </c>
    </row>
    <row r="154" customFormat="false" ht="19.4" hidden="false" customHeight="false" outlineLevel="0" collapsed="false">
      <c r="A154" s="23" t="s">
        <v>1108</v>
      </c>
      <c r="B154" s="23" t="s">
        <v>1078</v>
      </c>
      <c r="C154" s="23" t="s">
        <v>147</v>
      </c>
      <c r="D154" s="24" t="s">
        <v>1109</v>
      </c>
      <c r="E154" s="24" t="s">
        <v>1110</v>
      </c>
      <c r="F154" s="25" t="n">
        <v>23</v>
      </c>
      <c r="G154" s="25" t="n">
        <v>2</v>
      </c>
      <c r="H154" s="23" t="n">
        <f aca="false">F154+G154-1</f>
        <v>24</v>
      </c>
      <c r="I154" s="24" t="s">
        <v>1071</v>
      </c>
      <c r="J154" s="23" t="n">
        <f aca="false">IF(I154="","",SUMPRODUCT(MAX(ISNUMBER(SEARCH(","&amp;$A$7:$A$156&amp;",",","&amp;SUBSTITUTE(I154," ","")&amp;","))*$H$7:$H$156)))</f>
        <v>22</v>
      </c>
      <c r="K154" s="23" t="str">
        <f aca="false">IF(I154="","OK",IF(F154&gt;J154,"OK","VIOLATION"))</f>
        <v>OK</v>
      </c>
      <c r="L154" s="23" t="str">
        <f aca="false">IF(H154&lt;=26,"OK","LATE")</f>
        <v>OK</v>
      </c>
      <c r="M154" s="26" t="n">
        <f aca="false">Overview!$B$4+7*(F154-1)</f>
        <v>46475</v>
      </c>
      <c r="N154" s="26" t="n">
        <f aca="false">Overview!$B$4+7*(H154-1)+4</f>
        <v>46486</v>
      </c>
      <c r="O154" s="23" t="s">
        <v>150</v>
      </c>
      <c r="P154" s="24" t="s">
        <v>1111</v>
      </c>
      <c r="Q154" s="24" t="s">
        <v>1112</v>
      </c>
      <c r="R154" s="24" t="s">
        <v>1113</v>
      </c>
      <c r="S154" s="24" t="s">
        <v>1114</v>
      </c>
      <c r="T154" s="23" t="s">
        <v>126</v>
      </c>
      <c r="U154" s="24"/>
      <c r="V154" s="23" t="str">
        <f aca="false">";"&amp;SUBSTITUTE(P154," ","")&amp;";"</f>
        <v>;PL;LEG;</v>
      </c>
    </row>
    <row r="155" customFormat="false" ht="19.4" hidden="false" customHeight="false" outlineLevel="0" collapsed="false">
      <c r="A155" s="23" t="s">
        <v>1115</v>
      </c>
      <c r="B155" s="23" t="s">
        <v>1078</v>
      </c>
      <c r="C155" s="23" t="s">
        <v>118</v>
      </c>
      <c r="D155" s="24" t="s">
        <v>1116</v>
      </c>
      <c r="E155" s="24" t="s">
        <v>1117</v>
      </c>
      <c r="F155" s="25" t="n">
        <v>25</v>
      </c>
      <c r="G155" s="25" t="n">
        <v>1</v>
      </c>
      <c r="H155" s="23" t="n">
        <f aca="false">F155+G155-1</f>
        <v>25</v>
      </c>
      <c r="I155" s="24" t="s">
        <v>1118</v>
      </c>
      <c r="J155" s="23" t="n">
        <f aca="false">IF(I155="","",SUMPRODUCT(MAX(ISNUMBER(SEARCH(","&amp;$A$7:$A$156&amp;",",","&amp;SUBSTITUTE(I155," ","")&amp;","))*$H$7:$H$156)))</f>
        <v>24</v>
      </c>
      <c r="K155" s="23" t="str">
        <f aca="false">IF(I155="","OK",IF(F155&gt;J155,"OK","VIOLATION"))</f>
        <v>OK</v>
      </c>
      <c r="L155" s="23" t="str">
        <f aca="false">IF(H155&lt;=26,"OK","LATE")</f>
        <v>OK</v>
      </c>
      <c r="M155" s="26" t="n">
        <f aca="false">Overview!$B$4+7*(F155-1)</f>
        <v>46489</v>
      </c>
      <c r="N155" s="26" t="n">
        <f aca="false">Overview!$B$4+7*(H155-1)+4</f>
        <v>46493</v>
      </c>
      <c r="O155" s="23" t="s">
        <v>121</v>
      </c>
      <c r="P155" s="24" t="s">
        <v>122</v>
      </c>
      <c r="Q155" s="24" t="s">
        <v>1119</v>
      </c>
      <c r="R155" s="24" t="s">
        <v>1120</v>
      </c>
      <c r="S155" s="24" t="s">
        <v>1121</v>
      </c>
      <c r="T155" s="23" t="s">
        <v>126</v>
      </c>
      <c r="U155" s="24"/>
      <c r="V155" s="23" t="str">
        <f aca="false">";"&amp;SUBSTITUTE(P155," ","")&amp;";"</f>
        <v>;CSE;ISE;BSE;GRC;</v>
      </c>
    </row>
    <row r="156" customFormat="false" ht="73.1" hidden="false" customHeight="false" outlineLevel="0" collapsed="false">
      <c r="A156" s="23" t="s">
        <v>88</v>
      </c>
      <c r="B156" s="23" t="s">
        <v>1078</v>
      </c>
      <c r="C156" s="23" t="s">
        <v>118</v>
      </c>
      <c r="D156" s="24" t="s">
        <v>1122</v>
      </c>
      <c r="E156" s="24" t="s">
        <v>977</v>
      </c>
      <c r="F156" s="25" t="n">
        <v>26</v>
      </c>
      <c r="G156" s="25" t="n">
        <v>1</v>
      </c>
      <c r="H156" s="23" t="n">
        <f aca="false">F156+G156-1</f>
        <v>26</v>
      </c>
      <c r="I156" s="24" t="s">
        <v>1123</v>
      </c>
      <c r="J156" s="23" t="n">
        <f aca="false">IF(I156="","",SUMPRODUCT(MAX(ISNUMBER(SEARCH(","&amp;$A$7:$A$156&amp;",",","&amp;SUBSTITUTE(I156," ","")&amp;","))*$H$7:$H$156)))</f>
        <v>25</v>
      </c>
      <c r="K156" s="23" t="str">
        <f aca="false">IF(I156="","OK",IF(F156&gt;J156,"OK","VIOLATION"))</f>
        <v>OK</v>
      </c>
      <c r="L156" s="23" t="str">
        <f aca="false">IF(H156&lt;=26,"OK","LATE")</f>
        <v>OK</v>
      </c>
      <c r="M156" s="26" t="n">
        <f aca="false">Overview!$B$4+7*(F156-1)</f>
        <v>46496</v>
      </c>
      <c r="N156" s="26" t="n">
        <f aca="false">Overview!$B$4+7*(H156-1)+4</f>
        <v>46500</v>
      </c>
      <c r="O156" s="23" t="s">
        <v>121</v>
      </c>
      <c r="P156" s="24" t="s">
        <v>224</v>
      </c>
      <c r="Q156" s="24" t="s">
        <v>310</v>
      </c>
      <c r="R156" s="24" t="s">
        <v>1124</v>
      </c>
      <c r="S156" s="24" t="s">
        <v>312</v>
      </c>
      <c r="T156" s="23" t="s">
        <v>126</v>
      </c>
      <c r="U156" s="24"/>
      <c r="V156" s="23" t="str">
        <f aca="false">";"&amp;SUBSTITUTE(P156," ","")&amp;";"</f>
        <v>;PMC;</v>
      </c>
    </row>
  </sheetData>
  <autoFilter ref="A6:V156"/>
  <conditionalFormatting sqref="W7:AW156">
    <cfRule type="expression" priority="2" aboveAverage="0" equalAverage="0" bottom="0" percent="0" rank="0" text="" dxfId="5">
      <formula>AND(W$6&gt;=$F7,W$6&lt;=$H7,$C7="HD")</formula>
    </cfRule>
    <cfRule type="expression" priority="3" aboveAverage="0" equalAverage="0" bottom="0" percent="0" rank="0" text="" dxfId="6">
      <formula>AND(W$6&gt;=$F7,W$6&lt;=$H7,$C7="ID")</formula>
    </cfRule>
    <cfRule type="expression" priority="4" aboveAverage="0" equalAverage="0" bottom="0" percent="0" rank="0" text="" dxfId="7">
      <formula>AND(W$6&gt;=$F7,W$6&lt;=$H7,$C7="MR")</formula>
    </cfRule>
    <cfRule type="expression" priority="5" aboveAverage="0" equalAverage="0" bottom="0" percent="0" rank="0" text="" dxfId="8">
      <formula>AND(W$6&gt;=$F7,W$6&lt;=$H7,$C7="BC")</formula>
    </cfRule>
    <cfRule type="expression" priority="6" aboveAverage="0" equalAverage="0" bottom="0" percent="0" rank="0" text="" dxfId="9">
      <formula>AND(W$6&gt;=$F7,W$6&lt;=$H7,$C7="GC")</formula>
    </cfRule>
    <cfRule type="expression" priority="7" aboveAverage="0" equalAverage="0" bottom="0" percent="0" rank="0" text="" dxfId="10">
      <formula>AND(W$6&gt;=$F7,W$6&lt;=$H7,$C7="PM")</formula>
    </cfRule>
  </conditionalFormatting>
  <conditionalFormatting sqref="K7:L156">
    <cfRule type="expression" priority="8" aboveAverage="0" equalAverage="0" bottom="0" percent="0" rank="0" text="" dxfId="11">
      <formula>OR(K7="VIOLATION",K7="LATE")</formula>
    </cfRule>
  </conditionalFormatting>
  <conditionalFormatting sqref="T7:T156">
    <cfRule type="expression" priority="9" aboveAverage="0" equalAverage="0" bottom="0" percent="0" rank="0" text="" dxfId="12">
      <formula>T7="Done"</formula>
    </cfRule>
    <cfRule type="expression" priority="10" aboveAverage="0" equalAverage="0" bottom="0" percent="0" rank="0" text="" dxfId="13">
      <formula>T7="Blocked"</formula>
    </cfRule>
  </conditionalFormatting>
  <dataValidations count="1">
    <dataValidation allowBlank="true" errorStyle="stop" operator="between" showDropDown="false" showErrorMessage="false" showInputMessage="false" sqref="T7:T156" type="list">
      <formula1>"Not started,In progress,Blocked,Done,Deferred"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11"/>
    <col collapsed="false" customWidth="true" hidden="false" outlineLevel="0" max="4" min="4" style="0" width="18"/>
    <col collapsed="false" customWidth="true" hidden="false" outlineLevel="0" max="5" min="5" style="0" width="8"/>
    <col collapsed="false" customWidth="true" hidden="false" outlineLevel="0" max="7" min="6" style="0" width="7"/>
    <col collapsed="false" customWidth="true" hidden="false" outlineLevel="0" max="8" min="8" style="0" width="40"/>
    <col collapsed="false" customWidth="true" hidden="false" outlineLevel="0" max="9" min="9" style="0" width="34"/>
    <col collapsed="false" customWidth="true" hidden="false" outlineLevel="0" max="11" min="10" style="0" width="7"/>
    <col collapsed="false" customWidth="true" hidden="false" outlineLevel="0" max="12" min="12" style="0" width="8"/>
    <col collapsed="false" customWidth="true" hidden="false" outlineLevel="0" max="14" min="13" style="0" width="7"/>
    <col collapsed="false" customWidth="true" hidden="false" outlineLevel="0" max="18" min="15" style="0" width="8"/>
  </cols>
  <sheetData>
    <row r="1" customFormat="false" ht="17.35" hidden="false" customHeight="false" outlineLevel="0" collapsed="false">
      <c r="A1" s="1" t="s">
        <v>1125</v>
      </c>
    </row>
    <row r="2" customFormat="false" ht="15" hidden="false" customHeight="false" outlineLevel="0" collapsed="false">
      <c r="A2" s="2" t="s">
        <v>1126</v>
      </c>
    </row>
    <row r="4" customFormat="false" ht="46.25" hidden="false" customHeight="false" outlineLevel="0" collapsed="false">
      <c r="A4" s="10" t="s">
        <v>1127</v>
      </c>
      <c r="B4" s="10" t="s">
        <v>1128</v>
      </c>
      <c r="C4" s="10" t="s">
        <v>1129</v>
      </c>
      <c r="D4" s="10" t="s">
        <v>1130</v>
      </c>
      <c r="E4" s="10" t="s">
        <v>1131</v>
      </c>
      <c r="F4" s="10" t="s">
        <v>1132</v>
      </c>
      <c r="G4" s="10" t="s">
        <v>1133</v>
      </c>
      <c r="H4" s="10" t="s">
        <v>1134</v>
      </c>
      <c r="I4" s="10" t="s">
        <v>1135</v>
      </c>
      <c r="J4" s="10" t="s">
        <v>1136</v>
      </c>
      <c r="K4" s="10" t="s">
        <v>1137</v>
      </c>
      <c r="L4" s="10" t="s">
        <v>1138</v>
      </c>
      <c r="M4" s="10" t="s">
        <v>1139</v>
      </c>
      <c r="N4" s="10" t="s">
        <v>1140</v>
      </c>
      <c r="O4" s="10" t="s">
        <v>1141</v>
      </c>
      <c r="P4" s="10" t="s">
        <v>1142</v>
      </c>
      <c r="Q4" s="10" t="s">
        <v>1143</v>
      </c>
      <c r="R4" s="10" t="s">
        <v>1144</v>
      </c>
    </row>
    <row r="5" customFormat="false" ht="22.35" hidden="false" customHeight="false" outlineLevel="0" collapsed="false">
      <c r="A5" s="11" t="s">
        <v>121</v>
      </c>
      <c r="B5" s="11" t="s">
        <v>1145</v>
      </c>
      <c r="C5" s="11" t="s">
        <v>1146</v>
      </c>
      <c r="D5" s="11" t="s">
        <v>1147</v>
      </c>
      <c r="E5" s="28" t="n">
        <v>1</v>
      </c>
      <c r="F5" s="11" t="n">
        <v>0</v>
      </c>
      <c r="G5" s="11" t="n">
        <v>26</v>
      </c>
      <c r="H5" s="11" t="s">
        <v>1148</v>
      </c>
      <c r="I5" s="11" t="s">
        <v>1149</v>
      </c>
      <c r="J5" s="11" t="n">
        <v>3</v>
      </c>
      <c r="K5" s="29" t="n">
        <f aca="false">COUNTIF('Project Plan'!$O$7:$O$156,A5)</f>
        <v>18</v>
      </c>
      <c r="L5" s="29" t="n">
        <f aca="false">COUNTIF('Project Plan'!$V$7:$V$156,"*;"&amp;A5&amp;";*")</f>
        <v>13</v>
      </c>
      <c r="M5" s="29" t="n">
        <f aca="false">IF(K5=0,"-",_xlfn.MINIFS('Project Plan'!$F$7:$F$156,'Project Plan'!$O$7:$O$156,A5))</f>
        <v>0</v>
      </c>
      <c r="N5" s="29" t="n">
        <f aca="false">IF(K5=0,"-",_xlfn.MAXIFS('Project Plan'!$H$7:$H$156,'Project Plan'!$O$7:$O$156,A5))</f>
        <v>26</v>
      </c>
      <c r="O5" s="29" t="n">
        <f aca="false">MAX(C36:AC36)</f>
        <v>3</v>
      </c>
      <c r="P5" s="29" t="str">
        <f aca="false">IF(OR(O5&gt;J5,AND(E5&gt;0,Q5&gt;4*E5+0.0001)),"OVER","OK")</f>
        <v>OK</v>
      </c>
      <c r="Q5" s="29" t="n">
        <f aca="false">MAX(C61:AC61)</f>
        <v>3.75</v>
      </c>
      <c r="R5" s="29" t="n">
        <f aca="false">E5*(G5-F5+1)</f>
        <v>27</v>
      </c>
    </row>
    <row r="6" customFormat="false" ht="22.35" hidden="false" customHeight="false" outlineLevel="0" collapsed="false">
      <c r="A6" s="11" t="s">
        <v>174</v>
      </c>
      <c r="B6" s="11" t="s">
        <v>1150</v>
      </c>
      <c r="C6" s="11" t="s">
        <v>1146</v>
      </c>
      <c r="D6" s="11" t="s">
        <v>1147</v>
      </c>
      <c r="E6" s="28" t="n">
        <v>1</v>
      </c>
      <c r="F6" s="11" t="n">
        <v>0</v>
      </c>
      <c r="G6" s="11" t="n">
        <v>26</v>
      </c>
      <c r="H6" s="11" t="s">
        <v>1151</v>
      </c>
      <c r="I6" s="11" t="s">
        <v>1152</v>
      </c>
      <c r="J6" s="11" t="n">
        <v>3</v>
      </c>
      <c r="K6" s="29" t="n">
        <f aca="false">COUNTIF('Project Plan'!$O$7:$O$156,A6)</f>
        <v>16</v>
      </c>
      <c r="L6" s="29" t="n">
        <f aca="false">COUNTIF('Project Plan'!$V$7:$V$156,"*;"&amp;A6&amp;";*")</f>
        <v>21</v>
      </c>
      <c r="M6" s="29" t="n">
        <f aca="false">IF(K6=0,"-",_xlfn.MINIFS('Project Plan'!$F$7:$F$156,'Project Plan'!$O$7:$O$156,A6))</f>
        <v>0</v>
      </c>
      <c r="N6" s="29" t="n">
        <f aca="false">IF(K6=0,"-",_xlfn.MAXIFS('Project Plan'!$H$7:$H$156,'Project Plan'!$O$7:$O$156,A6))</f>
        <v>22</v>
      </c>
      <c r="O6" s="29" t="n">
        <f aca="false">MAX(C37:AC37)</f>
        <v>3</v>
      </c>
      <c r="P6" s="29" t="str">
        <f aca="false">IF(OR(O6&gt;J6,AND(E6&gt;0,Q6&gt;4*E6+0.0001)),"OVER","OK")</f>
        <v>OK</v>
      </c>
      <c r="Q6" s="29" t="n">
        <f aca="false">MAX(C62:AC62)</f>
        <v>4</v>
      </c>
      <c r="R6" s="29" t="n">
        <f aca="false">E6*(G6-F6+1)</f>
        <v>27</v>
      </c>
    </row>
    <row r="7" customFormat="false" ht="22.35" hidden="false" customHeight="false" outlineLevel="0" collapsed="false">
      <c r="A7" s="11" t="s">
        <v>184</v>
      </c>
      <c r="B7" s="11" t="s">
        <v>1153</v>
      </c>
      <c r="C7" s="11" t="s">
        <v>1146</v>
      </c>
      <c r="D7" s="11" t="s">
        <v>1147</v>
      </c>
      <c r="E7" s="28" t="n">
        <v>1</v>
      </c>
      <c r="F7" s="11" t="n">
        <v>0</v>
      </c>
      <c r="G7" s="11" t="n">
        <v>26</v>
      </c>
      <c r="H7" s="11" t="s">
        <v>1154</v>
      </c>
      <c r="I7" s="11" t="s">
        <v>1155</v>
      </c>
      <c r="J7" s="11" t="n">
        <v>3</v>
      </c>
      <c r="K7" s="29" t="n">
        <f aca="false">COUNTIF('Project Plan'!$O$7:$O$156,A7)</f>
        <v>15</v>
      </c>
      <c r="L7" s="29" t="n">
        <f aca="false">COUNTIF('Project Plan'!$V$7:$V$156,"*;"&amp;A7&amp;";*")</f>
        <v>34</v>
      </c>
      <c r="M7" s="29" t="n">
        <f aca="false">IF(K7=0,"-",_xlfn.MINIFS('Project Plan'!$F$7:$F$156,'Project Plan'!$O$7:$O$156,A7))</f>
        <v>0</v>
      </c>
      <c r="N7" s="29" t="n">
        <f aca="false">IF(K7=0,"-",_xlfn.MAXIFS('Project Plan'!$H$7:$H$156,'Project Plan'!$O$7:$O$156,A7))</f>
        <v>20</v>
      </c>
      <c r="O7" s="29" t="n">
        <f aca="false">MAX(C38:AC38)</f>
        <v>3</v>
      </c>
      <c r="P7" s="29" t="str">
        <f aca="false">IF(OR(O7&gt;J7,AND(E7&gt;0,Q7&gt;4*E7+0.0001)),"OVER","OK")</f>
        <v>OK</v>
      </c>
      <c r="Q7" s="29" t="n">
        <f aca="false">MAX(C63:AC63)</f>
        <v>4</v>
      </c>
      <c r="R7" s="29" t="n">
        <f aca="false">E7*(G7-F7+1)</f>
        <v>27</v>
      </c>
    </row>
    <row r="8" customFormat="false" ht="22.35" hidden="false" customHeight="false" outlineLevel="0" collapsed="false">
      <c r="A8" s="11" t="s">
        <v>140</v>
      </c>
      <c r="B8" s="11" t="s">
        <v>1156</v>
      </c>
      <c r="C8" s="11" t="s">
        <v>1146</v>
      </c>
      <c r="D8" s="11" t="s">
        <v>1147</v>
      </c>
      <c r="E8" s="28" t="n">
        <v>1</v>
      </c>
      <c r="F8" s="11" t="n">
        <v>0</v>
      </c>
      <c r="G8" s="11" t="n">
        <v>26</v>
      </c>
      <c r="H8" s="11" t="s">
        <v>1157</v>
      </c>
      <c r="I8" s="11" t="s">
        <v>1158</v>
      </c>
      <c r="J8" s="11" t="n">
        <v>3</v>
      </c>
      <c r="K8" s="29" t="n">
        <f aca="false">COUNTIF('Project Plan'!$O$7:$O$156,A8)</f>
        <v>13</v>
      </c>
      <c r="L8" s="29" t="n">
        <f aca="false">COUNTIF('Project Plan'!$V$7:$V$156,"*;"&amp;A8&amp;";*")</f>
        <v>21</v>
      </c>
      <c r="M8" s="29" t="n">
        <f aca="false">IF(K8=0,"-",_xlfn.MINIFS('Project Plan'!$F$7:$F$156,'Project Plan'!$O$7:$O$156,A8))</f>
        <v>0</v>
      </c>
      <c r="N8" s="29" t="n">
        <f aca="false">IF(K8=0,"-",_xlfn.MAXIFS('Project Plan'!$H$7:$H$156,'Project Plan'!$O$7:$O$156,A8))</f>
        <v>21</v>
      </c>
      <c r="O8" s="29" t="n">
        <f aca="false">MAX(C39:AC39)</f>
        <v>3</v>
      </c>
      <c r="P8" s="29" t="str">
        <f aca="false">IF(OR(O8&gt;J8,AND(E8&gt;0,Q8&gt;4*E8+0.0001)),"OVER","OK")</f>
        <v>OK</v>
      </c>
      <c r="Q8" s="29" t="n">
        <f aca="false">MAX(C64:AC64)</f>
        <v>4</v>
      </c>
      <c r="R8" s="29" t="n">
        <f aca="false">E8*(G8-F8+1)</f>
        <v>27</v>
      </c>
    </row>
    <row r="9" customFormat="false" ht="32.8" hidden="false" customHeight="false" outlineLevel="0" collapsed="false">
      <c r="A9" s="11" t="s">
        <v>150</v>
      </c>
      <c r="B9" s="11" t="s">
        <v>1159</v>
      </c>
      <c r="C9" s="11" t="s">
        <v>1146</v>
      </c>
      <c r="D9" s="11" t="s">
        <v>1147</v>
      </c>
      <c r="E9" s="28" t="n">
        <v>1</v>
      </c>
      <c r="F9" s="11" t="n">
        <v>0</v>
      </c>
      <c r="G9" s="11" t="n">
        <v>26</v>
      </c>
      <c r="H9" s="11" t="s">
        <v>1160</v>
      </c>
      <c r="I9" s="11" t="s">
        <v>1161</v>
      </c>
      <c r="J9" s="11" t="n">
        <v>3</v>
      </c>
      <c r="K9" s="29" t="n">
        <f aca="false">COUNTIF('Project Plan'!$O$7:$O$156,A9)</f>
        <v>20</v>
      </c>
      <c r="L9" s="29" t="n">
        <f aca="false">COUNTIF('Project Plan'!$V$7:$V$156,"*;"&amp;A9&amp;";*")</f>
        <v>25</v>
      </c>
      <c r="M9" s="29" t="n">
        <f aca="false">IF(K9=0,"-",_xlfn.MINIFS('Project Plan'!$F$7:$F$156,'Project Plan'!$O$7:$O$156,A9))</f>
        <v>0</v>
      </c>
      <c r="N9" s="29" t="n">
        <f aca="false">IF(K9=0,"-",_xlfn.MAXIFS('Project Plan'!$H$7:$H$156,'Project Plan'!$O$7:$O$156,A9))</f>
        <v>24</v>
      </c>
      <c r="O9" s="29" t="n">
        <f aca="false">MAX(C40:AC40)</f>
        <v>3</v>
      </c>
      <c r="P9" s="29" t="str">
        <f aca="false">IF(OR(O9&gt;J9,AND(E9&gt;0,Q9&gt;4*E9+0.0001)),"OVER","OK")</f>
        <v>OK</v>
      </c>
      <c r="Q9" s="29" t="n">
        <f aca="false">MAX(C65:AC65)</f>
        <v>4</v>
      </c>
      <c r="R9" s="29" t="n">
        <f aca="false">E9*(G9-F9+1)</f>
        <v>27</v>
      </c>
    </row>
    <row r="10" customFormat="false" ht="32.8" hidden="false" customHeight="false" outlineLevel="0" collapsed="false">
      <c r="A10" s="11" t="s">
        <v>318</v>
      </c>
      <c r="B10" s="11" t="s">
        <v>1162</v>
      </c>
      <c r="C10" s="11" t="s">
        <v>1163</v>
      </c>
      <c r="D10" s="11" t="s">
        <v>1164</v>
      </c>
      <c r="E10" s="28" t="n">
        <v>1</v>
      </c>
      <c r="F10" s="11" t="n">
        <v>2</v>
      </c>
      <c r="G10" s="11" t="n">
        <v>22</v>
      </c>
      <c r="H10" s="11" t="s">
        <v>1165</v>
      </c>
      <c r="I10" s="11" t="s">
        <v>1166</v>
      </c>
      <c r="J10" s="11" t="n">
        <v>3</v>
      </c>
      <c r="K10" s="29" t="n">
        <f aca="false">COUNTIF('Project Plan'!$O$7:$O$156,A10)</f>
        <v>13</v>
      </c>
      <c r="L10" s="29" t="n">
        <f aca="false">COUNTIF('Project Plan'!$V$7:$V$156,"*;"&amp;A10&amp;";*")</f>
        <v>9</v>
      </c>
      <c r="M10" s="29" t="n">
        <f aca="false">IF(K10=0,"-",_xlfn.MINIFS('Project Plan'!$F$7:$F$156,'Project Plan'!$O$7:$O$156,A10))</f>
        <v>2</v>
      </c>
      <c r="N10" s="29" t="n">
        <f aca="false">IF(K10=0,"-",_xlfn.MAXIFS('Project Plan'!$H$7:$H$156,'Project Plan'!$O$7:$O$156,A10))</f>
        <v>19</v>
      </c>
      <c r="O10" s="29" t="n">
        <f aca="false">MAX(C41:AC41)</f>
        <v>3</v>
      </c>
      <c r="P10" s="29" t="str">
        <f aca="false">IF(OR(O10&gt;J10,AND(E10&gt;0,Q10&gt;4*E10+0.0001)),"OVER","OK")</f>
        <v>OK</v>
      </c>
      <c r="Q10" s="29" t="n">
        <f aca="false">MAX(C66:AC66)</f>
        <v>3.75</v>
      </c>
      <c r="R10" s="29" t="n">
        <f aca="false">E10*(G10-F10+1)</f>
        <v>21</v>
      </c>
    </row>
    <row r="11" customFormat="false" ht="32.8" hidden="false" customHeight="false" outlineLevel="0" collapsed="false">
      <c r="A11" s="11" t="s">
        <v>343</v>
      </c>
      <c r="B11" s="11" t="s">
        <v>1167</v>
      </c>
      <c r="C11" s="11" t="s">
        <v>1163</v>
      </c>
      <c r="D11" s="11" t="s">
        <v>1164</v>
      </c>
      <c r="E11" s="28" t="n">
        <v>1</v>
      </c>
      <c r="F11" s="11" t="n">
        <v>3</v>
      </c>
      <c r="G11" s="11" t="n">
        <v>20</v>
      </c>
      <c r="H11" s="11" t="s">
        <v>1168</v>
      </c>
      <c r="I11" s="11" t="s">
        <v>1169</v>
      </c>
      <c r="J11" s="11" t="n">
        <v>3</v>
      </c>
      <c r="K11" s="29" t="n">
        <f aca="false">COUNTIF('Project Plan'!$O$7:$O$156,A11)</f>
        <v>9</v>
      </c>
      <c r="L11" s="29" t="n">
        <f aca="false">COUNTIF('Project Plan'!$V$7:$V$156,"*;"&amp;A11&amp;";*")</f>
        <v>0</v>
      </c>
      <c r="M11" s="29" t="n">
        <f aca="false">IF(K11=0,"-",_xlfn.MINIFS('Project Plan'!$F$7:$F$156,'Project Plan'!$O$7:$O$156,A11))</f>
        <v>3</v>
      </c>
      <c r="N11" s="29" t="n">
        <f aca="false">IF(K11=0,"-",_xlfn.MAXIFS('Project Plan'!$H$7:$H$156,'Project Plan'!$O$7:$O$156,A11))</f>
        <v>17</v>
      </c>
      <c r="O11" s="29" t="n">
        <f aca="false">MAX(C42:AC42)</f>
        <v>3</v>
      </c>
      <c r="P11" s="29" t="str">
        <f aca="false">IF(OR(O11&gt;J11,AND(E11&gt;0,Q11&gt;4*E11+0.0001)),"OVER","OK")</f>
        <v>OK</v>
      </c>
      <c r="Q11" s="29" t="n">
        <f aca="false">MAX(C67:AC67)</f>
        <v>3</v>
      </c>
      <c r="R11" s="29" t="n">
        <f aca="false">E11*(G11-F11+1)</f>
        <v>18</v>
      </c>
    </row>
    <row r="12" customFormat="false" ht="22.35" hidden="false" customHeight="false" outlineLevel="0" collapsed="false">
      <c r="A12" s="11" t="s">
        <v>429</v>
      </c>
      <c r="B12" s="11" t="s">
        <v>1170</v>
      </c>
      <c r="C12" s="11" t="s">
        <v>1163</v>
      </c>
      <c r="D12" s="11" t="s">
        <v>1164</v>
      </c>
      <c r="E12" s="28" t="n">
        <v>1</v>
      </c>
      <c r="F12" s="11" t="n">
        <v>3</v>
      </c>
      <c r="G12" s="11" t="n">
        <v>24</v>
      </c>
      <c r="H12" s="11" t="s">
        <v>1171</v>
      </c>
      <c r="I12" s="11" t="s">
        <v>1172</v>
      </c>
      <c r="J12" s="11" t="n">
        <v>3</v>
      </c>
      <c r="K12" s="29" t="n">
        <f aca="false">COUNTIF('Project Plan'!$O$7:$O$156,A12)</f>
        <v>9</v>
      </c>
      <c r="L12" s="29" t="n">
        <f aca="false">COUNTIF('Project Plan'!$V$7:$V$156,"*;"&amp;A12&amp;";*")</f>
        <v>4</v>
      </c>
      <c r="M12" s="29" t="n">
        <f aca="false">IF(K12=0,"-",_xlfn.MINIFS('Project Plan'!$F$7:$F$156,'Project Plan'!$O$7:$O$156,A12))</f>
        <v>6</v>
      </c>
      <c r="N12" s="29" t="n">
        <f aca="false">IF(K12=0,"-",_xlfn.MAXIFS('Project Plan'!$H$7:$H$156,'Project Plan'!$O$7:$O$156,A12))</f>
        <v>18</v>
      </c>
      <c r="O12" s="29" t="n">
        <f aca="false">MAX(C43:AC43)</f>
        <v>3</v>
      </c>
      <c r="P12" s="29" t="str">
        <f aca="false">IF(OR(O12&gt;J12,AND(E12&gt;0,Q12&gt;4*E12+0.0001)),"OVER","OK")</f>
        <v>OK</v>
      </c>
      <c r="Q12" s="29" t="n">
        <f aca="false">MAX(C68:AC68)</f>
        <v>3</v>
      </c>
      <c r="R12" s="29" t="n">
        <f aca="false">E12*(G12-F12+1)</f>
        <v>22</v>
      </c>
    </row>
    <row r="13" customFormat="false" ht="22.35" hidden="false" customHeight="false" outlineLevel="0" collapsed="false">
      <c r="A13" s="11" t="s">
        <v>388</v>
      </c>
      <c r="B13" s="11" t="s">
        <v>1173</v>
      </c>
      <c r="C13" s="11" t="s">
        <v>1163</v>
      </c>
      <c r="D13" s="11" t="s">
        <v>1164</v>
      </c>
      <c r="E13" s="28" t="n">
        <v>0.5</v>
      </c>
      <c r="F13" s="11" t="n">
        <v>3</v>
      </c>
      <c r="G13" s="11" t="n">
        <v>18</v>
      </c>
      <c r="H13" s="11" t="s">
        <v>1174</v>
      </c>
      <c r="I13" s="11" t="s">
        <v>1175</v>
      </c>
      <c r="J13" s="11" t="n">
        <v>2</v>
      </c>
      <c r="K13" s="29" t="n">
        <f aca="false">COUNTIF('Project Plan'!$O$7:$O$156,A13)</f>
        <v>9</v>
      </c>
      <c r="L13" s="29" t="n">
        <f aca="false">COUNTIF('Project Plan'!$V$7:$V$156,"*;"&amp;A13&amp;";*")</f>
        <v>0</v>
      </c>
      <c r="M13" s="29" t="n">
        <f aca="false">IF(K13=0,"-",_xlfn.MINIFS('Project Plan'!$F$7:$F$156,'Project Plan'!$O$7:$O$156,A13))</f>
        <v>3</v>
      </c>
      <c r="N13" s="29" t="n">
        <f aca="false">IF(K13=0,"-",_xlfn.MAXIFS('Project Plan'!$H$7:$H$156,'Project Plan'!$O$7:$O$156,A13))</f>
        <v>18</v>
      </c>
      <c r="O13" s="29" t="n">
        <f aca="false">MAX(C44:AC44)</f>
        <v>2</v>
      </c>
      <c r="P13" s="29" t="str">
        <f aca="false">IF(OR(O13&gt;J13,AND(E13&gt;0,Q13&gt;4*E13+0.0001)),"OVER","OK")</f>
        <v>OK</v>
      </c>
      <c r="Q13" s="29" t="n">
        <f aca="false">MAX(C69:AC69)</f>
        <v>2</v>
      </c>
      <c r="R13" s="29" t="n">
        <f aca="false">E13*(G13-F13+1)</f>
        <v>8</v>
      </c>
    </row>
    <row r="14" customFormat="false" ht="22.35" hidden="false" customHeight="false" outlineLevel="0" collapsed="false">
      <c r="A14" s="11" t="s">
        <v>158</v>
      </c>
      <c r="B14" s="11" t="s">
        <v>1176</v>
      </c>
      <c r="C14" s="11" t="s">
        <v>1163</v>
      </c>
      <c r="D14" s="11" t="s">
        <v>1164</v>
      </c>
      <c r="E14" s="28" t="n">
        <v>1</v>
      </c>
      <c r="F14" s="11" t="n">
        <v>3</v>
      </c>
      <c r="G14" s="11" t="n">
        <v>22</v>
      </c>
      <c r="H14" s="11" t="s">
        <v>1177</v>
      </c>
      <c r="I14" s="11" t="s">
        <v>1178</v>
      </c>
      <c r="J14" s="11" t="n">
        <v>3</v>
      </c>
      <c r="K14" s="29" t="n">
        <f aca="false">COUNTIF('Project Plan'!$O$7:$O$156,A14)</f>
        <v>6</v>
      </c>
      <c r="L14" s="29" t="n">
        <f aca="false">COUNTIF('Project Plan'!$V$7:$V$156,"*;"&amp;A14&amp;";*")</f>
        <v>6</v>
      </c>
      <c r="M14" s="29" t="n">
        <f aca="false">IF(K14=0,"-",_xlfn.MINIFS('Project Plan'!$F$7:$F$156,'Project Plan'!$O$7:$O$156,A14))</f>
        <v>5</v>
      </c>
      <c r="N14" s="29" t="n">
        <f aca="false">IF(K14=0,"-",_xlfn.MAXIFS('Project Plan'!$H$7:$H$156,'Project Plan'!$O$7:$O$156,A14))</f>
        <v>19</v>
      </c>
      <c r="O14" s="29" t="n">
        <f aca="false">MAX(C45:AC45)</f>
        <v>3</v>
      </c>
      <c r="P14" s="29" t="str">
        <f aca="false">IF(OR(O14&gt;J14,AND(E14&gt;0,Q14&gt;4*E14+0.0001)),"OVER","OK")</f>
        <v>OK</v>
      </c>
      <c r="Q14" s="29" t="n">
        <f aca="false">MAX(C70:AC70)</f>
        <v>3.25</v>
      </c>
      <c r="R14" s="29" t="n">
        <f aca="false">E14*(G14-F14+1)</f>
        <v>20</v>
      </c>
    </row>
    <row r="15" customFormat="false" ht="22.35" hidden="false" customHeight="false" outlineLevel="0" collapsed="false">
      <c r="A15" s="11" t="s">
        <v>415</v>
      </c>
      <c r="B15" s="11" t="s">
        <v>1179</v>
      </c>
      <c r="C15" s="11" t="s">
        <v>1163</v>
      </c>
      <c r="D15" s="11" t="s">
        <v>1164</v>
      </c>
      <c r="E15" s="28" t="n">
        <v>0.5</v>
      </c>
      <c r="F15" s="11" t="n">
        <v>5</v>
      </c>
      <c r="G15" s="11" t="n">
        <v>22</v>
      </c>
      <c r="H15" s="11" t="s">
        <v>1180</v>
      </c>
      <c r="I15" s="11" t="s">
        <v>1181</v>
      </c>
      <c r="J15" s="11" t="n">
        <v>2</v>
      </c>
      <c r="K15" s="29" t="n">
        <f aca="false">COUNTIF('Project Plan'!$O$7:$O$156,A15)</f>
        <v>6</v>
      </c>
      <c r="L15" s="29" t="n">
        <f aca="false">COUNTIF('Project Plan'!$V$7:$V$156,"*;"&amp;A15&amp;";*")</f>
        <v>3</v>
      </c>
      <c r="M15" s="29" t="n">
        <f aca="false">IF(K15=0,"-",_xlfn.MINIFS('Project Plan'!$F$7:$F$156,'Project Plan'!$O$7:$O$156,A15))</f>
        <v>5</v>
      </c>
      <c r="N15" s="29" t="n">
        <f aca="false">IF(K15=0,"-",_xlfn.MAXIFS('Project Plan'!$H$7:$H$156,'Project Plan'!$O$7:$O$156,A15))</f>
        <v>18</v>
      </c>
      <c r="O15" s="29" t="n">
        <f aca="false">MAX(C46:AC46)</f>
        <v>2</v>
      </c>
      <c r="P15" s="29" t="str">
        <f aca="false">IF(OR(O15&gt;J15,AND(E15&gt;0,Q15&gt;4*E15+0.0001)),"OVER","OK")</f>
        <v>OK</v>
      </c>
      <c r="Q15" s="29" t="n">
        <f aca="false">MAX(C71:AC71)</f>
        <v>2</v>
      </c>
      <c r="R15" s="29" t="n">
        <f aca="false">E15*(G15-F15+1)</f>
        <v>9</v>
      </c>
    </row>
    <row r="16" customFormat="false" ht="22.35" hidden="false" customHeight="false" outlineLevel="0" collapsed="false">
      <c r="A16" s="11" t="s">
        <v>284</v>
      </c>
      <c r="B16" s="11" t="s">
        <v>1182</v>
      </c>
      <c r="C16" s="11" t="s">
        <v>1163</v>
      </c>
      <c r="D16" s="11" t="s">
        <v>1183</v>
      </c>
      <c r="E16" s="28" t="n">
        <v>1</v>
      </c>
      <c r="F16" s="11" t="n">
        <v>3</v>
      </c>
      <c r="G16" s="11" t="n">
        <v>24</v>
      </c>
      <c r="H16" s="11" t="s">
        <v>1184</v>
      </c>
      <c r="I16" s="11" t="s">
        <v>1185</v>
      </c>
      <c r="J16" s="11" t="n">
        <v>3</v>
      </c>
      <c r="K16" s="29" t="n">
        <f aca="false">COUNTIF('Project Plan'!$O$7:$O$156,A16)</f>
        <v>5</v>
      </c>
      <c r="L16" s="29" t="n">
        <f aca="false">COUNTIF('Project Plan'!$V$7:$V$156,"*;"&amp;A16&amp;";*")</f>
        <v>5</v>
      </c>
      <c r="M16" s="29" t="n">
        <f aca="false">IF(K16=0,"-",_xlfn.MINIFS('Project Plan'!$F$7:$F$156,'Project Plan'!$O$7:$O$156,A16))</f>
        <v>3</v>
      </c>
      <c r="N16" s="29" t="n">
        <f aca="false">IF(K16=0,"-",_xlfn.MAXIFS('Project Plan'!$H$7:$H$156,'Project Plan'!$O$7:$O$156,A16))</f>
        <v>11</v>
      </c>
      <c r="O16" s="29" t="n">
        <f aca="false">MAX(C47:AC47)</f>
        <v>3</v>
      </c>
      <c r="P16" s="29" t="str">
        <f aca="false">IF(OR(O16&gt;J16,AND(E16&gt;0,Q16&gt;4*E16+0.0001)),"OVER","OK")</f>
        <v>OK</v>
      </c>
      <c r="Q16" s="29" t="n">
        <f aca="false">MAX(C72:AC72)</f>
        <v>3.5</v>
      </c>
      <c r="R16" s="29" t="n">
        <f aca="false">E16*(G16-F16+1)</f>
        <v>22</v>
      </c>
    </row>
    <row r="17" customFormat="false" ht="22.35" hidden="false" customHeight="false" outlineLevel="0" collapsed="false">
      <c r="A17" s="11" t="s">
        <v>224</v>
      </c>
      <c r="B17" s="11" t="s">
        <v>1186</v>
      </c>
      <c r="C17" s="11" t="s">
        <v>1163</v>
      </c>
      <c r="D17" s="11" t="s">
        <v>1164</v>
      </c>
      <c r="E17" s="28" t="n">
        <v>0.5</v>
      </c>
      <c r="F17" s="11" t="n">
        <v>1</v>
      </c>
      <c r="G17" s="11" t="n">
        <v>26</v>
      </c>
      <c r="H17" s="11" t="s">
        <v>1187</v>
      </c>
      <c r="I17" s="11" t="s">
        <v>1188</v>
      </c>
      <c r="J17" s="11" t="n">
        <v>2</v>
      </c>
      <c r="K17" s="29" t="n">
        <f aca="false">COUNTIF('Project Plan'!$O$7:$O$156,A17)</f>
        <v>4</v>
      </c>
      <c r="L17" s="29" t="n">
        <f aca="false">COUNTIF('Project Plan'!$V$7:$V$156,"*;"&amp;A17&amp;";*")</f>
        <v>9</v>
      </c>
      <c r="M17" s="29" t="n">
        <f aca="false">IF(K17=0,"-",_xlfn.MINIFS('Project Plan'!$F$7:$F$156,'Project Plan'!$O$7:$O$156,A17))</f>
        <v>2</v>
      </c>
      <c r="N17" s="29" t="n">
        <f aca="false">IF(K17=0,"-",_xlfn.MAXIFS('Project Plan'!$H$7:$H$156,'Project Plan'!$O$7:$O$156,A17))</f>
        <v>22</v>
      </c>
      <c r="O17" s="29" t="n">
        <f aca="false">MAX(C48:AC48)</f>
        <v>1</v>
      </c>
      <c r="P17" s="29" t="str">
        <f aca="false">IF(OR(O17&gt;J17,AND(E17&gt;0,Q17&gt;4*E17+0.0001)),"OVER","OK")</f>
        <v>OK</v>
      </c>
      <c r="Q17" s="29" t="n">
        <f aca="false">MAX(C73:AC73)</f>
        <v>1.25</v>
      </c>
      <c r="R17" s="29" t="n">
        <f aca="false">E17*(G17-F17+1)</f>
        <v>13</v>
      </c>
    </row>
    <row r="18" customFormat="false" ht="22.35" hidden="false" customHeight="false" outlineLevel="0" collapsed="false">
      <c r="A18" s="11" t="s">
        <v>983</v>
      </c>
      <c r="B18" s="11" t="s">
        <v>1189</v>
      </c>
      <c r="C18" s="11" t="s">
        <v>1190</v>
      </c>
      <c r="D18" s="11" t="s">
        <v>1191</v>
      </c>
      <c r="E18" s="28" t="n">
        <v>0</v>
      </c>
      <c r="F18" s="11" t="n">
        <v>16</v>
      </c>
      <c r="G18" s="11" t="n">
        <v>22</v>
      </c>
      <c r="H18" s="11" t="s">
        <v>1192</v>
      </c>
      <c r="I18" s="11" t="s">
        <v>1193</v>
      </c>
      <c r="J18" s="11" t="n">
        <v>1</v>
      </c>
      <c r="K18" s="29" t="n">
        <f aca="false">COUNTIF('Project Plan'!$O$7:$O$156,A18)</f>
        <v>1</v>
      </c>
      <c r="L18" s="29" t="n">
        <f aca="false">COUNTIF('Project Plan'!$V$7:$V$156,"*;"&amp;A18&amp;";*")</f>
        <v>1</v>
      </c>
      <c r="M18" s="29" t="n">
        <f aca="false">IF(K18=0,"-",_xlfn.MINIFS('Project Plan'!$F$7:$F$156,'Project Plan'!$O$7:$O$156,A18))</f>
        <v>16</v>
      </c>
      <c r="N18" s="29" t="n">
        <f aca="false">IF(K18=0,"-",_xlfn.MAXIFS('Project Plan'!$H$7:$H$156,'Project Plan'!$O$7:$O$156,A18))</f>
        <v>19</v>
      </c>
      <c r="O18" s="29" t="n">
        <f aca="false">MAX(C49:AC49)</f>
        <v>1</v>
      </c>
      <c r="P18" s="29" t="str">
        <f aca="false">IF(OR(O18&gt;J18,AND(E18&gt;0,Q18&gt;4*E18+0.0001)),"OVER","OK")</f>
        <v>OK</v>
      </c>
      <c r="Q18" s="29" t="n">
        <f aca="false">MAX(C74:AC74)</f>
        <v>1</v>
      </c>
      <c r="R18" s="29" t="n">
        <f aca="false">E18*(G18-F18+1)</f>
        <v>0</v>
      </c>
    </row>
    <row r="19" customFormat="false" ht="22.35" hidden="false" customHeight="false" outlineLevel="0" collapsed="false">
      <c r="A19" s="11" t="s">
        <v>796</v>
      </c>
      <c r="B19" s="11" t="s">
        <v>1194</v>
      </c>
      <c r="C19" s="11" t="s">
        <v>1190</v>
      </c>
      <c r="D19" s="11" t="s">
        <v>1195</v>
      </c>
      <c r="E19" s="28" t="n">
        <v>0</v>
      </c>
      <c r="F19" s="11" t="n">
        <v>5</v>
      </c>
      <c r="G19" s="11" t="n">
        <v>26</v>
      </c>
      <c r="H19" s="11" t="s">
        <v>1196</v>
      </c>
      <c r="I19" s="11" t="s">
        <v>1197</v>
      </c>
      <c r="J19" s="11" t="n">
        <v>1</v>
      </c>
      <c r="K19" s="29" t="n">
        <f aca="false">COUNTIF('Project Plan'!$O$7:$O$156,A19)</f>
        <v>1</v>
      </c>
      <c r="L19" s="29" t="n">
        <f aca="false">COUNTIF('Project Plan'!$V$7:$V$156,"*;"&amp;A19&amp;";*")</f>
        <v>2</v>
      </c>
      <c r="M19" s="29" t="n">
        <f aca="false">IF(K19=0,"-",_xlfn.MINIFS('Project Plan'!$F$7:$F$156,'Project Plan'!$O$7:$O$156,A19))</f>
        <v>5</v>
      </c>
      <c r="N19" s="29" t="n">
        <f aca="false">IF(K19=0,"-",_xlfn.MAXIFS('Project Plan'!$H$7:$H$156,'Project Plan'!$O$7:$O$156,A19))</f>
        <v>13</v>
      </c>
      <c r="O19" s="29" t="n">
        <f aca="false">MAX(C50:AC50)</f>
        <v>1</v>
      </c>
      <c r="P19" s="29" t="str">
        <f aca="false">IF(OR(O19&gt;J19,AND(E19&gt;0,Q19&gt;4*E19+0.0001)),"OVER","OK")</f>
        <v>OK</v>
      </c>
      <c r="Q19" s="29" t="n">
        <f aca="false">MAX(C75:AC75)</f>
        <v>1</v>
      </c>
      <c r="R19" s="29" t="n">
        <f aca="false">E19*(G19-F19+1)</f>
        <v>0</v>
      </c>
    </row>
    <row r="20" customFormat="false" ht="15" hidden="false" customHeight="false" outlineLevel="0" collapsed="false">
      <c r="A20" s="11" t="s">
        <v>1044</v>
      </c>
      <c r="B20" s="11" t="s">
        <v>1198</v>
      </c>
      <c r="C20" s="11" t="s">
        <v>1190</v>
      </c>
      <c r="D20" s="11" t="s">
        <v>1191</v>
      </c>
      <c r="E20" s="28" t="n">
        <v>0</v>
      </c>
      <c r="F20" s="11" t="n">
        <v>18</v>
      </c>
      <c r="G20" s="11" t="n">
        <v>22</v>
      </c>
      <c r="H20" s="11" t="s">
        <v>1199</v>
      </c>
      <c r="I20" s="11" t="s">
        <v>1200</v>
      </c>
      <c r="J20" s="11" t="n">
        <v>1</v>
      </c>
      <c r="K20" s="29" t="n">
        <f aca="false">COUNTIF('Project Plan'!$O$7:$O$156,A20)</f>
        <v>1</v>
      </c>
      <c r="L20" s="29" t="n">
        <f aca="false">COUNTIF('Project Plan'!$V$7:$V$156,"*;"&amp;A20&amp;";*")</f>
        <v>1</v>
      </c>
      <c r="M20" s="29" t="n">
        <f aca="false">IF(K20=0,"-",_xlfn.MINIFS('Project Plan'!$F$7:$F$156,'Project Plan'!$O$7:$O$156,A20))</f>
        <v>18</v>
      </c>
      <c r="N20" s="29" t="n">
        <f aca="false">IF(K20=0,"-",_xlfn.MAXIFS('Project Plan'!$H$7:$H$156,'Project Plan'!$O$7:$O$156,A20))</f>
        <v>19</v>
      </c>
      <c r="O20" s="29" t="n">
        <f aca="false">MAX(C51:AC51)</f>
        <v>1</v>
      </c>
      <c r="P20" s="29" t="str">
        <f aca="false">IF(OR(O20&gt;J20,AND(E20&gt;0,Q20&gt;4*E20+0.0001)),"OVER","OK")</f>
        <v>OK</v>
      </c>
      <c r="Q20" s="29" t="n">
        <f aca="false">MAX(C76:AC76)</f>
        <v>1</v>
      </c>
      <c r="R20" s="29" t="n">
        <f aca="false">E20*(G20-F20+1)</f>
        <v>0</v>
      </c>
    </row>
    <row r="21" customFormat="false" ht="22.35" hidden="false" customHeight="false" outlineLevel="0" collapsed="false">
      <c r="A21" s="11" t="s">
        <v>1037</v>
      </c>
      <c r="B21" s="11" t="s">
        <v>1201</v>
      </c>
      <c r="C21" s="11" t="s">
        <v>1190</v>
      </c>
      <c r="D21" s="11" t="s">
        <v>1202</v>
      </c>
      <c r="E21" s="28" t="n">
        <v>0</v>
      </c>
      <c r="F21" s="11" t="n">
        <v>17</v>
      </c>
      <c r="G21" s="11" t="n">
        <v>18</v>
      </c>
      <c r="H21" s="11" t="s">
        <v>1203</v>
      </c>
      <c r="I21" s="11" t="s">
        <v>1204</v>
      </c>
      <c r="J21" s="11" t="n">
        <v>1</v>
      </c>
      <c r="K21" s="29" t="n">
        <f aca="false">COUNTIF('Project Plan'!$O$7:$O$156,A21)</f>
        <v>1</v>
      </c>
      <c r="L21" s="29" t="n">
        <f aca="false">COUNTIF('Project Plan'!$V$7:$V$156,"*;"&amp;A21&amp;";*")</f>
        <v>0</v>
      </c>
      <c r="M21" s="29" t="n">
        <f aca="false">IF(K21=0,"-",_xlfn.MINIFS('Project Plan'!$F$7:$F$156,'Project Plan'!$O$7:$O$156,A21))</f>
        <v>17</v>
      </c>
      <c r="N21" s="29" t="n">
        <f aca="false">IF(K21=0,"-",_xlfn.MAXIFS('Project Plan'!$H$7:$H$156,'Project Plan'!$O$7:$O$156,A21))</f>
        <v>18</v>
      </c>
      <c r="O21" s="29" t="n">
        <f aca="false">MAX(C52:AC52)</f>
        <v>1</v>
      </c>
      <c r="P21" s="29" t="str">
        <f aca="false">IF(OR(O21&gt;J21,AND(E21&gt;0,Q21&gt;4*E21+0.0001)),"OVER","OK")</f>
        <v>OK</v>
      </c>
      <c r="Q21" s="29" t="n">
        <f aca="false">MAX(C77:AC77)</f>
        <v>1</v>
      </c>
      <c r="R21" s="29" t="n">
        <f aca="false">E21*(G21-F21+1)</f>
        <v>0</v>
      </c>
    </row>
    <row r="22" customFormat="false" ht="22.35" hidden="false" customHeight="false" outlineLevel="0" collapsed="false">
      <c r="A22" s="11" t="s">
        <v>1096</v>
      </c>
      <c r="B22" s="11" t="s">
        <v>1205</v>
      </c>
      <c r="C22" s="11" t="s">
        <v>1190</v>
      </c>
      <c r="D22" s="11" t="s">
        <v>1206</v>
      </c>
      <c r="E22" s="28" t="n">
        <v>0</v>
      </c>
      <c r="F22" s="11" t="n">
        <v>5</v>
      </c>
      <c r="G22" s="11" t="n">
        <v>26</v>
      </c>
      <c r="H22" s="11" t="s">
        <v>1207</v>
      </c>
      <c r="I22" s="11" t="s">
        <v>1208</v>
      </c>
      <c r="J22" s="11" t="n">
        <v>1</v>
      </c>
      <c r="K22" s="29" t="n">
        <f aca="false">COUNTIF('Project Plan'!$O$7:$O$156,A22)</f>
        <v>1</v>
      </c>
      <c r="L22" s="29" t="n">
        <f aca="false">COUNTIF('Project Plan'!$V$7:$V$156,"*;"&amp;A22&amp;";*")</f>
        <v>1</v>
      </c>
      <c r="M22" s="29" t="n">
        <f aca="false">IF(K22=0,"-",_xlfn.MINIFS('Project Plan'!$F$7:$F$156,'Project Plan'!$O$7:$O$156,A22))</f>
        <v>22</v>
      </c>
      <c r="N22" s="29" t="n">
        <f aca="false">IF(K22=0,"-",_xlfn.MAXIFS('Project Plan'!$H$7:$H$156,'Project Plan'!$O$7:$O$156,A22))</f>
        <v>25</v>
      </c>
      <c r="O22" s="29" t="n">
        <f aca="false">MAX(C53:AC53)</f>
        <v>1</v>
      </c>
      <c r="P22" s="29" t="str">
        <f aca="false">IF(OR(O22&gt;J22,AND(E22&gt;0,Q22&gt;4*E22+0.0001)),"OVER","OK")</f>
        <v>OK</v>
      </c>
      <c r="Q22" s="29" t="n">
        <f aca="false">MAX(C78:AC78)</f>
        <v>1</v>
      </c>
      <c r="R22" s="29" t="n">
        <f aca="false">E22*(G22-F22+1)</f>
        <v>0</v>
      </c>
    </row>
    <row r="23" customFormat="false" ht="22.35" hidden="false" customHeight="false" outlineLevel="0" collapsed="false">
      <c r="A23" s="11" t="s">
        <v>571</v>
      </c>
      <c r="B23" s="11" t="s">
        <v>1209</v>
      </c>
      <c r="C23" s="11" t="s">
        <v>1190</v>
      </c>
      <c r="D23" s="11" t="s">
        <v>1206</v>
      </c>
      <c r="E23" s="28" t="n">
        <v>0</v>
      </c>
      <c r="F23" s="11" t="n">
        <v>0</v>
      </c>
      <c r="G23" s="11" t="n">
        <v>4</v>
      </c>
      <c r="H23" s="11" t="s">
        <v>1210</v>
      </c>
      <c r="I23" s="11" t="s">
        <v>1211</v>
      </c>
      <c r="J23" s="11" t="n">
        <v>1</v>
      </c>
      <c r="K23" s="29" t="n">
        <f aca="false">COUNTIF('Project Plan'!$O$7:$O$156,A23)</f>
        <v>0</v>
      </c>
      <c r="L23" s="29" t="n">
        <f aca="false">COUNTIF('Project Plan'!$V$7:$V$156,"*;"&amp;A23&amp;";*")</f>
        <v>4</v>
      </c>
      <c r="M23" s="29" t="str">
        <f aca="false">IF(K23=0,"-",_xlfn.MINIFS('Project Plan'!$F$7:$F$156,'Project Plan'!$O$7:$O$156,A23))</f>
        <v>-</v>
      </c>
      <c r="N23" s="29" t="str">
        <f aca="false">IF(K23=0,"-",_xlfn.MAXIFS('Project Plan'!$H$7:$H$156,'Project Plan'!$O$7:$O$156,A23))</f>
        <v>-</v>
      </c>
      <c r="O23" s="29" t="n">
        <f aca="false">MAX(C54:AC54)</f>
        <v>0</v>
      </c>
      <c r="P23" s="29" t="str">
        <f aca="false">IF(OR(O23&gt;J23,AND(E23&gt;0,Q23&gt;4*E23+0.0001)),"OVER","OK")</f>
        <v>OK</v>
      </c>
      <c r="Q23" s="29" t="n">
        <f aca="false">MAX(C79:AC79)</f>
        <v>0.5</v>
      </c>
      <c r="R23" s="29" t="n">
        <f aca="false">E23*(G23-F23+1)</f>
        <v>0</v>
      </c>
    </row>
    <row r="24" customFormat="false" ht="22.35" hidden="false" customHeight="false" outlineLevel="0" collapsed="false">
      <c r="A24" s="11" t="s">
        <v>1104</v>
      </c>
      <c r="B24" s="11" t="s">
        <v>1212</v>
      </c>
      <c r="C24" s="11" t="s">
        <v>1190</v>
      </c>
      <c r="D24" s="11" t="s">
        <v>1206</v>
      </c>
      <c r="E24" s="28" t="n">
        <v>0</v>
      </c>
      <c r="F24" s="11" t="n">
        <v>22</v>
      </c>
      <c r="G24" s="11" t="n">
        <v>24</v>
      </c>
      <c r="H24" s="11" t="s">
        <v>1213</v>
      </c>
      <c r="I24" s="11" t="s">
        <v>1214</v>
      </c>
      <c r="J24" s="11" t="n">
        <v>1</v>
      </c>
      <c r="K24" s="29" t="n">
        <f aca="false">COUNTIF('Project Plan'!$O$7:$O$156,A24)</f>
        <v>1</v>
      </c>
      <c r="L24" s="29" t="n">
        <f aca="false">COUNTIF('Project Plan'!$V$7:$V$156,"*;"&amp;A24&amp;";*")</f>
        <v>0</v>
      </c>
      <c r="M24" s="29" t="n">
        <f aca="false">IF(K24=0,"-",_xlfn.MINIFS('Project Plan'!$F$7:$F$156,'Project Plan'!$O$7:$O$156,A24))</f>
        <v>22</v>
      </c>
      <c r="N24" s="29" t="n">
        <f aca="false">IF(K24=0,"-",_xlfn.MAXIFS('Project Plan'!$H$7:$H$156,'Project Plan'!$O$7:$O$156,A24))</f>
        <v>24</v>
      </c>
      <c r="O24" s="29" t="n">
        <f aca="false">MAX(C55:AC55)</f>
        <v>1</v>
      </c>
      <c r="P24" s="29" t="str">
        <f aca="false">IF(OR(O24&gt;J24,AND(E24&gt;0,Q24&gt;4*E24+0.0001)),"OVER","OK")</f>
        <v>OK</v>
      </c>
      <c r="Q24" s="29" t="n">
        <f aca="false">MAX(C80:AC80)</f>
        <v>1</v>
      </c>
      <c r="R24" s="29" t="n">
        <f aca="false">E24*(G24-F24+1)</f>
        <v>0</v>
      </c>
    </row>
    <row r="25" customFormat="false" ht="22.35" hidden="false" customHeight="false" outlineLevel="0" collapsed="false">
      <c r="A25" s="11" t="s">
        <v>944</v>
      </c>
      <c r="B25" s="11" t="s">
        <v>1215</v>
      </c>
      <c r="C25" s="11" t="s">
        <v>1216</v>
      </c>
      <c r="D25" s="11" t="s">
        <v>1217</v>
      </c>
      <c r="E25" s="28" t="n">
        <v>0</v>
      </c>
      <c r="F25" s="11" t="n">
        <v>0</v>
      </c>
      <c r="G25" s="11" t="n">
        <v>26</v>
      </c>
      <c r="H25" s="11" t="s">
        <v>1218</v>
      </c>
      <c r="I25" s="11" t="s">
        <v>1219</v>
      </c>
      <c r="J25" s="11" t="n">
        <v>1</v>
      </c>
      <c r="K25" s="29" t="n">
        <f aca="false">COUNTIF('Project Plan'!$O$7:$O$156,A25)</f>
        <v>1</v>
      </c>
      <c r="L25" s="29" t="n">
        <f aca="false">COUNTIF('Project Plan'!$V$7:$V$156,"*;"&amp;A25&amp;";*")</f>
        <v>1</v>
      </c>
      <c r="M25" s="29" t="n">
        <f aca="false">IF(K25=0,"-",_xlfn.MINIFS('Project Plan'!$F$7:$F$156,'Project Plan'!$O$7:$O$156,A25))</f>
        <v>11</v>
      </c>
      <c r="N25" s="29" t="n">
        <f aca="false">IF(K25=0,"-",_xlfn.MAXIFS('Project Plan'!$H$7:$H$156,'Project Plan'!$O$7:$O$156,A25))</f>
        <v>13</v>
      </c>
      <c r="O25" s="29" t="n">
        <f aca="false">MAX(C56:AC56)</f>
        <v>1</v>
      </c>
      <c r="P25" s="29" t="str">
        <f aca="false">IF(OR(O25&gt;J25,AND(E25&gt;0,Q25&gt;4*E25+0.0001)),"OVER","OK")</f>
        <v>OK</v>
      </c>
      <c r="Q25" s="29" t="n">
        <f aca="false">MAX(C81:AC81)</f>
        <v>1</v>
      </c>
      <c r="R25" s="29" t="n">
        <f aca="false">E25*(G25-F25+1)</f>
        <v>0</v>
      </c>
    </row>
    <row r="26" customFormat="false" ht="22.35" hidden="false" customHeight="false" outlineLevel="0" collapsed="false">
      <c r="A26" s="11" t="s">
        <v>175</v>
      </c>
      <c r="B26" s="11" t="s">
        <v>1220</v>
      </c>
      <c r="C26" s="11" t="s">
        <v>1216</v>
      </c>
      <c r="D26" s="11" t="s">
        <v>1217</v>
      </c>
      <c r="E26" s="28" t="n">
        <v>0</v>
      </c>
      <c r="F26" s="11" t="n">
        <v>0</v>
      </c>
      <c r="G26" s="11" t="n">
        <v>26</v>
      </c>
      <c r="H26" s="11" t="s">
        <v>1221</v>
      </c>
      <c r="I26" s="11" t="s">
        <v>1222</v>
      </c>
      <c r="J26" s="11" t="n">
        <v>0</v>
      </c>
      <c r="K26" s="29" t="n">
        <f aca="false">COUNTIF('Project Plan'!$O$7:$O$156,A26)</f>
        <v>0</v>
      </c>
      <c r="L26" s="29" t="n">
        <f aca="false">COUNTIF('Project Plan'!$V$7:$V$156,"*;"&amp;A26&amp;";*")</f>
        <v>34</v>
      </c>
      <c r="M26" s="29" t="str">
        <f aca="false">IF(K26=0,"-",_xlfn.MINIFS('Project Plan'!$F$7:$F$156,'Project Plan'!$O$7:$O$156,A26))</f>
        <v>-</v>
      </c>
      <c r="N26" s="29" t="str">
        <f aca="false">IF(K26=0,"-",_xlfn.MAXIFS('Project Plan'!$H$7:$H$156,'Project Plan'!$O$7:$O$156,A26))</f>
        <v>-</v>
      </c>
      <c r="O26" s="29" t="n">
        <f aca="false">MAX(C57:AC57)</f>
        <v>0</v>
      </c>
      <c r="P26" s="29" t="str">
        <f aca="false">IF(OR(O26&gt;J26,AND(E26&gt;0,Q26&gt;4*E26+0.0001)),"OVER","OK")</f>
        <v>OK</v>
      </c>
      <c r="Q26" s="29" t="n">
        <f aca="false">MAX(C82:AC82)</f>
        <v>2.75</v>
      </c>
      <c r="R26" s="29" t="n">
        <f aca="false">E26*(G26-F26+1)</f>
        <v>0</v>
      </c>
    </row>
    <row r="27" customFormat="false" ht="15" hidden="false" customHeight="false" outlineLevel="0" collapsed="false">
      <c r="A27" s="3" t="s">
        <v>1223</v>
      </c>
      <c r="E27" s="3" t="n">
        <f aca="false">SUMIFS(E5:E26,C5:C26,"Internal")</f>
        <v>5</v>
      </c>
      <c r="G27" s="30" t="s">
        <v>20</v>
      </c>
      <c r="H27" s="30" t="n">
        <f aca="false">SUMIFS(R5:R26,C5:C26,"Contractor")</f>
        <v>133</v>
      </c>
    </row>
    <row r="28" customFormat="false" ht="15" hidden="false" customHeight="false" outlineLevel="0" collapsed="false">
      <c r="A28" s="3" t="s">
        <v>1224</v>
      </c>
      <c r="E28" s="3" t="n">
        <f aca="false">MAX(C32:AC32)</f>
        <v>6.5</v>
      </c>
      <c r="G28" s="30" t="s">
        <v>1225</v>
      </c>
      <c r="H28" s="30" t="n">
        <f aca="false">SUMIFS(R5:R26,C5:C26,"Internal")</f>
        <v>135</v>
      </c>
    </row>
    <row r="29" customFormat="false" ht="15" hidden="false" customHeight="false" outlineLevel="0" collapsed="false">
      <c r="A29" s="3" t="s">
        <v>1226</v>
      </c>
      <c r="E29" s="3" t="n">
        <f aca="false">COUNTIF(C5:C26,"Partner")</f>
        <v>7</v>
      </c>
    </row>
    <row r="30" customFormat="false" ht="15" hidden="false" customHeight="false" outlineLevel="0" collapsed="false">
      <c r="A30" s="3" t="s">
        <v>1227</v>
      </c>
      <c r="E30" s="3" t="str">
        <f aca="false">IF(AND(E27&gt;=3,E27&lt;=5),"YES","NO")</f>
        <v>YES</v>
      </c>
    </row>
    <row r="31" customFormat="false" ht="15" hidden="false" customHeight="false" outlineLevel="0" collapsed="false">
      <c r="C31" s="31" t="n">
        <v>0</v>
      </c>
      <c r="D31" s="31" t="n">
        <v>1</v>
      </c>
      <c r="E31" s="31" t="n">
        <v>2</v>
      </c>
      <c r="F31" s="31" t="n">
        <v>3</v>
      </c>
      <c r="G31" s="31" t="n">
        <v>4</v>
      </c>
      <c r="H31" s="31" t="n">
        <v>5</v>
      </c>
      <c r="I31" s="31" t="n">
        <v>6</v>
      </c>
      <c r="J31" s="31" t="n">
        <v>7</v>
      </c>
      <c r="K31" s="31" t="n">
        <v>8</v>
      </c>
      <c r="L31" s="31" t="n">
        <v>9</v>
      </c>
      <c r="M31" s="31" t="n">
        <v>10</v>
      </c>
      <c r="N31" s="31" t="n">
        <v>11</v>
      </c>
      <c r="O31" s="31" t="n">
        <v>12</v>
      </c>
      <c r="P31" s="31" t="n">
        <v>13</v>
      </c>
      <c r="Q31" s="31" t="n">
        <v>14</v>
      </c>
      <c r="R31" s="31" t="n">
        <v>15</v>
      </c>
      <c r="S31" s="31" t="n">
        <v>16</v>
      </c>
      <c r="T31" s="31" t="n">
        <v>17</v>
      </c>
      <c r="U31" s="31" t="n">
        <v>18</v>
      </c>
      <c r="V31" s="31" t="n">
        <v>19</v>
      </c>
      <c r="W31" s="31" t="n">
        <v>20</v>
      </c>
      <c r="X31" s="31" t="n">
        <v>21</v>
      </c>
      <c r="Y31" s="31" t="n">
        <v>22</v>
      </c>
      <c r="Z31" s="31" t="n">
        <v>23</v>
      </c>
      <c r="AA31" s="31" t="n">
        <v>24</v>
      </c>
      <c r="AB31" s="31" t="n">
        <v>25</v>
      </c>
      <c r="AC31" s="31" t="n">
        <v>26</v>
      </c>
    </row>
    <row r="32" customFormat="false" ht="15" hidden="false" customHeight="false" outlineLevel="0" collapsed="false">
      <c r="A32" s="0" t="s">
        <v>1228</v>
      </c>
      <c r="B32" s="0" t="s">
        <v>1229</v>
      </c>
      <c r="C32" s="32" t="n">
        <f aca="false">SUMPRODUCT((C5:C26="Contractor")*(F5:F26&lt;=C31)*(G5:G26&gt;=C31)*E5:E26)</f>
        <v>0</v>
      </c>
      <c r="D32" s="32" t="n">
        <f aca="false">SUMPRODUCT((C5:C26="Contractor")*(F5:F26&lt;=D31)*(G5:G26&gt;=D31)*E5:E26)</f>
        <v>0.5</v>
      </c>
      <c r="E32" s="32" t="n">
        <f aca="false">SUMPRODUCT((C5:C26="Contractor")*(F5:F26&lt;=E31)*(G5:G26&gt;=E31)*E5:E26)</f>
        <v>1.5</v>
      </c>
      <c r="F32" s="32" t="n">
        <f aca="false">SUMPRODUCT((C5:C26="Contractor")*(F5:F26&lt;=F31)*(G5:G26&gt;=F31)*E5:E26)</f>
        <v>6</v>
      </c>
      <c r="G32" s="32" t="n">
        <f aca="false">SUMPRODUCT((C5:C26="Contractor")*(F5:F26&lt;=G31)*(G5:G26&gt;=G31)*E5:E26)</f>
        <v>6</v>
      </c>
      <c r="H32" s="32" t="n">
        <f aca="false">SUMPRODUCT((C5:C26="Contractor")*(F5:F26&lt;=H31)*(G5:G26&gt;=H31)*E5:E26)</f>
        <v>6.5</v>
      </c>
      <c r="I32" s="32" t="n">
        <f aca="false">SUMPRODUCT((C5:C26="Contractor")*(F5:F26&lt;=I31)*(G5:G26&gt;=I31)*E5:E26)</f>
        <v>6.5</v>
      </c>
      <c r="J32" s="32" t="n">
        <f aca="false">SUMPRODUCT((C5:C26="Contractor")*(F5:F26&lt;=J31)*(G5:G26&gt;=J31)*E5:E26)</f>
        <v>6.5</v>
      </c>
      <c r="K32" s="32" t="n">
        <f aca="false">SUMPRODUCT((C5:C26="Contractor")*(F5:F26&lt;=K31)*(G5:G26&gt;=K31)*E5:E26)</f>
        <v>6.5</v>
      </c>
      <c r="L32" s="32" t="n">
        <f aca="false">SUMPRODUCT((C5:C26="Contractor")*(F5:F26&lt;=L31)*(G5:G26&gt;=L31)*E5:E26)</f>
        <v>6.5</v>
      </c>
      <c r="M32" s="32" t="n">
        <f aca="false">SUMPRODUCT((C5:C26="Contractor")*(F5:F26&lt;=M31)*(G5:G26&gt;=M31)*E5:E26)</f>
        <v>6.5</v>
      </c>
      <c r="N32" s="32" t="n">
        <f aca="false">SUMPRODUCT((C5:C26="Contractor")*(F5:F26&lt;=N31)*(G5:G26&gt;=N31)*E5:E26)</f>
        <v>6.5</v>
      </c>
      <c r="O32" s="32" t="n">
        <f aca="false">SUMPRODUCT((C5:C26="Contractor")*(F5:F26&lt;=O31)*(G5:G26&gt;=O31)*E5:E26)</f>
        <v>6.5</v>
      </c>
      <c r="P32" s="32" t="n">
        <f aca="false">SUMPRODUCT((C5:C26="Contractor")*(F5:F26&lt;=P31)*(G5:G26&gt;=P31)*E5:E26)</f>
        <v>6.5</v>
      </c>
      <c r="Q32" s="32" t="n">
        <f aca="false">SUMPRODUCT((C5:C26="Contractor")*(F5:F26&lt;=Q31)*(G5:G26&gt;=Q31)*E5:E26)</f>
        <v>6.5</v>
      </c>
      <c r="R32" s="32" t="n">
        <f aca="false">SUMPRODUCT((C5:C26="Contractor")*(F5:F26&lt;=R31)*(G5:G26&gt;=R31)*E5:E26)</f>
        <v>6.5</v>
      </c>
      <c r="S32" s="32" t="n">
        <f aca="false">SUMPRODUCT((C5:C26="Contractor")*(F5:F26&lt;=S31)*(G5:G26&gt;=S31)*E5:E26)</f>
        <v>6.5</v>
      </c>
      <c r="T32" s="32" t="n">
        <f aca="false">SUMPRODUCT((C5:C26="Contractor")*(F5:F26&lt;=T31)*(G5:G26&gt;=T31)*E5:E26)</f>
        <v>6.5</v>
      </c>
      <c r="U32" s="32" t="n">
        <f aca="false">SUMPRODUCT((C5:C26="Contractor")*(F5:F26&lt;=U31)*(G5:G26&gt;=U31)*E5:E26)</f>
        <v>6.5</v>
      </c>
      <c r="V32" s="32" t="n">
        <f aca="false">SUMPRODUCT((C5:C26="Contractor")*(F5:F26&lt;=V31)*(G5:G26&gt;=V31)*E5:E26)</f>
        <v>6</v>
      </c>
      <c r="W32" s="32" t="n">
        <f aca="false">SUMPRODUCT((C5:C26="Contractor")*(F5:F26&lt;=W31)*(G5:G26&gt;=W31)*E5:E26)</f>
        <v>6</v>
      </c>
      <c r="X32" s="32" t="n">
        <f aca="false">SUMPRODUCT((C5:C26="Contractor")*(F5:F26&lt;=X31)*(G5:G26&gt;=X31)*E5:E26)</f>
        <v>5</v>
      </c>
      <c r="Y32" s="32" t="n">
        <f aca="false">SUMPRODUCT((C5:C26="Contractor")*(F5:F26&lt;=Y31)*(G5:G26&gt;=Y31)*E5:E26)</f>
        <v>5</v>
      </c>
      <c r="Z32" s="32" t="n">
        <f aca="false">SUMPRODUCT((C5:C26="Contractor")*(F5:F26&lt;=Z31)*(G5:G26&gt;=Z31)*E5:E26)</f>
        <v>2.5</v>
      </c>
      <c r="AA32" s="32" t="n">
        <f aca="false">SUMPRODUCT((C5:C26="Contractor")*(F5:F26&lt;=AA31)*(G5:G26&gt;=AA31)*E5:E26)</f>
        <v>2.5</v>
      </c>
      <c r="AB32" s="32" t="n">
        <f aca="false">SUMPRODUCT((C5:C26="Contractor")*(F5:F26&lt;=AB31)*(G5:G26&gt;=AB31)*E5:E26)</f>
        <v>0.5</v>
      </c>
      <c r="AC32" s="32" t="n">
        <f aca="false">SUMPRODUCT((C5:C26="Contractor")*(F5:F26&lt;=AC31)*(G5:G26&gt;=AC31)*E5:E26)</f>
        <v>0.5</v>
      </c>
    </row>
    <row r="34" customFormat="false" ht="15" hidden="false" customHeight="false" outlineLevel="0" collapsed="false">
      <c r="A34" s="33" t="s">
        <v>1230</v>
      </c>
    </row>
    <row r="35" customFormat="false" ht="15" hidden="false" customHeight="false" outlineLevel="0" collapsed="false">
      <c r="A35" s="34" t="s">
        <v>1128</v>
      </c>
      <c r="B35" s="34" t="s">
        <v>1231</v>
      </c>
      <c r="C35" s="34" t="n">
        <v>0</v>
      </c>
      <c r="D35" s="34" t="n">
        <v>1</v>
      </c>
      <c r="E35" s="34" t="n">
        <v>2</v>
      </c>
      <c r="F35" s="34" t="n">
        <v>3</v>
      </c>
      <c r="G35" s="34" t="n">
        <v>4</v>
      </c>
      <c r="H35" s="34" t="n">
        <v>5</v>
      </c>
      <c r="I35" s="34" t="n">
        <v>6</v>
      </c>
      <c r="J35" s="34" t="n">
        <v>7</v>
      </c>
      <c r="K35" s="34" t="n">
        <v>8</v>
      </c>
      <c r="L35" s="34" t="n">
        <v>9</v>
      </c>
      <c r="M35" s="34" t="n">
        <v>10</v>
      </c>
      <c r="N35" s="34" t="n">
        <v>11</v>
      </c>
      <c r="O35" s="34" t="n">
        <v>12</v>
      </c>
      <c r="P35" s="34" t="n">
        <v>13</v>
      </c>
      <c r="Q35" s="34" t="n">
        <v>14</v>
      </c>
      <c r="R35" s="34" t="n">
        <v>15</v>
      </c>
      <c r="S35" s="34" t="n">
        <v>16</v>
      </c>
      <c r="T35" s="34" t="n">
        <v>17</v>
      </c>
      <c r="U35" s="34" t="n">
        <v>18</v>
      </c>
      <c r="V35" s="34" t="n">
        <v>19</v>
      </c>
      <c r="W35" s="34" t="n">
        <v>20</v>
      </c>
      <c r="X35" s="34" t="n">
        <v>21</v>
      </c>
      <c r="Y35" s="34" t="n">
        <v>22</v>
      </c>
      <c r="Z35" s="34" t="n">
        <v>23</v>
      </c>
      <c r="AA35" s="34" t="n">
        <v>24</v>
      </c>
      <c r="AB35" s="34" t="n">
        <v>25</v>
      </c>
      <c r="AC35" s="34" t="n">
        <v>26</v>
      </c>
    </row>
    <row r="36" customFormat="false" ht="15" hidden="false" customHeight="false" outlineLevel="0" collapsed="false">
      <c r="A36" s="0" t="str">
        <f aca="false">A5</f>
        <v>PL</v>
      </c>
      <c r="B36" s="0" t="n">
        <f aca="false">J5</f>
        <v>3</v>
      </c>
      <c r="C36" s="32" t="n">
        <f aca="false">COUNTIFS('Project Plan'!$O$7:$O$156,$A36,'Project Plan'!$F$7:$F$156,"&lt;="&amp;C$35,'Project Plan'!$H$7:$H$156,"&gt;="&amp;C$35)</f>
        <v>3</v>
      </c>
      <c r="D36" s="32" t="n">
        <f aca="false">COUNTIFS('Project Plan'!$O$7:$O$156,$A36,'Project Plan'!$F$7:$F$156,"&lt;="&amp;D$35,'Project Plan'!$H$7:$H$156,"&gt;="&amp;D$35)</f>
        <v>2</v>
      </c>
      <c r="E36" s="32" t="n">
        <f aca="false">COUNTIFS('Project Plan'!$O$7:$O$156,$A36,'Project Plan'!$F$7:$F$156,"&lt;="&amp;E$35,'Project Plan'!$H$7:$H$156,"&gt;="&amp;E$35)</f>
        <v>2</v>
      </c>
      <c r="F36" s="32" t="n">
        <f aca="false">COUNTIFS('Project Plan'!$O$7:$O$156,$A36,'Project Plan'!$F$7:$F$156,"&lt;="&amp;F$35,'Project Plan'!$H$7:$H$156,"&gt;="&amp;F$35)</f>
        <v>3</v>
      </c>
      <c r="G36" s="32" t="n">
        <f aca="false">COUNTIFS('Project Plan'!$O$7:$O$156,$A36,'Project Plan'!$F$7:$F$156,"&lt;="&amp;G$35,'Project Plan'!$H$7:$H$156,"&gt;="&amp;G$35)</f>
        <v>2</v>
      </c>
      <c r="H36" s="32" t="n">
        <f aca="false">COUNTIFS('Project Plan'!$O$7:$O$156,$A36,'Project Plan'!$F$7:$F$156,"&lt;="&amp;H$35,'Project Plan'!$H$7:$H$156,"&gt;="&amp;H$35)</f>
        <v>2</v>
      </c>
      <c r="I36" s="32" t="n">
        <f aca="false">COUNTIFS('Project Plan'!$O$7:$O$156,$A36,'Project Plan'!$F$7:$F$156,"&lt;="&amp;I$35,'Project Plan'!$H$7:$H$156,"&gt;="&amp;I$35)</f>
        <v>3</v>
      </c>
      <c r="J36" s="32" t="n">
        <f aca="false">COUNTIFS('Project Plan'!$O$7:$O$156,$A36,'Project Plan'!$F$7:$F$156,"&lt;="&amp;J$35,'Project Plan'!$H$7:$H$156,"&gt;="&amp;J$35)</f>
        <v>1</v>
      </c>
      <c r="K36" s="32" t="n">
        <f aca="false">COUNTIFS('Project Plan'!$O$7:$O$156,$A36,'Project Plan'!$F$7:$F$156,"&lt;="&amp;K$35,'Project Plan'!$H$7:$H$156,"&gt;="&amp;K$35)</f>
        <v>2</v>
      </c>
      <c r="L36" s="32" t="n">
        <f aca="false">COUNTIFS('Project Plan'!$O$7:$O$156,$A36,'Project Plan'!$F$7:$F$156,"&lt;="&amp;L$35,'Project Plan'!$H$7:$H$156,"&gt;="&amp;L$35)</f>
        <v>1</v>
      </c>
      <c r="M36" s="32" t="n">
        <f aca="false">COUNTIFS('Project Plan'!$O$7:$O$156,$A36,'Project Plan'!$F$7:$F$156,"&lt;="&amp;M$35,'Project Plan'!$H$7:$H$156,"&gt;="&amp;M$35)</f>
        <v>1</v>
      </c>
      <c r="N36" s="32" t="n">
        <f aca="false">COUNTIFS('Project Plan'!$O$7:$O$156,$A36,'Project Plan'!$F$7:$F$156,"&lt;="&amp;N$35,'Project Plan'!$H$7:$H$156,"&gt;="&amp;N$35)</f>
        <v>0</v>
      </c>
      <c r="O36" s="32" t="n">
        <f aca="false">COUNTIFS('Project Plan'!$O$7:$O$156,$A36,'Project Plan'!$F$7:$F$156,"&lt;="&amp;O$35,'Project Plan'!$H$7:$H$156,"&gt;="&amp;O$35)</f>
        <v>0</v>
      </c>
      <c r="P36" s="32" t="n">
        <f aca="false">COUNTIFS('Project Plan'!$O$7:$O$156,$A36,'Project Plan'!$F$7:$F$156,"&lt;="&amp;P$35,'Project Plan'!$H$7:$H$156,"&gt;="&amp;P$35)</f>
        <v>0</v>
      </c>
      <c r="Q36" s="32" t="n">
        <f aca="false">COUNTIFS('Project Plan'!$O$7:$O$156,$A36,'Project Plan'!$F$7:$F$156,"&lt;="&amp;Q$35,'Project Plan'!$H$7:$H$156,"&gt;="&amp;Q$35)</f>
        <v>0</v>
      </c>
      <c r="R36" s="32" t="n">
        <f aca="false">COUNTIFS('Project Plan'!$O$7:$O$156,$A36,'Project Plan'!$F$7:$F$156,"&lt;="&amp;R$35,'Project Plan'!$H$7:$H$156,"&gt;="&amp;R$35)</f>
        <v>1</v>
      </c>
      <c r="S36" s="32" t="n">
        <f aca="false">COUNTIFS('Project Plan'!$O$7:$O$156,$A36,'Project Plan'!$F$7:$F$156,"&lt;="&amp;S$35,'Project Plan'!$H$7:$H$156,"&gt;="&amp;S$35)</f>
        <v>0</v>
      </c>
      <c r="T36" s="32" t="n">
        <f aca="false">COUNTIFS('Project Plan'!$O$7:$O$156,$A36,'Project Plan'!$F$7:$F$156,"&lt;="&amp;T$35,'Project Plan'!$H$7:$H$156,"&gt;="&amp;T$35)</f>
        <v>0</v>
      </c>
      <c r="U36" s="32" t="n">
        <f aca="false">COUNTIFS('Project Plan'!$O$7:$O$156,$A36,'Project Plan'!$F$7:$F$156,"&lt;="&amp;U$35,'Project Plan'!$H$7:$H$156,"&gt;="&amp;U$35)</f>
        <v>0</v>
      </c>
      <c r="V36" s="32" t="n">
        <f aca="false">COUNTIFS('Project Plan'!$O$7:$O$156,$A36,'Project Plan'!$F$7:$F$156,"&lt;="&amp;V$35,'Project Plan'!$H$7:$H$156,"&gt;="&amp;V$35)</f>
        <v>0</v>
      </c>
      <c r="W36" s="32" t="n">
        <f aca="false">COUNTIFS('Project Plan'!$O$7:$O$156,$A36,'Project Plan'!$F$7:$F$156,"&lt;="&amp;W$35,'Project Plan'!$H$7:$H$156,"&gt;="&amp;W$35)</f>
        <v>1</v>
      </c>
      <c r="X36" s="32" t="n">
        <f aca="false">COUNTIFS('Project Plan'!$O$7:$O$156,$A36,'Project Plan'!$F$7:$F$156,"&lt;="&amp;X$35,'Project Plan'!$H$7:$H$156,"&gt;="&amp;X$35)</f>
        <v>1</v>
      </c>
      <c r="Y36" s="32" t="n">
        <f aca="false">COUNTIFS('Project Plan'!$O$7:$O$156,$A36,'Project Plan'!$F$7:$F$156,"&lt;="&amp;Y$35,'Project Plan'!$H$7:$H$156,"&gt;="&amp;Y$35)</f>
        <v>1</v>
      </c>
      <c r="Z36" s="32" t="n">
        <f aca="false">COUNTIFS('Project Plan'!$O$7:$O$156,$A36,'Project Plan'!$F$7:$F$156,"&lt;="&amp;Z$35,'Project Plan'!$H$7:$H$156,"&gt;="&amp;Z$35)</f>
        <v>1</v>
      </c>
      <c r="AA36" s="32" t="n">
        <f aca="false">COUNTIFS('Project Plan'!$O$7:$O$156,$A36,'Project Plan'!$F$7:$F$156,"&lt;="&amp;AA$35,'Project Plan'!$H$7:$H$156,"&gt;="&amp;AA$35)</f>
        <v>1</v>
      </c>
      <c r="AB36" s="32" t="n">
        <f aca="false">COUNTIFS('Project Plan'!$O$7:$O$156,$A36,'Project Plan'!$F$7:$F$156,"&lt;="&amp;AB$35,'Project Plan'!$H$7:$H$156,"&gt;="&amp;AB$35)</f>
        <v>1</v>
      </c>
      <c r="AC36" s="32" t="n">
        <f aca="false">COUNTIFS('Project Plan'!$O$7:$O$156,$A36,'Project Plan'!$F$7:$F$156,"&lt;="&amp;AC$35,'Project Plan'!$H$7:$H$156,"&gt;="&amp;AC$35)</f>
        <v>1</v>
      </c>
    </row>
    <row r="37" customFormat="false" ht="15" hidden="false" customHeight="false" outlineLevel="0" collapsed="false">
      <c r="A37" s="0" t="str">
        <f aca="false">A6</f>
        <v>CSE</v>
      </c>
      <c r="B37" s="0" t="n">
        <f aca="false">J6</f>
        <v>3</v>
      </c>
      <c r="C37" s="32" t="n">
        <f aca="false">COUNTIFS('Project Plan'!$O$7:$O$156,$A37,'Project Plan'!$F$7:$F$156,"&lt;="&amp;C$35,'Project Plan'!$H$7:$H$156,"&gt;="&amp;C$35)</f>
        <v>3</v>
      </c>
      <c r="D37" s="32" t="n">
        <f aca="false">COUNTIFS('Project Plan'!$O$7:$O$156,$A37,'Project Plan'!$F$7:$F$156,"&lt;="&amp;D$35,'Project Plan'!$H$7:$H$156,"&gt;="&amp;D$35)</f>
        <v>3</v>
      </c>
      <c r="E37" s="32" t="n">
        <f aca="false">COUNTIFS('Project Plan'!$O$7:$O$156,$A37,'Project Plan'!$F$7:$F$156,"&lt;="&amp;E$35,'Project Plan'!$H$7:$H$156,"&gt;="&amp;E$35)</f>
        <v>2</v>
      </c>
      <c r="F37" s="32" t="n">
        <f aca="false">COUNTIFS('Project Plan'!$O$7:$O$156,$A37,'Project Plan'!$F$7:$F$156,"&lt;="&amp;F$35,'Project Plan'!$H$7:$H$156,"&gt;="&amp;F$35)</f>
        <v>3</v>
      </c>
      <c r="G37" s="32" t="n">
        <f aca="false">COUNTIFS('Project Plan'!$O$7:$O$156,$A37,'Project Plan'!$F$7:$F$156,"&lt;="&amp;G$35,'Project Plan'!$H$7:$H$156,"&gt;="&amp;G$35)</f>
        <v>2</v>
      </c>
      <c r="H37" s="32" t="n">
        <f aca="false">COUNTIFS('Project Plan'!$O$7:$O$156,$A37,'Project Plan'!$F$7:$F$156,"&lt;="&amp;H$35,'Project Plan'!$H$7:$H$156,"&gt;="&amp;H$35)</f>
        <v>3</v>
      </c>
      <c r="I37" s="32" t="n">
        <f aca="false">COUNTIFS('Project Plan'!$O$7:$O$156,$A37,'Project Plan'!$F$7:$F$156,"&lt;="&amp;I$35,'Project Plan'!$H$7:$H$156,"&gt;="&amp;I$35)</f>
        <v>3</v>
      </c>
      <c r="J37" s="32" t="n">
        <f aca="false">COUNTIFS('Project Plan'!$O$7:$O$156,$A37,'Project Plan'!$F$7:$F$156,"&lt;="&amp;J$35,'Project Plan'!$H$7:$H$156,"&gt;="&amp;J$35)</f>
        <v>3</v>
      </c>
      <c r="K37" s="32" t="n">
        <f aca="false">COUNTIFS('Project Plan'!$O$7:$O$156,$A37,'Project Plan'!$F$7:$F$156,"&lt;="&amp;K$35,'Project Plan'!$H$7:$H$156,"&gt;="&amp;K$35)</f>
        <v>2</v>
      </c>
      <c r="L37" s="32" t="n">
        <f aca="false">COUNTIFS('Project Plan'!$O$7:$O$156,$A37,'Project Plan'!$F$7:$F$156,"&lt;="&amp;L$35,'Project Plan'!$H$7:$H$156,"&gt;="&amp;L$35)</f>
        <v>3</v>
      </c>
      <c r="M37" s="32" t="n">
        <f aca="false">COUNTIFS('Project Plan'!$O$7:$O$156,$A37,'Project Plan'!$F$7:$F$156,"&lt;="&amp;M$35,'Project Plan'!$H$7:$H$156,"&gt;="&amp;M$35)</f>
        <v>2</v>
      </c>
      <c r="N37" s="32" t="n">
        <f aca="false">COUNTIFS('Project Plan'!$O$7:$O$156,$A37,'Project Plan'!$F$7:$F$156,"&lt;="&amp;N$35,'Project Plan'!$H$7:$H$156,"&gt;="&amp;N$35)</f>
        <v>3</v>
      </c>
      <c r="O37" s="32" t="n">
        <f aca="false">COUNTIFS('Project Plan'!$O$7:$O$156,$A37,'Project Plan'!$F$7:$F$156,"&lt;="&amp;O$35,'Project Plan'!$H$7:$H$156,"&gt;="&amp;O$35)</f>
        <v>3</v>
      </c>
      <c r="P37" s="32" t="n">
        <f aca="false">COUNTIFS('Project Plan'!$O$7:$O$156,$A37,'Project Plan'!$F$7:$F$156,"&lt;="&amp;P$35,'Project Plan'!$H$7:$H$156,"&gt;="&amp;P$35)</f>
        <v>3</v>
      </c>
      <c r="Q37" s="32" t="n">
        <f aca="false">COUNTIFS('Project Plan'!$O$7:$O$156,$A37,'Project Plan'!$F$7:$F$156,"&lt;="&amp;Q$35,'Project Plan'!$H$7:$H$156,"&gt;="&amp;Q$35)</f>
        <v>3</v>
      </c>
      <c r="R37" s="32" t="n">
        <f aca="false">COUNTIFS('Project Plan'!$O$7:$O$156,$A37,'Project Plan'!$F$7:$F$156,"&lt;="&amp;R$35,'Project Plan'!$H$7:$H$156,"&gt;="&amp;R$35)</f>
        <v>3</v>
      </c>
      <c r="S37" s="32" t="n">
        <f aca="false">COUNTIFS('Project Plan'!$O$7:$O$156,$A37,'Project Plan'!$F$7:$F$156,"&lt;="&amp;S$35,'Project Plan'!$H$7:$H$156,"&gt;="&amp;S$35)</f>
        <v>3</v>
      </c>
      <c r="T37" s="32" t="n">
        <f aca="false">COUNTIFS('Project Plan'!$O$7:$O$156,$A37,'Project Plan'!$F$7:$F$156,"&lt;="&amp;T$35,'Project Plan'!$H$7:$H$156,"&gt;="&amp;T$35)</f>
        <v>3</v>
      </c>
      <c r="U37" s="32" t="n">
        <f aca="false">COUNTIFS('Project Plan'!$O$7:$O$156,$A37,'Project Plan'!$F$7:$F$156,"&lt;="&amp;U$35,'Project Plan'!$H$7:$H$156,"&gt;="&amp;U$35)</f>
        <v>3</v>
      </c>
      <c r="V37" s="32" t="n">
        <f aca="false">COUNTIFS('Project Plan'!$O$7:$O$156,$A37,'Project Plan'!$F$7:$F$156,"&lt;="&amp;V$35,'Project Plan'!$H$7:$H$156,"&gt;="&amp;V$35)</f>
        <v>2</v>
      </c>
      <c r="W37" s="32" t="n">
        <f aca="false">COUNTIFS('Project Plan'!$O$7:$O$156,$A37,'Project Plan'!$F$7:$F$156,"&lt;="&amp;W$35,'Project Plan'!$H$7:$H$156,"&gt;="&amp;W$35)</f>
        <v>2</v>
      </c>
      <c r="X37" s="32" t="n">
        <f aca="false">COUNTIFS('Project Plan'!$O$7:$O$156,$A37,'Project Plan'!$F$7:$F$156,"&lt;="&amp;X$35,'Project Plan'!$H$7:$H$156,"&gt;="&amp;X$35)</f>
        <v>1</v>
      </c>
      <c r="Y37" s="32" t="n">
        <f aca="false">COUNTIFS('Project Plan'!$O$7:$O$156,$A37,'Project Plan'!$F$7:$F$156,"&lt;="&amp;Y$35,'Project Plan'!$H$7:$H$156,"&gt;="&amp;Y$35)</f>
        <v>1</v>
      </c>
      <c r="Z37" s="32" t="n">
        <f aca="false">COUNTIFS('Project Plan'!$O$7:$O$156,$A37,'Project Plan'!$F$7:$F$156,"&lt;="&amp;Z$35,'Project Plan'!$H$7:$H$156,"&gt;="&amp;Z$35)</f>
        <v>0</v>
      </c>
      <c r="AA37" s="32" t="n">
        <f aca="false">COUNTIFS('Project Plan'!$O$7:$O$156,$A37,'Project Plan'!$F$7:$F$156,"&lt;="&amp;AA$35,'Project Plan'!$H$7:$H$156,"&gt;="&amp;AA$35)</f>
        <v>0</v>
      </c>
      <c r="AB37" s="32" t="n">
        <f aca="false">COUNTIFS('Project Plan'!$O$7:$O$156,$A37,'Project Plan'!$F$7:$F$156,"&lt;="&amp;AB$35,'Project Plan'!$H$7:$H$156,"&gt;="&amp;AB$35)</f>
        <v>0</v>
      </c>
      <c r="AC37" s="32" t="n">
        <f aca="false">COUNTIFS('Project Plan'!$O$7:$O$156,$A37,'Project Plan'!$F$7:$F$156,"&lt;="&amp;AC$35,'Project Plan'!$H$7:$H$156,"&gt;="&amp;AC$35)</f>
        <v>0</v>
      </c>
    </row>
    <row r="38" customFormat="false" ht="15" hidden="false" customHeight="false" outlineLevel="0" collapsed="false">
      <c r="A38" s="0" t="str">
        <f aca="false">A7</f>
        <v>ISE</v>
      </c>
      <c r="B38" s="0" t="n">
        <f aca="false">J7</f>
        <v>3</v>
      </c>
      <c r="C38" s="32" t="n">
        <f aca="false">COUNTIFS('Project Plan'!$O$7:$O$156,$A38,'Project Plan'!$F$7:$F$156,"&lt;="&amp;C$35,'Project Plan'!$H$7:$H$156,"&gt;="&amp;C$35)</f>
        <v>3</v>
      </c>
      <c r="D38" s="32" t="n">
        <f aca="false">COUNTIFS('Project Plan'!$O$7:$O$156,$A38,'Project Plan'!$F$7:$F$156,"&lt;="&amp;D$35,'Project Plan'!$H$7:$H$156,"&gt;="&amp;D$35)</f>
        <v>3</v>
      </c>
      <c r="E38" s="32" t="n">
        <f aca="false">COUNTIFS('Project Plan'!$O$7:$O$156,$A38,'Project Plan'!$F$7:$F$156,"&lt;="&amp;E$35,'Project Plan'!$H$7:$H$156,"&gt;="&amp;E$35)</f>
        <v>1</v>
      </c>
      <c r="F38" s="32" t="n">
        <f aca="false">COUNTIFS('Project Plan'!$O$7:$O$156,$A38,'Project Plan'!$F$7:$F$156,"&lt;="&amp;F$35,'Project Plan'!$H$7:$H$156,"&gt;="&amp;F$35)</f>
        <v>3</v>
      </c>
      <c r="G38" s="32" t="n">
        <f aca="false">COUNTIFS('Project Plan'!$O$7:$O$156,$A38,'Project Plan'!$F$7:$F$156,"&lt;="&amp;G$35,'Project Plan'!$H$7:$H$156,"&gt;="&amp;G$35)</f>
        <v>3</v>
      </c>
      <c r="H38" s="32" t="n">
        <f aca="false">COUNTIFS('Project Plan'!$O$7:$O$156,$A38,'Project Plan'!$F$7:$F$156,"&lt;="&amp;H$35,'Project Plan'!$H$7:$H$156,"&gt;="&amp;H$35)</f>
        <v>2</v>
      </c>
      <c r="I38" s="32" t="n">
        <f aca="false">COUNTIFS('Project Plan'!$O$7:$O$156,$A38,'Project Plan'!$F$7:$F$156,"&lt;="&amp;I$35,'Project Plan'!$H$7:$H$156,"&gt;="&amp;I$35)</f>
        <v>3</v>
      </c>
      <c r="J38" s="32" t="n">
        <f aca="false">COUNTIFS('Project Plan'!$O$7:$O$156,$A38,'Project Plan'!$F$7:$F$156,"&lt;="&amp;J$35,'Project Plan'!$H$7:$H$156,"&gt;="&amp;J$35)</f>
        <v>3</v>
      </c>
      <c r="K38" s="32" t="n">
        <f aca="false">COUNTIFS('Project Plan'!$O$7:$O$156,$A38,'Project Plan'!$F$7:$F$156,"&lt;="&amp;K$35,'Project Plan'!$H$7:$H$156,"&gt;="&amp;K$35)</f>
        <v>2</v>
      </c>
      <c r="L38" s="32" t="n">
        <f aca="false">COUNTIFS('Project Plan'!$O$7:$O$156,$A38,'Project Plan'!$F$7:$F$156,"&lt;="&amp;L$35,'Project Plan'!$H$7:$H$156,"&gt;="&amp;L$35)</f>
        <v>2</v>
      </c>
      <c r="M38" s="32" t="n">
        <f aca="false">COUNTIFS('Project Plan'!$O$7:$O$156,$A38,'Project Plan'!$F$7:$F$156,"&lt;="&amp;M$35,'Project Plan'!$H$7:$H$156,"&gt;="&amp;M$35)</f>
        <v>2</v>
      </c>
      <c r="N38" s="32" t="n">
        <f aca="false">COUNTIFS('Project Plan'!$O$7:$O$156,$A38,'Project Plan'!$F$7:$F$156,"&lt;="&amp;N$35,'Project Plan'!$H$7:$H$156,"&gt;="&amp;N$35)</f>
        <v>2</v>
      </c>
      <c r="O38" s="32" t="n">
        <f aca="false">COUNTIFS('Project Plan'!$O$7:$O$156,$A38,'Project Plan'!$F$7:$F$156,"&lt;="&amp;O$35,'Project Plan'!$H$7:$H$156,"&gt;="&amp;O$35)</f>
        <v>2</v>
      </c>
      <c r="P38" s="32" t="n">
        <f aca="false">COUNTIFS('Project Plan'!$O$7:$O$156,$A38,'Project Plan'!$F$7:$F$156,"&lt;="&amp;P$35,'Project Plan'!$H$7:$H$156,"&gt;="&amp;P$35)</f>
        <v>2</v>
      </c>
      <c r="Q38" s="32" t="n">
        <f aca="false">COUNTIFS('Project Plan'!$O$7:$O$156,$A38,'Project Plan'!$F$7:$F$156,"&lt;="&amp;Q$35,'Project Plan'!$H$7:$H$156,"&gt;="&amp;Q$35)</f>
        <v>2</v>
      </c>
      <c r="R38" s="32" t="n">
        <f aca="false">COUNTIFS('Project Plan'!$O$7:$O$156,$A38,'Project Plan'!$F$7:$F$156,"&lt;="&amp;R$35,'Project Plan'!$H$7:$H$156,"&gt;="&amp;R$35)</f>
        <v>1</v>
      </c>
      <c r="S38" s="32" t="n">
        <f aca="false">COUNTIFS('Project Plan'!$O$7:$O$156,$A38,'Project Plan'!$F$7:$F$156,"&lt;="&amp;S$35,'Project Plan'!$H$7:$H$156,"&gt;="&amp;S$35)</f>
        <v>1</v>
      </c>
      <c r="T38" s="32" t="n">
        <f aca="false">COUNTIFS('Project Plan'!$O$7:$O$156,$A38,'Project Plan'!$F$7:$F$156,"&lt;="&amp;T$35,'Project Plan'!$H$7:$H$156,"&gt;="&amp;T$35)</f>
        <v>1</v>
      </c>
      <c r="U38" s="32" t="n">
        <f aca="false">COUNTIFS('Project Plan'!$O$7:$O$156,$A38,'Project Plan'!$F$7:$F$156,"&lt;="&amp;U$35,'Project Plan'!$H$7:$H$156,"&gt;="&amp;U$35)</f>
        <v>0</v>
      </c>
      <c r="V38" s="32" t="n">
        <f aca="false">COUNTIFS('Project Plan'!$O$7:$O$156,$A38,'Project Plan'!$F$7:$F$156,"&lt;="&amp;V$35,'Project Plan'!$H$7:$H$156,"&gt;="&amp;V$35)</f>
        <v>1</v>
      </c>
      <c r="W38" s="32" t="n">
        <f aca="false">COUNTIFS('Project Plan'!$O$7:$O$156,$A38,'Project Plan'!$F$7:$F$156,"&lt;="&amp;W$35,'Project Plan'!$H$7:$H$156,"&gt;="&amp;W$35)</f>
        <v>1</v>
      </c>
      <c r="X38" s="32" t="n">
        <f aca="false">COUNTIFS('Project Plan'!$O$7:$O$156,$A38,'Project Plan'!$F$7:$F$156,"&lt;="&amp;X$35,'Project Plan'!$H$7:$H$156,"&gt;="&amp;X$35)</f>
        <v>0</v>
      </c>
      <c r="Y38" s="32" t="n">
        <f aca="false">COUNTIFS('Project Plan'!$O$7:$O$156,$A38,'Project Plan'!$F$7:$F$156,"&lt;="&amp;Y$35,'Project Plan'!$H$7:$H$156,"&gt;="&amp;Y$35)</f>
        <v>0</v>
      </c>
      <c r="Z38" s="32" t="n">
        <f aca="false">COUNTIFS('Project Plan'!$O$7:$O$156,$A38,'Project Plan'!$F$7:$F$156,"&lt;="&amp;Z$35,'Project Plan'!$H$7:$H$156,"&gt;="&amp;Z$35)</f>
        <v>0</v>
      </c>
      <c r="AA38" s="32" t="n">
        <f aca="false">COUNTIFS('Project Plan'!$O$7:$O$156,$A38,'Project Plan'!$F$7:$F$156,"&lt;="&amp;AA$35,'Project Plan'!$H$7:$H$156,"&gt;="&amp;AA$35)</f>
        <v>0</v>
      </c>
      <c r="AB38" s="32" t="n">
        <f aca="false">COUNTIFS('Project Plan'!$O$7:$O$156,$A38,'Project Plan'!$F$7:$F$156,"&lt;="&amp;AB$35,'Project Plan'!$H$7:$H$156,"&gt;="&amp;AB$35)</f>
        <v>0</v>
      </c>
      <c r="AC38" s="32" t="n">
        <f aca="false">COUNTIFS('Project Plan'!$O$7:$O$156,$A38,'Project Plan'!$F$7:$F$156,"&lt;="&amp;AC$35,'Project Plan'!$H$7:$H$156,"&gt;="&amp;AC$35)</f>
        <v>0</v>
      </c>
    </row>
    <row r="39" customFormat="false" ht="15" hidden="false" customHeight="false" outlineLevel="0" collapsed="false">
      <c r="A39" s="0" t="str">
        <f aca="false">A8</f>
        <v>GRC</v>
      </c>
      <c r="B39" s="0" t="n">
        <f aca="false">J8</f>
        <v>3</v>
      </c>
      <c r="C39" s="32" t="n">
        <f aca="false">COUNTIFS('Project Plan'!$O$7:$O$156,$A39,'Project Plan'!$F$7:$F$156,"&lt;="&amp;C$35,'Project Plan'!$H$7:$H$156,"&gt;="&amp;C$35)</f>
        <v>1</v>
      </c>
      <c r="D39" s="32" t="n">
        <f aca="false">COUNTIFS('Project Plan'!$O$7:$O$156,$A39,'Project Plan'!$F$7:$F$156,"&lt;="&amp;D$35,'Project Plan'!$H$7:$H$156,"&gt;="&amp;D$35)</f>
        <v>1</v>
      </c>
      <c r="E39" s="32" t="n">
        <f aca="false">COUNTIFS('Project Plan'!$O$7:$O$156,$A39,'Project Plan'!$F$7:$F$156,"&lt;="&amp;E$35,'Project Plan'!$H$7:$H$156,"&gt;="&amp;E$35)</f>
        <v>1</v>
      </c>
      <c r="F39" s="32" t="n">
        <f aca="false">COUNTIFS('Project Plan'!$O$7:$O$156,$A39,'Project Plan'!$F$7:$F$156,"&lt;="&amp;F$35,'Project Plan'!$H$7:$H$156,"&gt;="&amp;F$35)</f>
        <v>2</v>
      </c>
      <c r="G39" s="32" t="n">
        <f aca="false">COUNTIFS('Project Plan'!$O$7:$O$156,$A39,'Project Plan'!$F$7:$F$156,"&lt;="&amp;G$35,'Project Plan'!$H$7:$H$156,"&gt;="&amp;G$35)</f>
        <v>3</v>
      </c>
      <c r="H39" s="32" t="n">
        <f aca="false">COUNTIFS('Project Plan'!$O$7:$O$156,$A39,'Project Plan'!$F$7:$F$156,"&lt;="&amp;H$35,'Project Plan'!$H$7:$H$156,"&gt;="&amp;H$35)</f>
        <v>3</v>
      </c>
      <c r="I39" s="32" t="n">
        <f aca="false">COUNTIFS('Project Plan'!$O$7:$O$156,$A39,'Project Plan'!$F$7:$F$156,"&lt;="&amp;I$35,'Project Plan'!$H$7:$H$156,"&gt;="&amp;I$35)</f>
        <v>3</v>
      </c>
      <c r="J39" s="32" t="n">
        <f aca="false">COUNTIFS('Project Plan'!$O$7:$O$156,$A39,'Project Plan'!$F$7:$F$156,"&lt;="&amp;J$35,'Project Plan'!$H$7:$H$156,"&gt;="&amp;J$35)</f>
        <v>3</v>
      </c>
      <c r="K39" s="32" t="n">
        <f aca="false">COUNTIFS('Project Plan'!$O$7:$O$156,$A39,'Project Plan'!$F$7:$F$156,"&lt;="&amp;K$35,'Project Plan'!$H$7:$H$156,"&gt;="&amp;K$35)</f>
        <v>3</v>
      </c>
      <c r="L39" s="32" t="n">
        <f aca="false">COUNTIFS('Project Plan'!$O$7:$O$156,$A39,'Project Plan'!$F$7:$F$156,"&lt;="&amp;L$35,'Project Plan'!$H$7:$H$156,"&gt;="&amp;L$35)</f>
        <v>3</v>
      </c>
      <c r="M39" s="32" t="n">
        <f aca="false">COUNTIFS('Project Plan'!$O$7:$O$156,$A39,'Project Plan'!$F$7:$F$156,"&lt;="&amp;M$35,'Project Plan'!$H$7:$H$156,"&gt;="&amp;M$35)</f>
        <v>2</v>
      </c>
      <c r="N39" s="32" t="n">
        <f aca="false">COUNTIFS('Project Plan'!$O$7:$O$156,$A39,'Project Plan'!$F$7:$F$156,"&lt;="&amp;N$35,'Project Plan'!$H$7:$H$156,"&gt;="&amp;N$35)</f>
        <v>2</v>
      </c>
      <c r="O39" s="32" t="n">
        <f aca="false">COUNTIFS('Project Plan'!$O$7:$O$156,$A39,'Project Plan'!$F$7:$F$156,"&lt;="&amp;O$35,'Project Plan'!$H$7:$H$156,"&gt;="&amp;O$35)</f>
        <v>2</v>
      </c>
      <c r="P39" s="32" t="n">
        <f aca="false">COUNTIFS('Project Plan'!$O$7:$O$156,$A39,'Project Plan'!$F$7:$F$156,"&lt;="&amp;P$35,'Project Plan'!$H$7:$H$156,"&gt;="&amp;P$35)</f>
        <v>2</v>
      </c>
      <c r="Q39" s="32" t="n">
        <f aca="false">COUNTIFS('Project Plan'!$O$7:$O$156,$A39,'Project Plan'!$F$7:$F$156,"&lt;="&amp;Q$35,'Project Plan'!$H$7:$H$156,"&gt;="&amp;Q$35)</f>
        <v>2</v>
      </c>
      <c r="R39" s="32" t="n">
        <f aca="false">COUNTIFS('Project Plan'!$O$7:$O$156,$A39,'Project Plan'!$F$7:$F$156,"&lt;="&amp;R$35,'Project Plan'!$H$7:$H$156,"&gt;="&amp;R$35)</f>
        <v>2</v>
      </c>
      <c r="S39" s="32" t="n">
        <f aca="false">COUNTIFS('Project Plan'!$O$7:$O$156,$A39,'Project Plan'!$F$7:$F$156,"&lt;="&amp;S$35,'Project Plan'!$H$7:$H$156,"&gt;="&amp;S$35)</f>
        <v>3</v>
      </c>
      <c r="T39" s="32" t="n">
        <f aca="false">COUNTIFS('Project Plan'!$O$7:$O$156,$A39,'Project Plan'!$F$7:$F$156,"&lt;="&amp;T$35,'Project Plan'!$H$7:$H$156,"&gt;="&amp;T$35)</f>
        <v>1</v>
      </c>
      <c r="U39" s="32" t="n">
        <f aca="false">COUNTIFS('Project Plan'!$O$7:$O$156,$A39,'Project Plan'!$F$7:$F$156,"&lt;="&amp;U$35,'Project Plan'!$H$7:$H$156,"&gt;="&amp;U$35)</f>
        <v>0</v>
      </c>
      <c r="V39" s="32" t="n">
        <f aca="false">COUNTIFS('Project Plan'!$O$7:$O$156,$A39,'Project Plan'!$F$7:$F$156,"&lt;="&amp;V$35,'Project Plan'!$H$7:$H$156,"&gt;="&amp;V$35)</f>
        <v>1</v>
      </c>
      <c r="W39" s="32" t="n">
        <f aca="false">COUNTIFS('Project Plan'!$O$7:$O$156,$A39,'Project Plan'!$F$7:$F$156,"&lt;="&amp;W$35,'Project Plan'!$H$7:$H$156,"&gt;="&amp;W$35)</f>
        <v>1</v>
      </c>
      <c r="X39" s="32" t="n">
        <f aca="false">COUNTIFS('Project Plan'!$O$7:$O$156,$A39,'Project Plan'!$F$7:$F$156,"&lt;="&amp;X$35,'Project Plan'!$H$7:$H$156,"&gt;="&amp;X$35)</f>
        <v>1</v>
      </c>
      <c r="Y39" s="32" t="n">
        <f aca="false">COUNTIFS('Project Plan'!$O$7:$O$156,$A39,'Project Plan'!$F$7:$F$156,"&lt;="&amp;Y$35,'Project Plan'!$H$7:$H$156,"&gt;="&amp;Y$35)</f>
        <v>0</v>
      </c>
      <c r="Z39" s="32" t="n">
        <f aca="false">COUNTIFS('Project Plan'!$O$7:$O$156,$A39,'Project Plan'!$F$7:$F$156,"&lt;="&amp;Z$35,'Project Plan'!$H$7:$H$156,"&gt;="&amp;Z$35)</f>
        <v>0</v>
      </c>
      <c r="AA39" s="32" t="n">
        <f aca="false">COUNTIFS('Project Plan'!$O$7:$O$156,$A39,'Project Plan'!$F$7:$F$156,"&lt;="&amp;AA$35,'Project Plan'!$H$7:$H$156,"&gt;="&amp;AA$35)</f>
        <v>0</v>
      </c>
      <c r="AB39" s="32" t="n">
        <f aca="false">COUNTIFS('Project Plan'!$O$7:$O$156,$A39,'Project Plan'!$F$7:$F$156,"&lt;="&amp;AB$35,'Project Plan'!$H$7:$H$156,"&gt;="&amp;AB$35)</f>
        <v>0</v>
      </c>
      <c r="AC39" s="32" t="n">
        <f aca="false">COUNTIFS('Project Plan'!$O$7:$O$156,$A39,'Project Plan'!$F$7:$F$156,"&lt;="&amp;AC$35,'Project Plan'!$H$7:$H$156,"&gt;="&amp;AC$35)</f>
        <v>0</v>
      </c>
    </row>
    <row r="40" customFormat="false" ht="15" hidden="false" customHeight="false" outlineLevel="0" collapsed="false">
      <c r="A40" s="0" t="str">
        <f aca="false">A9</f>
        <v>BSE</v>
      </c>
      <c r="B40" s="0" t="n">
        <f aca="false">J9</f>
        <v>3</v>
      </c>
      <c r="C40" s="32" t="n">
        <f aca="false">COUNTIFS('Project Plan'!$O$7:$O$156,$A40,'Project Plan'!$F$7:$F$156,"&lt;="&amp;C$35,'Project Plan'!$H$7:$H$156,"&gt;="&amp;C$35)</f>
        <v>3</v>
      </c>
      <c r="D40" s="32" t="n">
        <f aca="false">COUNTIFS('Project Plan'!$O$7:$O$156,$A40,'Project Plan'!$F$7:$F$156,"&lt;="&amp;D$35,'Project Plan'!$H$7:$H$156,"&gt;="&amp;D$35)</f>
        <v>3</v>
      </c>
      <c r="E40" s="32" t="n">
        <f aca="false">COUNTIFS('Project Plan'!$O$7:$O$156,$A40,'Project Plan'!$F$7:$F$156,"&lt;="&amp;E$35,'Project Plan'!$H$7:$H$156,"&gt;="&amp;E$35)</f>
        <v>3</v>
      </c>
      <c r="F40" s="32" t="n">
        <f aca="false">COUNTIFS('Project Plan'!$O$7:$O$156,$A40,'Project Plan'!$F$7:$F$156,"&lt;="&amp;F$35,'Project Plan'!$H$7:$H$156,"&gt;="&amp;F$35)</f>
        <v>3</v>
      </c>
      <c r="G40" s="32" t="n">
        <f aca="false">COUNTIFS('Project Plan'!$O$7:$O$156,$A40,'Project Plan'!$F$7:$F$156,"&lt;="&amp;G$35,'Project Plan'!$H$7:$H$156,"&gt;="&amp;G$35)</f>
        <v>3</v>
      </c>
      <c r="H40" s="32" t="n">
        <f aca="false">COUNTIFS('Project Plan'!$O$7:$O$156,$A40,'Project Plan'!$F$7:$F$156,"&lt;="&amp;H$35,'Project Plan'!$H$7:$H$156,"&gt;="&amp;H$35)</f>
        <v>3</v>
      </c>
      <c r="I40" s="32" t="n">
        <f aca="false">COUNTIFS('Project Plan'!$O$7:$O$156,$A40,'Project Plan'!$F$7:$F$156,"&lt;="&amp;I$35,'Project Plan'!$H$7:$H$156,"&gt;="&amp;I$35)</f>
        <v>2</v>
      </c>
      <c r="J40" s="32" t="n">
        <f aca="false">COUNTIFS('Project Plan'!$O$7:$O$156,$A40,'Project Plan'!$F$7:$F$156,"&lt;="&amp;J$35,'Project Plan'!$H$7:$H$156,"&gt;="&amp;J$35)</f>
        <v>2</v>
      </c>
      <c r="K40" s="32" t="n">
        <f aca="false">COUNTIFS('Project Plan'!$O$7:$O$156,$A40,'Project Plan'!$F$7:$F$156,"&lt;="&amp;K$35,'Project Plan'!$H$7:$H$156,"&gt;="&amp;K$35)</f>
        <v>3</v>
      </c>
      <c r="L40" s="32" t="n">
        <f aca="false">COUNTIFS('Project Plan'!$O$7:$O$156,$A40,'Project Plan'!$F$7:$F$156,"&lt;="&amp;L$35,'Project Plan'!$H$7:$H$156,"&gt;="&amp;L$35)</f>
        <v>3</v>
      </c>
      <c r="M40" s="32" t="n">
        <f aca="false">COUNTIFS('Project Plan'!$O$7:$O$156,$A40,'Project Plan'!$F$7:$F$156,"&lt;="&amp;M$35,'Project Plan'!$H$7:$H$156,"&gt;="&amp;M$35)</f>
        <v>1</v>
      </c>
      <c r="N40" s="32" t="n">
        <f aca="false">COUNTIFS('Project Plan'!$O$7:$O$156,$A40,'Project Plan'!$F$7:$F$156,"&lt;="&amp;N$35,'Project Plan'!$H$7:$H$156,"&gt;="&amp;N$35)</f>
        <v>3</v>
      </c>
      <c r="O40" s="32" t="n">
        <f aca="false">COUNTIFS('Project Plan'!$O$7:$O$156,$A40,'Project Plan'!$F$7:$F$156,"&lt;="&amp;O$35,'Project Plan'!$H$7:$H$156,"&gt;="&amp;O$35)</f>
        <v>2</v>
      </c>
      <c r="P40" s="32" t="n">
        <f aca="false">COUNTIFS('Project Plan'!$O$7:$O$156,$A40,'Project Plan'!$F$7:$F$156,"&lt;="&amp;P$35,'Project Plan'!$H$7:$H$156,"&gt;="&amp;P$35)</f>
        <v>3</v>
      </c>
      <c r="Q40" s="32" t="n">
        <f aca="false">COUNTIFS('Project Plan'!$O$7:$O$156,$A40,'Project Plan'!$F$7:$F$156,"&lt;="&amp;Q$35,'Project Plan'!$H$7:$H$156,"&gt;="&amp;Q$35)</f>
        <v>2</v>
      </c>
      <c r="R40" s="32" t="n">
        <f aca="false">COUNTIFS('Project Plan'!$O$7:$O$156,$A40,'Project Plan'!$F$7:$F$156,"&lt;="&amp;R$35,'Project Plan'!$H$7:$H$156,"&gt;="&amp;R$35)</f>
        <v>3</v>
      </c>
      <c r="S40" s="32" t="n">
        <f aca="false">COUNTIFS('Project Plan'!$O$7:$O$156,$A40,'Project Plan'!$F$7:$F$156,"&lt;="&amp;S$35,'Project Plan'!$H$7:$H$156,"&gt;="&amp;S$35)</f>
        <v>2</v>
      </c>
      <c r="T40" s="32" t="n">
        <f aca="false">COUNTIFS('Project Plan'!$O$7:$O$156,$A40,'Project Plan'!$F$7:$F$156,"&lt;="&amp;T$35,'Project Plan'!$H$7:$H$156,"&gt;="&amp;T$35)</f>
        <v>1</v>
      </c>
      <c r="U40" s="32" t="n">
        <f aca="false">COUNTIFS('Project Plan'!$O$7:$O$156,$A40,'Project Plan'!$F$7:$F$156,"&lt;="&amp;U$35,'Project Plan'!$H$7:$H$156,"&gt;="&amp;U$35)</f>
        <v>0</v>
      </c>
      <c r="V40" s="32" t="n">
        <f aca="false">COUNTIFS('Project Plan'!$O$7:$O$156,$A40,'Project Plan'!$F$7:$F$156,"&lt;="&amp;V$35,'Project Plan'!$H$7:$H$156,"&gt;="&amp;V$35)</f>
        <v>0</v>
      </c>
      <c r="W40" s="32" t="n">
        <f aca="false">COUNTIFS('Project Plan'!$O$7:$O$156,$A40,'Project Plan'!$F$7:$F$156,"&lt;="&amp;W$35,'Project Plan'!$H$7:$H$156,"&gt;="&amp;W$35)</f>
        <v>1</v>
      </c>
      <c r="X40" s="32" t="n">
        <f aca="false">COUNTIFS('Project Plan'!$O$7:$O$156,$A40,'Project Plan'!$F$7:$F$156,"&lt;="&amp;X$35,'Project Plan'!$H$7:$H$156,"&gt;="&amp;X$35)</f>
        <v>1</v>
      </c>
      <c r="Y40" s="32" t="n">
        <f aca="false">COUNTIFS('Project Plan'!$O$7:$O$156,$A40,'Project Plan'!$F$7:$F$156,"&lt;="&amp;Y$35,'Project Plan'!$H$7:$H$156,"&gt;="&amp;Y$35)</f>
        <v>1</v>
      </c>
      <c r="Z40" s="32" t="n">
        <f aca="false">COUNTIFS('Project Plan'!$O$7:$O$156,$A40,'Project Plan'!$F$7:$F$156,"&lt;="&amp;Z$35,'Project Plan'!$H$7:$H$156,"&gt;="&amp;Z$35)</f>
        <v>1</v>
      </c>
      <c r="AA40" s="32" t="n">
        <f aca="false">COUNTIFS('Project Plan'!$O$7:$O$156,$A40,'Project Plan'!$F$7:$F$156,"&lt;="&amp;AA$35,'Project Plan'!$H$7:$H$156,"&gt;="&amp;AA$35)</f>
        <v>1</v>
      </c>
      <c r="AB40" s="32" t="n">
        <f aca="false">COUNTIFS('Project Plan'!$O$7:$O$156,$A40,'Project Plan'!$F$7:$F$156,"&lt;="&amp;AB$35,'Project Plan'!$H$7:$H$156,"&gt;="&amp;AB$35)</f>
        <v>0</v>
      </c>
      <c r="AC40" s="32" t="n">
        <f aca="false">COUNTIFS('Project Plan'!$O$7:$O$156,$A40,'Project Plan'!$F$7:$F$156,"&lt;="&amp;AC$35,'Project Plan'!$H$7:$H$156,"&gt;="&amp;AC$35)</f>
        <v>0</v>
      </c>
    </row>
    <row r="41" customFormat="false" ht="15" hidden="false" customHeight="false" outlineLevel="0" collapsed="false">
      <c r="A41" s="0" t="str">
        <f aca="false">A10</f>
        <v>KHE</v>
      </c>
      <c r="B41" s="0" t="n">
        <f aca="false">J10</f>
        <v>3</v>
      </c>
      <c r="C41" s="32" t="n">
        <f aca="false">COUNTIFS('Project Plan'!$O$7:$O$156,$A41,'Project Plan'!$F$7:$F$156,"&lt;="&amp;C$35,'Project Plan'!$H$7:$H$156,"&gt;="&amp;C$35)</f>
        <v>0</v>
      </c>
      <c r="D41" s="32" t="n">
        <f aca="false">COUNTIFS('Project Plan'!$O$7:$O$156,$A41,'Project Plan'!$F$7:$F$156,"&lt;="&amp;D$35,'Project Plan'!$H$7:$H$156,"&gt;="&amp;D$35)</f>
        <v>0</v>
      </c>
      <c r="E41" s="32" t="n">
        <f aca="false">COUNTIFS('Project Plan'!$O$7:$O$156,$A41,'Project Plan'!$F$7:$F$156,"&lt;="&amp;E$35,'Project Plan'!$H$7:$H$156,"&gt;="&amp;E$35)</f>
        <v>3</v>
      </c>
      <c r="F41" s="32" t="n">
        <f aca="false">COUNTIFS('Project Plan'!$O$7:$O$156,$A41,'Project Plan'!$F$7:$F$156,"&lt;="&amp;F$35,'Project Plan'!$H$7:$H$156,"&gt;="&amp;F$35)</f>
        <v>3</v>
      </c>
      <c r="G41" s="32" t="n">
        <f aca="false">COUNTIFS('Project Plan'!$O$7:$O$156,$A41,'Project Plan'!$F$7:$F$156,"&lt;="&amp;G$35,'Project Plan'!$H$7:$H$156,"&gt;="&amp;G$35)</f>
        <v>3</v>
      </c>
      <c r="H41" s="32" t="n">
        <f aca="false">COUNTIFS('Project Plan'!$O$7:$O$156,$A41,'Project Plan'!$F$7:$F$156,"&lt;="&amp;H$35,'Project Plan'!$H$7:$H$156,"&gt;="&amp;H$35)</f>
        <v>1</v>
      </c>
      <c r="I41" s="32" t="n">
        <f aca="false">COUNTIFS('Project Plan'!$O$7:$O$156,$A41,'Project Plan'!$F$7:$F$156,"&lt;="&amp;I$35,'Project Plan'!$H$7:$H$156,"&gt;="&amp;I$35)</f>
        <v>3</v>
      </c>
      <c r="J41" s="32" t="n">
        <f aca="false">COUNTIFS('Project Plan'!$O$7:$O$156,$A41,'Project Plan'!$F$7:$F$156,"&lt;="&amp;J$35,'Project Plan'!$H$7:$H$156,"&gt;="&amp;J$35)</f>
        <v>3</v>
      </c>
      <c r="K41" s="32" t="n">
        <f aca="false">COUNTIFS('Project Plan'!$O$7:$O$156,$A41,'Project Plan'!$F$7:$F$156,"&lt;="&amp;K$35,'Project Plan'!$H$7:$H$156,"&gt;="&amp;K$35)</f>
        <v>3</v>
      </c>
      <c r="L41" s="32" t="n">
        <f aca="false">COUNTIFS('Project Plan'!$O$7:$O$156,$A41,'Project Plan'!$F$7:$F$156,"&lt;="&amp;L$35,'Project Plan'!$H$7:$H$156,"&gt;="&amp;L$35)</f>
        <v>3</v>
      </c>
      <c r="M41" s="32" t="n">
        <f aca="false">COUNTIFS('Project Plan'!$O$7:$O$156,$A41,'Project Plan'!$F$7:$F$156,"&lt;="&amp;M$35,'Project Plan'!$H$7:$H$156,"&gt;="&amp;M$35)</f>
        <v>3</v>
      </c>
      <c r="N41" s="32" t="n">
        <f aca="false">COUNTIFS('Project Plan'!$O$7:$O$156,$A41,'Project Plan'!$F$7:$F$156,"&lt;="&amp;N$35,'Project Plan'!$H$7:$H$156,"&gt;="&amp;N$35)</f>
        <v>3</v>
      </c>
      <c r="O41" s="32" t="n">
        <f aca="false">COUNTIFS('Project Plan'!$O$7:$O$156,$A41,'Project Plan'!$F$7:$F$156,"&lt;="&amp;O$35,'Project Plan'!$H$7:$H$156,"&gt;="&amp;O$35)</f>
        <v>2</v>
      </c>
      <c r="P41" s="32" t="n">
        <f aca="false">COUNTIFS('Project Plan'!$O$7:$O$156,$A41,'Project Plan'!$F$7:$F$156,"&lt;="&amp;P$35,'Project Plan'!$H$7:$H$156,"&gt;="&amp;P$35)</f>
        <v>2</v>
      </c>
      <c r="Q41" s="32" t="n">
        <f aca="false">COUNTIFS('Project Plan'!$O$7:$O$156,$A41,'Project Plan'!$F$7:$F$156,"&lt;="&amp;Q$35,'Project Plan'!$H$7:$H$156,"&gt;="&amp;Q$35)</f>
        <v>2</v>
      </c>
      <c r="R41" s="32" t="n">
        <f aca="false">COUNTIFS('Project Plan'!$O$7:$O$156,$A41,'Project Plan'!$F$7:$F$156,"&lt;="&amp;R$35,'Project Plan'!$H$7:$H$156,"&gt;="&amp;R$35)</f>
        <v>2</v>
      </c>
      <c r="S41" s="32" t="n">
        <f aca="false">COUNTIFS('Project Plan'!$O$7:$O$156,$A41,'Project Plan'!$F$7:$F$156,"&lt;="&amp;S$35,'Project Plan'!$H$7:$H$156,"&gt;="&amp;S$35)</f>
        <v>3</v>
      </c>
      <c r="T41" s="32" t="n">
        <f aca="false">COUNTIFS('Project Plan'!$O$7:$O$156,$A41,'Project Plan'!$F$7:$F$156,"&lt;="&amp;T$35,'Project Plan'!$H$7:$H$156,"&gt;="&amp;T$35)</f>
        <v>3</v>
      </c>
      <c r="U41" s="32" t="n">
        <f aca="false">COUNTIFS('Project Plan'!$O$7:$O$156,$A41,'Project Plan'!$F$7:$F$156,"&lt;="&amp;U$35,'Project Plan'!$H$7:$H$156,"&gt;="&amp;U$35)</f>
        <v>2</v>
      </c>
      <c r="V41" s="32" t="n">
        <f aca="false">COUNTIFS('Project Plan'!$O$7:$O$156,$A41,'Project Plan'!$F$7:$F$156,"&lt;="&amp;V$35,'Project Plan'!$H$7:$H$156,"&gt;="&amp;V$35)</f>
        <v>1</v>
      </c>
      <c r="W41" s="32" t="n">
        <f aca="false">COUNTIFS('Project Plan'!$O$7:$O$156,$A41,'Project Plan'!$F$7:$F$156,"&lt;="&amp;W$35,'Project Plan'!$H$7:$H$156,"&gt;="&amp;W$35)</f>
        <v>0</v>
      </c>
      <c r="X41" s="32" t="n">
        <f aca="false">COUNTIFS('Project Plan'!$O$7:$O$156,$A41,'Project Plan'!$F$7:$F$156,"&lt;="&amp;X$35,'Project Plan'!$H$7:$H$156,"&gt;="&amp;X$35)</f>
        <v>0</v>
      </c>
      <c r="Y41" s="32" t="n">
        <f aca="false">COUNTIFS('Project Plan'!$O$7:$O$156,$A41,'Project Plan'!$F$7:$F$156,"&lt;="&amp;Y$35,'Project Plan'!$H$7:$H$156,"&gt;="&amp;Y$35)</f>
        <v>0</v>
      </c>
      <c r="Z41" s="32" t="n">
        <f aca="false">COUNTIFS('Project Plan'!$O$7:$O$156,$A41,'Project Plan'!$F$7:$F$156,"&lt;="&amp;Z$35,'Project Plan'!$H$7:$H$156,"&gt;="&amp;Z$35)</f>
        <v>0</v>
      </c>
      <c r="AA41" s="32" t="n">
        <f aca="false">COUNTIFS('Project Plan'!$O$7:$O$156,$A41,'Project Plan'!$F$7:$F$156,"&lt;="&amp;AA$35,'Project Plan'!$H$7:$H$156,"&gt;="&amp;AA$35)</f>
        <v>0</v>
      </c>
      <c r="AB41" s="32" t="n">
        <f aca="false">COUNTIFS('Project Plan'!$O$7:$O$156,$A41,'Project Plan'!$F$7:$F$156,"&lt;="&amp;AB$35,'Project Plan'!$H$7:$H$156,"&gt;="&amp;AB$35)</f>
        <v>0</v>
      </c>
      <c r="AC41" s="32" t="n">
        <f aca="false">COUNTIFS('Project Plan'!$O$7:$O$156,$A41,'Project Plan'!$F$7:$F$156,"&lt;="&amp;AC$35,'Project Plan'!$H$7:$H$156,"&gt;="&amp;AC$35)</f>
        <v>0</v>
      </c>
    </row>
    <row r="42" customFormat="false" ht="15" hidden="false" customHeight="false" outlineLevel="0" collapsed="false">
      <c r="A42" s="0" t="str">
        <f aca="false">A11</f>
        <v>CPE</v>
      </c>
      <c r="B42" s="0" t="n">
        <f aca="false">J11</f>
        <v>3</v>
      </c>
      <c r="C42" s="32" t="n">
        <f aca="false">COUNTIFS('Project Plan'!$O$7:$O$156,$A42,'Project Plan'!$F$7:$F$156,"&lt;="&amp;C$35,'Project Plan'!$H$7:$H$156,"&gt;="&amp;C$35)</f>
        <v>0</v>
      </c>
      <c r="D42" s="32" t="n">
        <f aca="false">COUNTIFS('Project Plan'!$O$7:$O$156,$A42,'Project Plan'!$F$7:$F$156,"&lt;="&amp;D$35,'Project Plan'!$H$7:$H$156,"&gt;="&amp;D$35)</f>
        <v>0</v>
      </c>
      <c r="E42" s="32" t="n">
        <f aca="false">COUNTIFS('Project Plan'!$O$7:$O$156,$A42,'Project Plan'!$F$7:$F$156,"&lt;="&amp;E$35,'Project Plan'!$H$7:$H$156,"&gt;="&amp;E$35)</f>
        <v>0</v>
      </c>
      <c r="F42" s="32" t="n">
        <f aca="false">COUNTIFS('Project Plan'!$O$7:$O$156,$A42,'Project Plan'!$F$7:$F$156,"&lt;="&amp;F$35,'Project Plan'!$H$7:$H$156,"&gt;="&amp;F$35)</f>
        <v>1</v>
      </c>
      <c r="G42" s="32" t="n">
        <f aca="false">COUNTIFS('Project Plan'!$O$7:$O$156,$A42,'Project Plan'!$F$7:$F$156,"&lt;="&amp;G$35,'Project Plan'!$H$7:$H$156,"&gt;="&amp;G$35)</f>
        <v>2</v>
      </c>
      <c r="H42" s="32" t="n">
        <f aca="false">COUNTIFS('Project Plan'!$O$7:$O$156,$A42,'Project Plan'!$F$7:$F$156,"&lt;="&amp;H$35,'Project Plan'!$H$7:$H$156,"&gt;="&amp;H$35)</f>
        <v>2</v>
      </c>
      <c r="I42" s="32" t="n">
        <f aca="false">COUNTIFS('Project Plan'!$O$7:$O$156,$A42,'Project Plan'!$F$7:$F$156,"&lt;="&amp;I$35,'Project Plan'!$H$7:$H$156,"&gt;="&amp;I$35)</f>
        <v>2</v>
      </c>
      <c r="J42" s="32" t="n">
        <f aca="false">COUNTIFS('Project Plan'!$O$7:$O$156,$A42,'Project Plan'!$F$7:$F$156,"&lt;="&amp;J$35,'Project Plan'!$H$7:$H$156,"&gt;="&amp;J$35)</f>
        <v>3</v>
      </c>
      <c r="K42" s="32" t="n">
        <f aca="false">COUNTIFS('Project Plan'!$O$7:$O$156,$A42,'Project Plan'!$F$7:$F$156,"&lt;="&amp;K$35,'Project Plan'!$H$7:$H$156,"&gt;="&amp;K$35)</f>
        <v>3</v>
      </c>
      <c r="L42" s="32" t="n">
        <f aca="false">COUNTIFS('Project Plan'!$O$7:$O$156,$A42,'Project Plan'!$F$7:$F$156,"&lt;="&amp;L$35,'Project Plan'!$H$7:$H$156,"&gt;="&amp;L$35)</f>
        <v>2</v>
      </c>
      <c r="M42" s="32" t="n">
        <f aca="false">COUNTIFS('Project Plan'!$O$7:$O$156,$A42,'Project Plan'!$F$7:$F$156,"&lt;="&amp;M$35,'Project Plan'!$H$7:$H$156,"&gt;="&amp;M$35)</f>
        <v>1</v>
      </c>
      <c r="N42" s="32" t="n">
        <f aca="false">COUNTIFS('Project Plan'!$O$7:$O$156,$A42,'Project Plan'!$F$7:$F$156,"&lt;="&amp;N$35,'Project Plan'!$H$7:$H$156,"&gt;="&amp;N$35)</f>
        <v>1</v>
      </c>
      <c r="O42" s="32" t="n">
        <f aca="false">COUNTIFS('Project Plan'!$O$7:$O$156,$A42,'Project Plan'!$F$7:$F$156,"&lt;="&amp;O$35,'Project Plan'!$H$7:$H$156,"&gt;="&amp;O$35)</f>
        <v>3</v>
      </c>
      <c r="P42" s="32" t="n">
        <f aca="false">COUNTIFS('Project Plan'!$O$7:$O$156,$A42,'Project Plan'!$F$7:$F$156,"&lt;="&amp;P$35,'Project Plan'!$H$7:$H$156,"&gt;="&amp;P$35)</f>
        <v>3</v>
      </c>
      <c r="Q42" s="32" t="n">
        <f aca="false">COUNTIFS('Project Plan'!$O$7:$O$156,$A42,'Project Plan'!$F$7:$F$156,"&lt;="&amp;Q$35,'Project Plan'!$H$7:$H$156,"&gt;="&amp;Q$35)</f>
        <v>3</v>
      </c>
      <c r="R42" s="32" t="n">
        <f aca="false">COUNTIFS('Project Plan'!$O$7:$O$156,$A42,'Project Plan'!$F$7:$F$156,"&lt;="&amp;R$35,'Project Plan'!$H$7:$H$156,"&gt;="&amp;R$35)</f>
        <v>3</v>
      </c>
      <c r="S42" s="32" t="n">
        <f aca="false">COUNTIFS('Project Plan'!$O$7:$O$156,$A42,'Project Plan'!$F$7:$F$156,"&lt;="&amp;S$35,'Project Plan'!$H$7:$H$156,"&gt;="&amp;S$35)</f>
        <v>2</v>
      </c>
      <c r="T42" s="32" t="n">
        <f aca="false">COUNTIFS('Project Plan'!$O$7:$O$156,$A42,'Project Plan'!$F$7:$F$156,"&lt;="&amp;T$35,'Project Plan'!$H$7:$H$156,"&gt;="&amp;T$35)</f>
        <v>1</v>
      </c>
      <c r="U42" s="32" t="n">
        <f aca="false">COUNTIFS('Project Plan'!$O$7:$O$156,$A42,'Project Plan'!$F$7:$F$156,"&lt;="&amp;U$35,'Project Plan'!$H$7:$H$156,"&gt;="&amp;U$35)</f>
        <v>0</v>
      </c>
      <c r="V42" s="32" t="n">
        <f aca="false">COUNTIFS('Project Plan'!$O$7:$O$156,$A42,'Project Plan'!$F$7:$F$156,"&lt;="&amp;V$35,'Project Plan'!$H$7:$H$156,"&gt;="&amp;V$35)</f>
        <v>0</v>
      </c>
      <c r="W42" s="32" t="n">
        <f aca="false">COUNTIFS('Project Plan'!$O$7:$O$156,$A42,'Project Plan'!$F$7:$F$156,"&lt;="&amp;W$35,'Project Plan'!$H$7:$H$156,"&gt;="&amp;W$35)</f>
        <v>0</v>
      </c>
      <c r="X42" s="32" t="n">
        <f aca="false">COUNTIFS('Project Plan'!$O$7:$O$156,$A42,'Project Plan'!$F$7:$F$156,"&lt;="&amp;X$35,'Project Plan'!$H$7:$H$156,"&gt;="&amp;X$35)</f>
        <v>0</v>
      </c>
      <c r="Y42" s="32" t="n">
        <f aca="false">COUNTIFS('Project Plan'!$O$7:$O$156,$A42,'Project Plan'!$F$7:$F$156,"&lt;="&amp;Y$35,'Project Plan'!$H$7:$H$156,"&gt;="&amp;Y$35)</f>
        <v>0</v>
      </c>
      <c r="Z42" s="32" t="n">
        <f aca="false">COUNTIFS('Project Plan'!$O$7:$O$156,$A42,'Project Plan'!$F$7:$F$156,"&lt;="&amp;Z$35,'Project Plan'!$H$7:$H$156,"&gt;="&amp;Z$35)</f>
        <v>0</v>
      </c>
      <c r="AA42" s="32" t="n">
        <f aca="false">COUNTIFS('Project Plan'!$O$7:$O$156,$A42,'Project Plan'!$F$7:$F$156,"&lt;="&amp;AA$35,'Project Plan'!$H$7:$H$156,"&gt;="&amp;AA$35)</f>
        <v>0</v>
      </c>
      <c r="AB42" s="32" t="n">
        <f aca="false">COUNTIFS('Project Plan'!$O$7:$O$156,$A42,'Project Plan'!$F$7:$F$156,"&lt;="&amp;AB$35,'Project Plan'!$H$7:$H$156,"&gt;="&amp;AB$35)</f>
        <v>0</v>
      </c>
      <c r="AC42" s="32" t="n">
        <f aca="false">COUNTIFS('Project Plan'!$O$7:$O$156,$A42,'Project Plan'!$F$7:$F$156,"&lt;="&amp;AC$35,'Project Plan'!$H$7:$H$156,"&gt;="&amp;AC$35)</f>
        <v>0</v>
      </c>
    </row>
    <row r="43" customFormat="false" ht="15" hidden="false" customHeight="false" outlineLevel="0" collapsed="false">
      <c r="A43" s="0" t="str">
        <f aca="false">A12</f>
        <v>DET</v>
      </c>
      <c r="B43" s="0" t="n">
        <f aca="false">J12</f>
        <v>3</v>
      </c>
      <c r="C43" s="32" t="n">
        <f aca="false">COUNTIFS('Project Plan'!$O$7:$O$156,$A43,'Project Plan'!$F$7:$F$156,"&lt;="&amp;C$35,'Project Plan'!$H$7:$H$156,"&gt;="&amp;C$35)</f>
        <v>0</v>
      </c>
      <c r="D43" s="32" t="n">
        <f aca="false">COUNTIFS('Project Plan'!$O$7:$O$156,$A43,'Project Plan'!$F$7:$F$156,"&lt;="&amp;D$35,'Project Plan'!$H$7:$H$156,"&gt;="&amp;D$35)</f>
        <v>0</v>
      </c>
      <c r="E43" s="32" t="n">
        <f aca="false">COUNTIFS('Project Plan'!$O$7:$O$156,$A43,'Project Plan'!$F$7:$F$156,"&lt;="&amp;E$35,'Project Plan'!$H$7:$H$156,"&gt;="&amp;E$35)</f>
        <v>0</v>
      </c>
      <c r="F43" s="32" t="n">
        <f aca="false">COUNTIFS('Project Plan'!$O$7:$O$156,$A43,'Project Plan'!$F$7:$F$156,"&lt;="&amp;F$35,'Project Plan'!$H$7:$H$156,"&gt;="&amp;F$35)</f>
        <v>0</v>
      </c>
      <c r="G43" s="32" t="n">
        <f aca="false">COUNTIFS('Project Plan'!$O$7:$O$156,$A43,'Project Plan'!$F$7:$F$156,"&lt;="&amp;G$35,'Project Plan'!$H$7:$H$156,"&gt;="&amp;G$35)</f>
        <v>0</v>
      </c>
      <c r="H43" s="32" t="n">
        <f aca="false">COUNTIFS('Project Plan'!$O$7:$O$156,$A43,'Project Plan'!$F$7:$F$156,"&lt;="&amp;H$35,'Project Plan'!$H$7:$H$156,"&gt;="&amp;H$35)</f>
        <v>0</v>
      </c>
      <c r="I43" s="32" t="n">
        <f aca="false">COUNTIFS('Project Plan'!$O$7:$O$156,$A43,'Project Plan'!$F$7:$F$156,"&lt;="&amp;I$35,'Project Plan'!$H$7:$H$156,"&gt;="&amp;I$35)</f>
        <v>1</v>
      </c>
      <c r="J43" s="32" t="n">
        <f aca="false">COUNTIFS('Project Plan'!$O$7:$O$156,$A43,'Project Plan'!$F$7:$F$156,"&lt;="&amp;J$35,'Project Plan'!$H$7:$H$156,"&gt;="&amp;J$35)</f>
        <v>2</v>
      </c>
      <c r="K43" s="32" t="n">
        <f aca="false">COUNTIFS('Project Plan'!$O$7:$O$156,$A43,'Project Plan'!$F$7:$F$156,"&lt;="&amp;K$35,'Project Plan'!$H$7:$H$156,"&gt;="&amp;K$35)</f>
        <v>2</v>
      </c>
      <c r="L43" s="32" t="n">
        <f aca="false">COUNTIFS('Project Plan'!$O$7:$O$156,$A43,'Project Plan'!$F$7:$F$156,"&lt;="&amp;L$35,'Project Plan'!$H$7:$H$156,"&gt;="&amp;L$35)</f>
        <v>2</v>
      </c>
      <c r="M43" s="32" t="n">
        <f aca="false">COUNTIFS('Project Plan'!$O$7:$O$156,$A43,'Project Plan'!$F$7:$F$156,"&lt;="&amp;M$35,'Project Plan'!$H$7:$H$156,"&gt;="&amp;M$35)</f>
        <v>3</v>
      </c>
      <c r="N43" s="32" t="n">
        <f aca="false">COUNTIFS('Project Plan'!$O$7:$O$156,$A43,'Project Plan'!$F$7:$F$156,"&lt;="&amp;N$35,'Project Plan'!$H$7:$H$156,"&gt;="&amp;N$35)</f>
        <v>3</v>
      </c>
      <c r="O43" s="32" t="n">
        <f aca="false">COUNTIFS('Project Plan'!$O$7:$O$156,$A43,'Project Plan'!$F$7:$F$156,"&lt;="&amp;O$35,'Project Plan'!$H$7:$H$156,"&gt;="&amp;O$35)</f>
        <v>2</v>
      </c>
      <c r="P43" s="32" t="n">
        <f aca="false">COUNTIFS('Project Plan'!$O$7:$O$156,$A43,'Project Plan'!$F$7:$F$156,"&lt;="&amp;P$35,'Project Plan'!$H$7:$H$156,"&gt;="&amp;P$35)</f>
        <v>2</v>
      </c>
      <c r="Q43" s="32" t="n">
        <f aca="false">COUNTIFS('Project Plan'!$O$7:$O$156,$A43,'Project Plan'!$F$7:$F$156,"&lt;="&amp;Q$35,'Project Plan'!$H$7:$H$156,"&gt;="&amp;Q$35)</f>
        <v>2</v>
      </c>
      <c r="R43" s="32" t="n">
        <f aca="false">COUNTIFS('Project Plan'!$O$7:$O$156,$A43,'Project Plan'!$F$7:$F$156,"&lt;="&amp;R$35,'Project Plan'!$H$7:$H$156,"&gt;="&amp;R$35)</f>
        <v>2</v>
      </c>
      <c r="S43" s="32" t="n">
        <f aca="false">COUNTIFS('Project Plan'!$O$7:$O$156,$A43,'Project Plan'!$F$7:$F$156,"&lt;="&amp;S$35,'Project Plan'!$H$7:$H$156,"&gt;="&amp;S$35)</f>
        <v>2</v>
      </c>
      <c r="T43" s="32" t="n">
        <f aca="false">COUNTIFS('Project Plan'!$O$7:$O$156,$A43,'Project Plan'!$F$7:$F$156,"&lt;="&amp;T$35,'Project Plan'!$H$7:$H$156,"&gt;="&amp;T$35)</f>
        <v>1</v>
      </c>
      <c r="U43" s="32" t="n">
        <f aca="false">COUNTIFS('Project Plan'!$O$7:$O$156,$A43,'Project Plan'!$F$7:$F$156,"&lt;="&amp;U$35,'Project Plan'!$H$7:$H$156,"&gt;="&amp;U$35)</f>
        <v>1</v>
      </c>
      <c r="V43" s="32" t="n">
        <f aca="false">COUNTIFS('Project Plan'!$O$7:$O$156,$A43,'Project Plan'!$F$7:$F$156,"&lt;="&amp;V$35,'Project Plan'!$H$7:$H$156,"&gt;="&amp;V$35)</f>
        <v>0</v>
      </c>
      <c r="W43" s="32" t="n">
        <f aca="false">COUNTIFS('Project Plan'!$O$7:$O$156,$A43,'Project Plan'!$F$7:$F$156,"&lt;="&amp;W$35,'Project Plan'!$H$7:$H$156,"&gt;="&amp;W$35)</f>
        <v>0</v>
      </c>
      <c r="X43" s="32" t="n">
        <f aca="false">COUNTIFS('Project Plan'!$O$7:$O$156,$A43,'Project Plan'!$F$7:$F$156,"&lt;="&amp;X$35,'Project Plan'!$H$7:$H$156,"&gt;="&amp;X$35)</f>
        <v>0</v>
      </c>
      <c r="Y43" s="32" t="n">
        <f aca="false">COUNTIFS('Project Plan'!$O$7:$O$156,$A43,'Project Plan'!$F$7:$F$156,"&lt;="&amp;Y$35,'Project Plan'!$H$7:$H$156,"&gt;="&amp;Y$35)</f>
        <v>0</v>
      </c>
      <c r="Z43" s="32" t="n">
        <f aca="false">COUNTIFS('Project Plan'!$O$7:$O$156,$A43,'Project Plan'!$F$7:$F$156,"&lt;="&amp;Z$35,'Project Plan'!$H$7:$H$156,"&gt;="&amp;Z$35)</f>
        <v>0</v>
      </c>
      <c r="AA43" s="32" t="n">
        <f aca="false">COUNTIFS('Project Plan'!$O$7:$O$156,$A43,'Project Plan'!$F$7:$F$156,"&lt;="&amp;AA$35,'Project Plan'!$H$7:$H$156,"&gt;="&amp;AA$35)</f>
        <v>0</v>
      </c>
      <c r="AB43" s="32" t="n">
        <f aca="false">COUNTIFS('Project Plan'!$O$7:$O$156,$A43,'Project Plan'!$F$7:$F$156,"&lt;="&amp;AB$35,'Project Plan'!$H$7:$H$156,"&gt;="&amp;AB$35)</f>
        <v>0</v>
      </c>
      <c r="AC43" s="32" t="n">
        <f aca="false">COUNTIFS('Project Plan'!$O$7:$O$156,$A43,'Project Plan'!$F$7:$F$156,"&lt;="&amp;AC$35,'Project Plan'!$H$7:$H$156,"&gt;="&amp;AC$35)</f>
        <v>0</v>
      </c>
    </row>
    <row r="44" customFormat="false" ht="15" hidden="false" customHeight="false" outlineLevel="0" collapsed="false">
      <c r="A44" s="0" t="str">
        <f aca="false">A13</f>
        <v>IDC</v>
      </c>
      <c r="B44" s="0" t="n">
        <f aca="false">J13</f>
        <v>2</v>
      </c>
      <c r="C44" s="32" t="n">
        <f aca="false">COUNTIFS('Project Plan'!$O$7:$O$156,$A44,'Project Plan'!$F$7:$F$156,"&lt;="&amp;C$35,'Project Plan'!$H$7:$H$156,"&gt;="&amp;C$35)</f>
        <v>0</v>
      </c>
      <c r="D44" s="32" t="n">
        <f aca="false">COUNTIFS('Project Plan'!$O$7:$O$156,$A44,'Project Plan'!$F$7:$F$156,"&lt;="&amp;D$35,'Project Plan'!$H$7:$H$156,"&gt;="&amp;D$35)</f>
        <v>0</v>
      </c>
      <c r="E44" s="32" t="n">
        <f aca="false">COUNTIFS('Project Plan'!$O$7:$O$156,$A44,'Project Plan'!$F$7:$F$156,"&lt;="&amp;E$35,'Project Plan'!$H$7:$H$156,"&gt;="&amp;E$35)</f>
        <v>0</v>
      </c>
      <c r="F44" s="32" t="n">
        <f aca="false">COUNTIFS('Project Plan'!$O$7:$O$156,$A44,'Project Plan'!$F$7:$F$156,"&lt;="&amp;F$35,'Project Plan'!$H$7:$H$156,"&gt;="&amp;F$35)</f>
        <v>1</v>
      </c>
      <c r="G44" s="32" t="n">
        <f aca="false">COUNTIFS('Project Plan'!$O$7:$O$156,$A44,'Project Plan'!$F$7:$F$156,"&lt;="&amp;G$35,'Project Plan'!$H$7:$H$156,"&gt;="&amp;G$35)</f>
        <v>2</v>
      </c>
      <c r="H44" s="32" t="n">
        <f aca="false">COUNTIFS('Project Plan'!$O$7:$O$156,$A44,'Project Plan'!$F$7:$F$156,"&lt;="&amp;H$35,'Project Plan'!$H$7:$H$156,"&gt;="&amp;H$35)</f>
        <v>2</v>
      </c>
      <c r="I44" s="32" t="n">
        <f aca="false">COUNTIFS('Project Plan'!$O$7:$O$156,$A44,'Project Plan'!$F$7:$F$156,"&lt;="&amp;I$35,'Project Plan'!$H$7:$H$156,"&gt;="&amp;I$35)</f>
        <v>1</v>
      </c>
      <c r="J44" s="32" t="n">
        <f aca="false">COUNTIFS('Project Plan'!$O$7:$O$156,$A44,'Project Plan'!$F$7:$F$156,"&lt;="&amp;J$35,'Project Plan'!$H$7:$H$156,"&gt;="&amp;J$35)</f>
        <v>2</v>
      </c>
      <c r="K44" s="32" t="n">
        <f aca="false">COUNTIFS('Project Plan'!$O$7:$O$156,$A44,'Project Plan'!$F$7:$F$156,"&lt;="&amp;K$35,'Project Plan'!$H$7:$H$156,"&gt;="&amp;K$35)</f>
        <v>1</v>
      </c>
      <c r="L44" s="32" t="n">
        <f aca="false">COUNTIFS('Project Plan'!$O$7:$O$156,$A44,'Project Plan'!$F$7:$F$156,"&lt;="&amp;L$35,'Project Plan'!$H$7:$H$156,"&gt;="&amp;L$35)</f>
        <v>2</v>
      </c>
      <c r="M44" s="32" t="n">
        <f aca="false">COUNTIFS('Project Plan'!$O$7:$O$156,$A44,'Project Plan'!$F$7:$F$156,"&lt;="&amp;M$35,'Project Plan'!$H$7:$H$156,"&gt;="&amp;M$35)</f>
        <v>2</v>
      </c>
      <c r="N44" s="32" t="n">
        <f aca="false">COUNTIFS('Project Plan'!$O$7:$O$156,$A44,'Project Plan'!$F$7:$F$156,"&lt;="&amp;N$35,'Project Plan'!$H$7:$H$156,"&gt;="&amp;N$35)</f>
        <v>2</v>
      </c>
      <c r="O44" s="32" t="n">
        <f aca="false">COUNTIFS('Project Plan'!$O$7:$O$156,$A44,'Project Plan'!$F$7:$F$156,"&lt;="&amp;O$35,'Project Plan'!$H$7:$H$156,"&gt;="&amp;O$35)</f>
        <v>2</v>
      </c>
      <c r="P44" s="32" t="n">
        <f aca="false">COUNTIFS('Project Plan'!$O$7:$O$156,$A44,'Project Plan'!$F$7:$F$156,"&lt;="&amp;P$35,'Project Plan'!$H$7:$H$156,"&gt;="&amp;P$35)</f>
        <v>2</v>
      </c>
      <c r="Q44" s="32" t="n">
        <f aca="false">COUNTIFS('Project Plan'!$O$7:$O$156,$A44,'Project Plan'!$F$7:$F$156,"&lt;="&amp;Q$35,'Project Plan'!$H$7:$H$156,"&gt;="&amp;Q$35)</f>
        <v>2</v>
      </c>
      <c r="R44" s="32" t="n">
        <f aca="false">COUNTIFS('Project Plan'!$O$7:$O$156,$A44,'Project Plan'!$F$7:$F$156,"&lt;="&amp;R$35,'Project Plan'!$H$7:$H$156,"&gt;="&amp;R$35)</f>
        <v>2</v>
      </c>
      <c r="S44" s="32" t="n">
        <f aca="false">COUNTIFS('Project Plan'!$O$7:$O$156,$A44,'Project Plan'!$F$7:$F$156,"&lt;="&amp;S$35,'Project Plan'!$H$7:$H$156,"&gt;="&amp;S$35)</f>
        <v>2</v>
      </c>
      <c r="T44" s="32" t="n">
        <f aca="false">COUNTIFS('Project Plan'!$O$7:$O$156,$A44,'Project Plan'!$F$7:$F$156,"&lt;="&amp;T$35,'Project Plan'!$H$7:$H$156,"&gt;="&amp;T$35)</f>
        <v>2</v>
      </c>
      <c r="U44" s="32" t="n">
        <f aca="false">COUNTIFS('Project Plan'!$O$7:$O$156,$A44,'Project Plan'!$F$7:$F$156,"&lt;="&amp;U$35,'Project Plan'!$H$7:$H$156,"&gt;="&amp;U$35)</f>
        <v>2</v>
      </c>
      <c r="V44" s="32" t="n">
        <f aca="false">COUNTIFS('Project Plan'!$O$7:$O$156,$A44,'Project Plan'!$F$7:$F$156,"&lt;="&amp;V$35,'Project Plan'!$H$7:$H$156,"&gt;="&amp;V$35)</f>
        <v>0</v>
      </c>
      <c r="W44" s="32" t="n">
        <f aca="false">COUNTIFS('Project Plan'!$O$7:$O$156,$A44,'Project Plan'!$F$7:$F$156,"&lt;="&amp;W$35,'Project Plan'!$H$7:$H$156,"&gt;="&amp;W$35)</f>
        <v>0</v>
      </c>
      <c r="X44" s="32" t="n">
        <f aca="false">COUNTIFS('Project Plan'!$O$7:$O$156,$A44,'Project Plan'!$F$7:$F$156,"&lt;="&amp;X$35,'Project Plan'!$H$7:$H$156,"&gt;="&amp;X$35)</f>
        <v>0</v>
      </c>
      <c r="Y44" s="32" t="n">
        <f aca="false">COUNTIFS('Project Plan'!$O$7:$O$156,$A44,'Project Plan'!$F$7:$F$156,"&lt;="&amp;Y$35,'Project Plan'!$H$7:$H$156,"&gt;="&amp;Y$35)</f>
        <v>0</v>
      </c>
      <c r="Z44" s="32" t="n">
        <f aca="false">COUNTIFS('Project Plan'!$O$7:$O$156,$A44,'Project Plan'!$F$7:$F$156,"&lt;="&amp;Z$35,'Project Plan'!$H$7:$H$156,"&gt;="&amp;Z$35)</f>
        <v>0</v>
      </c>
      <c r="AA44" s="32" t="n">
        <f aca="false">COUNTIFS('Project Plan'!$O$7:$O$156,$A44,'Project Plan'!$F$7:$F$156,"&lt;="&amp;AA$35,'Project Plan'!$H$7:$H$156,"&gt;="&amp;AA$35)</f>
        <v>0</v>
      </c>
      <c r="AB44" s="32" t="n">
        <f aca="false">COUNTIFS('Project Plan'!$O$7:$O$156,$A44,'Project Plan'!$F$7:$F$156,"&lt;="&amp;AB$35,'Project Plan'!$H$7:$H$156,"&gt;="&amp;AB$35)</f>
        <v>0</v>
      </c>
      <c r="AC44" s="32" t="n">
        <f aca="false">COUNTIFS('Project Plan'!$O$7:$O$156,$A44,'Project Plan'!$F$7:$F$156,"&lt;="&amp;AC$35,'Project Plan'!$H$7:$H$156,"&gt;="&amp;AC$35)</f>
        <v>0</v>
      </c>
    </row>
    <row r="45" customFormat="false" ht="15" hidden="false" customHeight="false" outlineLevel="0" collapsed="false">
      <c r="A45" s="0" t="str">
        <f aca="false">A14</f>
        <v>CSO</v>
      </c>
      <c r="B45" s="0" t="n">
        <f aca="false">J14</f>
        <v>3</v>
      </c>
      <c r="C45" s="32" t="n">
        <f aca="false">COUNTIFS('Project Plan'!$O$7:$O$156,$A45,'Project Plan'!$F$7:$F$156,"&lt;="&amp;C$35,'Project Plan'!$H$7:$H$156,"&gt;="&amp;C$35)</f>
        <v>0</v>
      </c>
      <c r="D45" s="32" t="n">
        <f aca="false">COUNTIFS('Project Plan'!$O$7:$O$156,$A45,'Project Plan'!$F$7:$F$156,"&lt;="&amp;D$35,'Project Plan'!$H$7:$H$156,"&gt;="&amp;D$35)</f>
        <v>0</v>
      </c>
      <c r="E45" s="32" t="n">
        <f aca="false">COUNTIFS('Project Plan'!$O$7:$O$156,$A45,'Project Plan'!$F$7:$F$156,"&lt;="&amp;E$35,'Project Plan'!$H$7:$H$156,"&gt;="&amp;E$35)</f>
        <v>0</v>
      </c>
      <c r="F45" s="32" t="n">
        <f aca="false">COUNTIFS('Project Plan'!$O$7:$O$156,$A45,'Project Plan'!$F$7:$F$156,"&lt;="&amp;F$35,'Project Plan'!$H$7:$H$156,"&gt;="&amp;F$35)</f>
        <v>0</v>
      </c>
      <c r="G45" s="32" t="n">
        <f aca="false">COUNTIFS('Project Plan'!$O$7:$O$156,$A45,'Project Plan'!$F$7:$F$156,"&lt;="&amp;G$35,'Project Plan'!$H$7:$H$156,"&gt;="&amp;G$35)</f>
        <v>0</v>
      </c>
      <c r="H45" s="32" t="n">
        <f aca="false">COUNTIFS('Project Plan'!$O$7:$O$156,$A45,'Project Plan'!$F$7:$F$156,"&lt;="&amp;H$35,'Project Plan'!$H$7:$H$156,"&gt;="&amp;H$35)</f>
        <v>1</v>
      </c>
      <c r="I45" s="32" t="n">
        <f aca="false">COUNTIFS('Project Plan'!$O$7:$O$156,$A45,'Project Plan'!$F$7:$F$156,"&lt;="&amp;I$35,'Project Plan'!$H$7:$H$156,"&gt;="&amp;I$35)</f>
        <v>2</v>
      </c>
      <c r="J45" s="32" t="n">
        <f aca="false">COUNTIFS('Project Plan'!$O$7:$O$156,$A45,'Project Plan'!$F$7:$F$156,"&lt;="&amp;J$35,'Project Plan'!$H$7:$H$156,"&gt;="&amp;J$35)</f>
        <v>2</v>
      </c>
      <c r="K45" s="32" t="n">
        <f aca="false">COUNTIFS('Project Plan'!$O$7:$O$156,$A45,'Project Plan'!$F$7:$F$156,"&lt;="&amp;K$35,'Project Plan'!$H$7:$H$156,"&gt;="&amp;K$35)</f>
        <v>2</v>
      </c>
      <c r="L45" s="32" t="n">
        <f aca="false">COUNTIFS('Project Plan'!$O$7:$O$156,$A45,'Project Plan'!$F$7:$F$156,"&lt;="&amp;L$35,'Project Plan'!$H$7:$H$156,"&gt;="&amp;L$35)</f>
        <v>1</v>
      </c>
      <c r="M45" s="32" t="n">
        <f aca="false">COUNTIFS('Project Plan'!$O$7:$O$156,$A45,'Project Plan'!$F$7:$F$156,"&lt;="&amp;M$35,'Project Plan'!$H$7:$H$156,"&gt;="&amp;M$35)</f>
        <v>1</v>
      </c>
      <c r="N45" s="32" t="n">
        <f aca="false">COUNTIFS('Project Plan'!$O$7:$O$156,$A45,'Project Plan'!$F$7:$F$156,"&lt;="&amp;N$35,'Project Plan'!$H$7:$H$156,"&gt;="&amp;N$35)</f>
        <v>2</v>
      </c>
      <c r="O45" s="32" t="n">
        <f aca="false">COUNTIFS('Project Plan'!$O$7:$O$156,$A45,'Project Plan'!$F$7:$F$156,"&lt;="&amp;O$35,'Project Plan'!$H$7:$H$156,"&gt;="&amp;O$35)</f>
        <v>3</v>
      </c>
      <c r="P45" s="32" t="n">
        <f aca="false">COUNTIFS('Project Plan'!$O$7:$O$156,$A45,'Project Plan'!$F$7:$F$156,"&lt;="&amp;P$35,'Project Plan'!$H$7:$H$156,"&gt;="&amp;P$35)</f>
        <v>3</v>
      </c>
      <c r="Q45" s="32" t="n">
        <f aca="false">COUNTIFS('Project Plan'!$O$7:$O$156,$A45,'Project Plan'!$F$7:$F$156,"&lt;="&amp;Q$35,'Project Plan'!$H$7:$H$156,"&gt;="&amp;Q$35)</f>
        <v>2</v>
      </c>
      <c r="R45" s="32" t="n">
        <f aca="false">COUNTIFS('Project Plan'!$O$7:$O$156,$A45,'Project Plan'!$F$7:$F$156,"&lt;="&amp;R$35,'Project Plan'!$H$7:$H$156,"&gt;="&amp;R$35)</f>
        <v>1</v>
      </c>
      <c r="S45" s="32" t="n">
        <f aca="false">COUNTIFS('Project Plan'!$O$7:$O$156,$A45,'Project Plan'!$F$7:$F$156,"&lt;="&amp;S$35,'Project Plan'!$H$7:$H$156,"&gt;="&amp;S$35)</f>
        <v>1</v>
      </c>
      <c r="T45" s="32" t="n">
        <f aca="false">COUNTIFS('Project Plan'!$O$7:$O$156,$A45,'Project Plan'!$F$7:$F$156,"&lt;="&amp;T$35,'Project Plan'!$H$7:$H$156,"&gt;="&amp;T$35)</f>
        <v>1</v>
      </c>
      <c r="U45" s="32" t="n">
        <f aca="false">COUNTIFS('Project Plan'!$O$7:$O$156,$A45,'Project Plan'!$F$7:$F$156,"&lt;="&amp;U$35,'Project Plan'!$H$7:$H$156,"&gt;="&amp;U$35)</f>
        <v>1</v>
      </c>
      <c r="V45" s="32" t="n">
        <f aca="false">COUNTIFS('Project Plan'!$O$7:$O$156,$A45,'Project Plan'!$F$7:$F$156,"&lt;="&amp;V$35,'Project Plan'!$H$7:$H$156,"&gt;="&amp;V$35)</f>
        <v>1</v>
      </c>
      <c r="W45" s="32" t="n">
        <f aca="false">COUNTIFS('Project Plan'!$O$7:$O$156,$A45,'Project Plan'!$F$7:$F$156,"&lt;="&amp;W$35,'Project Plan'!$H$7:$H$156,"&gt;="&amp;W$35)</f>
        <v>0</v>
      </c>
      <c r="X45" s="32" t="n">
        <f aca="false">COUNTIFS('Project Plan'!$O$7:$O$156,$A45,'Project Plan'!$F$7:$F$156,"&lt;="&amp;X$35,'Project Plan'!$H$7:$H$156,"&gt;="&amp;X$35)</f>
        <v>0</v>
      </c>
      <c r="Y45" s="32" t="n">
        <f aca="false">COUNTIFS('Project Plan'!$O$7:$O$156,$A45,'Project Plan'!$F$7:$F$156,"&lt;="&amp;Y$35,'Project Plan'!$H$7:$H$156,"&gt;="&amp;Y$35)</f>
        <v>0</v>
      </c>
      <c r="Z45" s="32" t="n">
        <f aca="false">COUNTIFS('Project Plan'!$O$7:$O$156,$A45,'Project Plan'!$F$7:$F$156,"&lt;="&amp;Z$35,'Project Plan'!$H$7:$H$156,"&gt;="&amp;Z$35)</f>
        <v>0</v>
      </c>
      <c r="AA45" s="32" t="n">
        <f aca="false">COUNTIFS('Project Plan'!$O$7:$O$156,$A45,'Project Plan'!$F$7:$F$156,"&lt;="&amp;AA$35,'Project Plan'!$H$7:$H$156,"&gt;="&amp;AA$35)</f>
        <v>0</v>
      </c>
      <c r="AB45" s="32" t="n">
        <f aca="false">COUNTIFS('Project Plan'!$O$7:$O$156,$A45,'Project Plan'!$F$7:$F$156,"&lt;="&amp;AB$35,'Project Plan'!$H$7:$H$156,"&gt;="&amp;AB$35)</f>
        <v>0</v>
      </c>
      <c r="AC45" s="32" t="n">
        <f aca="false">COUNTIFS('Project Plan'!$O$7:$O$156,$A45,'Project Plan'!$F$7:$F$156,"&lt;="&amp;AC$35,'Project Plan'!$H$7:$H$156,"&gt;="&amp;AC$35)</f>
        <v>0</v>
      </c>
    </row>
    <row r="46" customFormat="false" ht="15" hidden="false" customHeight="false" outlineLevel="0" collapsed="false">
      <c r="A46" s="0" t="str">
        <f aca="false">A15</f>
        <v>BSC</v>
      </c>
      <c r="B46" s="0" t="n">
        <f aca="false">J15</f>
        <v>2</v>
      </c>
      <c r="C46" s="32" t="n">
        <f aca="false">COUNTIFS('Project Plan'!$O$7:$O$156,$A46,'Project Plan'!$F$7:$F$156,"&lt;="&amp;C$35,'Project Plan'!$H$7:$H$156,"&gt;="&amp;C$35)</f>
        <v>0</v>
      </c>
      <c r="D46" s="32" t="n">
        <f aca="false">COUNTIFS('Project Plan'!$O$7:$O$156,$A46,'Project Plan'!$F$7:$F$156,"&lt;="&amp;D$35,'Project Plan'!$H$7:$H$156,"&gt;="&amp;D$35)</f>
        <v>0</v>
      </c>
      <c r="E46" s="32" t="n">
        <f aca="false">COUNTIFS('Project Plan'!$O$7:$O$156,$A46,'Project Plan'!$F$7:$F$156,"&lt;="&amp;E$35,'Project Plan'!$H$7:$H$156,"&gt;="&amp;E$35)</f>
        <v>0</v>
      </c>
      <c r="F46" s="32" t="n">
        <f aca="false">COUNTIFS('Project Plan'!$O$7:$O$156,$A46,'Project Plan'!$F$7:$F$156,"&lt;="&amp;F$35,'Project Plan'!$H$7:$H$156,"&gt;="&amp;F$35)</f>
        <v>0</v>
      </c>
      <c r="G46" s="32" t="n">
        <f aca="false">COUNTIFS('Project Plan'!$O$7:$O$156,$A46,'Project Plan'!$F$7:$F$156,"&lt;="&amp;G$35,'Project Plan'!$H$7:$H$156,"&gt;="&amp;G$35)</f>
        <v>0</v>
      </c>
      <c r="H46" s="32" t="n">
        <f aca="false">COUNTIFS('Project Plan'!$O$7:$O$156,$A46,'Project Plan'!$F$7:$F$156,"&lt;="&amp;H$35,'Project Plan'!$H$7:$H$156,"&gt;="&amp;H$35)</f>
        <v>1</v>
      </c>
      <c r="I46" s="32" t="n">
        <f aca="false">COUNTIFS('Project Plan'!$O$7:$O$156,$A46,'Project Plan'!$F$7:$F$156,"&lt;="&amp;I$35,'Project Plan'!$H$7:$H$156,"&gt;="&amp;I$35)</f>
        <v>2</v>
      </c>
      <c r="J46" s="32" t="n">
        <f aca="false">COUNTIFS('Project Plan'!$O$7:$O$156,$A46,'Project Plan'!$F$7:$F$156,"&lt;="&amp;J$35,'Project Plan'!$H$7:$H$156,"&gt;="&amp;J$35)</f>
        <v>2</v>
      </c>
      <c r="K46" s="32" t="n">
        <f aca="false">COUNTIFS('Project Plan'!$O$7:$O$156,$A46,'Project Plan'!$F$7:$F$156,"&lt;="&amp;K$35,'Project Plan'!$H$7:$H$156,"&gt;="&amp;K$35)</f>
        <v>1</v>
      </c>
      <c r="L46" s="32" t="n">
        <f aca="false">COUNTIFS('Project Plan'!$O$7:$O$156,$A46,'Project Plan'!$F$7:$F$156,"&lt;="&amp;L$35,'Project Plan'!$H$7:$H$156,"&gt;="&amp;L$35)</f>
        <v>1</v>
      </c>
      <c r="M46" s="32" t="n">
        <f aca="false">COUNTIFS('Project Plan'!$O$7:$O$156,$A46,'Project Plan'!$F$7:$F$156,"&lt;="&amp;M$35,'Project Plan'!$H$7:$H$156,"&gt;="&amp;M$35)</f>
        <v>2</v>
      </c>
      <c r="N46" s="32" t="n">
        <f aca="false">COUNTIFS('Project Plan'!$O$7:$O$156,$A46,'Project Plan'!$F$7:$F$156,"&lt;="&amp;N$35,'Project Plan'!$H$7:$H$156,"&gt;="&amp;N$35)</f>
        <v>2</v>
      </c>
      <c r="O46" s="32" t="n">
        <f aca="false">COUNTIFS('Project Plan'!$O$7:$O$156,$A46,'Project Plan'!$F$7:$F$156,"&lt;="&amp;O$35,'Project Plan'!$H$7:$H$156,"&gt;="&amp;O$35)</f>
        <v>2</v>
      </c>
      <c r="P46" s="32" t="n">
        <f aca="false">COUNTIFS('Project Plan'!$O$7:$O$156,$A46,'Project Plan'!$F$7:$F$156,"&lt;="&amp;P$35,'Project Plan'!$H$7:$H$156,"&gt;="&amp;P$35)</f>
        <v>2</v>
      </c>
      <c r="Q46" s="32" t="n">
        <f aca="false">COUNTIFS('Project Plan'!$O$7:$O$156,$A46,'Project Plan'!$F$7:$F$156,"&lt;="&amp;Q$35,'Project Plan'!$H$7:$H$156,"&gt;="&amp;Q$35)</f>
        <v>1</v>
      </c>
      <c r="R46" s="32" t="n">
        <f aca="false">COUNTIFS('Project Plan'!$O$7:$O$156,$A46,'Project Plan'!$F$7:$F$156,"&lt;="&amp;R$35,'Project Plan'!$H$7:$H$156,"&gt;="&amp;R$35)</f>
        <v>1</v>
      </c>
      <c r="S46" s="32" t="n">
        <f aca="false">COUNTIFS('Project Plan'!$O$7:$O$156,$A46,'Project Plan'!$F$7:$F$156,"&lt;="&amp;S$35,'Project Plan'!$H$7:$H$156,"&gt;="&amp;S$35)</f>
        <v>1</v>
      </c>
      <c r="T46" s="32" t="n">
        <f aca="false">COUNTIFS('Project Plan'!$O$7:$O$156,$A46,'Project Plan'!$F$7:$F$156,"&lt;="&amp;T$35,'Project Plan'!$H$7:$H$156,"&gt;="&amp;T$35)</f>
        <v>2</v>
      </c>
      <c r="U46" s="32" t="n">
        <f aca="false">COUNTIFS('Project Plan'!$O$7:$O$156,$A46,'Project Plan'!$F$7:$F$156,"&lt;="&amp;U$35,'Project Plan'!$H$7:$H$156,"&gt;="&amp;U$35)</f>
        <v>1</v>
      </c>
      <c r="V46" s="32" t="n">
        <f aca="false">COUNTIFS('Project Plan'!$O$7:$O$156,$A46,'Project Plan'!$F$7:$F$156,"&lt;="&amp;V$35,'Project Plan'!$H$7:$H$156,"&gt;="&amp;V$35)</f>
        <v>0</v>
      </c>
      <c r="W46" s="32" t="n">
        <f aca="false">COUNTIFS('Project Plan'!$O$7:$O$156,$A46,'Project Plan'!$F$7:$F$156,"&lt;="&amp;W$35,'Project Plan'!$H$7:$H$156,"&gt;="&amp;W$35)</f>
        <v>0</v>
      </c>
      <c r="X46" s="32" t="n">
        <f aca="false">COUNTIFS('Project Plan'!$O$7:$O$156,$A46,'Project Plan'!$F$7:$F$156,"&lt;="&amp;X$35,'Project Plan'!$H$7:$H$156,"&gt;="&amp;X$35)</f>
        <v>0</v>
      </c>
      <c r="Y46" s="32" t="n">
        <f aca="false">COUNTIFS('Project Plan'!$O$7:$O$156,$A46,'Project Plan'!$F$7:$F$156,"&lt;="&amp;Y$35,'Project Plan'!$H$7:$H$156,"&gt;="&amp;Y$35)</f>
        <v>0</v>
      </c>
      <c r="Z46" s="32" t="n">
        <f aca="false">COUNTIFS('Project Plan'!$O$7:$O$156,$A46,'Project Plan'!$F$7:$F$156,"&lt;="&amp;Z$35,'Project Plan'!$H$7:$H$156,"&gt;="&amp;Z$35)</f>
        <v>0</v>
      </c>
      <c r="AA46" s="32" t="n">
        <f aca="false">COUNTIFS('Project Plan'!$O$7:$O$156,$A46,'Project Plan'!$F$7:$F$156,"&lt;="&amp;AA$35,'Project Plan'!$H$7:$H$156,"&gt;="&amp;AA$35)</f>
        <v>0</v>
      </c>
      <c r="AB46" s="32" t="n">
        <f aca="false">COUNTIFS('Project Plan'!$O$7:$O$156,$A46,'Project Plan'!$F$7:$F$156,"&lt;="&amp;AB$35,'Project Plan'!$H$7:$H$156,"&gt;="&amp;AB$35)</f>
        <v>0</v>
      </c>
      <c r="AC46" s="32" t="n">
        <f aca="false">COUNTIFS('Project Plan'!$O$7:$O$156,$A46,'Project Plan'!$F$7:$F$156,"&lt;="&amp;AC$35,'Project Plan'!$H$7:$H$156,"&gt;="&amp;AC$35)</f>
        <v>0</v>
      </c>
    </row>
    <row r="47" customFormat="false" ht="15" hidden="false" customHeight="false" outlineLevel="0" collapsed="false">
      <c r="A47" s="0" t="str">
        <f aca="false">A16</f>
        <v>GRCC</v>
      </c>
      <c r="B47" s="0" t="n">
        <f aca="false">J16</f>
        <v>3</v>
      </c>
      <c r="C47" s="32" t="n">
        <f aca="false">COUNTIFS('Project Plan'!$O$7:$O$156,$A47,'Project Plan'!$F$7:$F$156,"&lt;="&amp;C$35,'Project Plan'!$H$7:$H$156,"&gt;="&amp;C$35)</f>
        <v>0</v>
      </c>
      <c r="D47" s="32" t="n">
        <f aca="false">COUNTIFS('Project Plan'!$O$7:$O$156,$A47,'Project Plan'!$F$7:$F$156,"&lt;="&amp;D$35,'Project Plan'!$H$7:$H$156,"&gt;="&amp;D$35)</f>
        <v>0</v>
      </c>
      <c r="E47" s="32" t="n">
        <f aca="false">COUNTIFS('Project Plan'!$O$7:$O$156,$A47,'Project Plan'!$F$7:$F$156,"&lt;="&amp;E$35,'Project Plan'!$H$7:$H$156,"&gt;="&amp;E$35)</f>
        <v>0</v>
      </c>
      <c r="F47" s="32" t="n">
        <f aca="false">COUNTIFS('Project Plan'!$O$7:$O$156,$A47,'Project Plan'!$F$7:$F$156,"&lt;="&amp;F$35,'Project Plan'!$H$7:$H$156,"&gt;="&amp;F$35)</f>
        <v>1</v>
      </c>
      <c r="G47" s="32" t="n">
        <f aca="false">COUNTIFS('Project Plan'!$O$7:$O$156,$A47,'Project Plan'!$F$7:$F$156,"&lt;="&amp;G$35,'Project Plan'!$H$7:$H$156,"&gt;="&amp;G$35)</f>
        <v>2</v>
      </c>
      <c r="H47" s="32" t="n">
        <f aca="false">COUNTIFS('Project Plan'!$O$7:$O$156,$A47,'Project Plan'!$F$7:$F$156,"&lt;="&amp;H$35,'Project Plan'!$H$7:$H$156,"&gt;="&amp;H$35)</f>
        <v>2</v>
      </c>
      <c r="I47" s="32" t="n">
        <f aca="false">COUNTIFS('Project Plan'!$O$7:$O$156,$A47,'Project Plan'!$F$7:$F$156,"&lt;="&amp;I$35,'Project Plan'!$H$7:$H$156,"&gt;="&amp;I$35)</f>
        <v>3</v>
      </c>
      <c r="J47" s="32" t="n">
        <f aca="false">COUNTIFS('Project Plan'!$O$7:$O$156,$A47,'Project Plan'!$F$7:$F$156,"&lt;="&amp;J$35,'Project Plan'!$H$7:$H$156,"&gt;="&amp;J$35)</f>
        <v>3</v>
      </c>
      <c r="K47" s="32" t="n">
        <f aca="false">COUNTIFS('Project Plan'!$O$7:$O$156,$A47,'Project Plan'!$F$7:$F$156,"&lt;="&amp;K$35,'Project Plan'!$H$7:$H$156,"&gt;="&amp;K$35)</f>
        <v>3</v>
      </c>
      <c r="L47" s="32" t="n">
        <f aca="false">COUNTIFS('Project Plan'!$O$7:$O$156,$A47,'Project Plan'!$F$7:$F$156,"&lt;="&amp;L$35,'Project Plan'!$H$7:$H$156,"&gt;="&amp;L$35)</f>
        <v>2</v>
      </c>
      <c r="M47" s="32" t="n">
        <f aca="false">COUNTIFS('Project Plan'!$O$7:$O$156,$A47,'Project Plan'!$F$7:$F$156,"&lt;="&amp;M$35,'Project Plan'!$H$7:$H$156,"&gt;="&amp;M$35)</f>
        <v>1</v>
      </c>
      <c r="N47" s="32" t="n">
        <f aca="false">COUNTIFS('Project Plan'!$O$7:$O$156,$A47,'Project Plan'!$F$7:$F$156,"&lt;="&amp;N$35,'Project Plan'!$H$7:$H$156,"&gt;="&amp;N$35)</f>
        <v>1</v>
      </c>
      <c r="O47" s="32" t="n">
        <f aca="false">COUNTIFS('Project Plan'!$O$7:$O$156,$A47,'Project Plan'!$F$7:$F$156,"&lt;="&amp;O$35,'Project Plan'!$H$7:$H$156,"&gt;="&amp;O$35)</f>
        <v>0</v>
      </c>
      <c r="P47" s="32" t="n">
        <f aca="false">COUNTIFS('Project Plan'!$O$7:$O$156,$A47,'Project Plan'!$F$7:$F$156,"&lt;="&amp;P$35,'Project Plan'!$H$7:$H$156,"&gt;="&amp;P$35)</f>
        <v>0</v>
      </c>
      <c r="Q47" s="32" t="n">
        <f aca="false">COUNTIFS('Project Plan'!$O$7:$O$156,$A47,'Project Plan'!$F$7:$F$156,"&lt;="&amp;Q$35,'Project Plan'!$H$7:$H$156,"&gt;="&amp;Q$35)</f>
        <v>0</v>
      </c>
      <c r="R47" s="32" t="n">
        <f aca="false">COUNTIFS('Project Plan'!$O$7:$O$156,$A47,'Project Plan'!$F$7:$F$156,"&lt;="&amp;R$35,'Project Plan'!$H$7:$H$156,"&gt;="&amp;R$35)</f>
        <v>0</v>
      </c>
      <c r="S47" s="32" t="n">
        <f aca="false">COUNTIFS('Project Plan'!$O$7:$O$156,$A47,'Project Plan'!$F$7:$F$156,"&lt;="&amp;S$35,'Project Plan'!$H$7:$H$156,"&gt;="&amp;S$35)</f>
        <v>0</v>
      </c>
      <c r="T47" s="32" t="n">
        <f aca="false">COUNTIFS('Project Plan'!$O$7:$O$156,$A47,'Project Plan'!$F$7:$F$156,"&lt;="&amp;T$35,'Project Plan'!$H$7:$H$156,"&gt;="&amp;T$35)</f>
        <v>0</v>
      </c>
      <c r="U47" s="32" t="n">
        <f aca="false">COUNTIFS('Project Plan'!$O$7:$O$156,$A47,'Project Plan'!$F$7:$F$156,"&lt;="&amp;U$35,'Project Plan'!$H$7:$H$156,"&gt;="&amp;U$35)</f>
        <v>0</v>
      </c>
      <c r="V47" s="32" t="n">
        <f aca="false">COUNTIFS('Project Plan'!$O$7:$O$156,$A47,'Project Plan'!$F$7:$F$156,"&lt;="&amp;V$35,'Project Plan'!$H$7:$H$156,"&gt;="&amp;V$35)</f>
        <v>0</v>
      </c>
      <c r="W47" s="32" t="n">
        <f aca="false">COUNTIFS('Project Plan'!$O$7:$O$156,$A47,'Project Plan'!$F$7:$F$156,"&lt;="&amp;W$35,'Project Plan'!$H$7:$H$156,"&gt;="&amp;W$35)</f>
        <v>0</v>
      </c>
      <c r="X47" s="32" t="n">
        <f aca="false">COUNTIFS('Project Plan'!$O$7:$O$156,$A47,'Project Plan'!$F$7:$F$156,"&lt;="&amp;X$35,'Project Plan'!$H$7:$H$156,"&gt;="&amp;X$35)</f>
        <v>0</v>
      </c>
      <c r="Y47" s="32" t="n">
        <f aca="false">COUNTIFS('Project Plan'!$O$7:$O$156,$A47,'Project Plan'!$F$7:$F$156,"&lt;="&amp;Y$35,'Project Plan'!$H$7:$H$156,"&gt;="&amp;Y$35)</f>
        <v>0</v>
      </c>
      <c r="Z47" s="32" t="n">
        <f aca="false">COUNTIFS('Project Plan'!$O$7:$O$156,$A47,'Project Plan'!$F$7:$F$156,"&lt;="&amp;Z$35,'Project Plan'!$H$7:$H$156,"&gt;="&amp;Z$35)</f>
        <v>0</v>
      </c>
      <c r="AA47" s="32" t="n">
        <f aca="false">COUNTIFS('Project Plan'!$O$7:$O$156,$A47,'Project Plan'!$F$7:$F$156,"&lt;="&amp;AA$35,'Project Plan'!$H$7:$H$156,"&gt;="&amp;AA$35)</f>
        <v>0</v>
      </c>
      <c r="AB47" s="32" t="n">
        <f aca="false">COUNTIFS('Project Plan'!$O$7:$O$156,$A47,'Project Plan'!$F$7:$F$156,"&lt;="&amp;AB$35,'Project Plan'!$H$7:$H$156,"&gt;="&amp;AB$35)</f>
        <v>0</v>
      </c>
      <c r="AC47" s="32" t="n">
        <f aca="false">COUNTIFS('Project Plan'!$O$7:$O$156,$A47,'Project Plan'!$F$7:$F$156,"&lt;="&amp;AC$35,'Project Plan'!$H$7:$H$156,"&gt;="&amp;AC$35)</f>
        <v>0</v>
      </c>
    </row>
    <row r="48" customFormat="false" ht="15" hidden="false" customHeight="false" outlineLevel="0" collapsed="false">
      <c r="A48" s="0" t="str">
        <f aca="false">A17</f>
        <v>PMC</v>
      </c>
      <c r="B48" s="0" t="n">
        <f aca="false">J17</f>
        <v>2</v>
      </c>
      <c r="C48" s="32" t="n">
        <f aca="false">COUNTIFS('Project Plan'!$O$7:$O$156,$A48,'Project Plan'!$F$7:$F$156,"&lt;="&amp;C$35,'Project Plan'!$H$7:$H$156,"&gt;="&amp;C$35)</f>
        <v>0</v>
      </c>
      <c r="D48" s="32" t="n">
        <f aca="false">COUNTIFS('Project Plan'!$O$7:$O$156,$A48,'Project Plan'!$F$7:$F$156,"&lt;="&amp;D$35,'Project Plan'!$H$7:$H$156,"&gt;="&amp;D$35)</f>
        <v>0</v>
      </c>
      <c r="E48" s="32" t="n">
        <f aca="false">COUNTIFS('Project Plan'!$O$7:$O$156,$A48,'Project Plan'!$F$7:$F$156,"&lt;="&amp;E$35,'Project Plan'!$H$7:$H$156,"&gt;="&amp;E$35)</f>
        <v>1</v>
      </c>
      <c r="F48" s="32" t="n">
        <f aca="false">COUNTIFS('Project Plan'!$O$7:$O$156,$A48,'Project Plan'!$F$7:$F$156,"&lt;="&amp;F$35,'Project Plan'!$H$7:$H$156,"&gt;="&amp;F$35)</f>
        <v>1</v>
      </c>
      <c r="G48" s="32" t="n">
        <f aca="false">COUNTIFS('Project Plan'!$O$7:$O$156,$A48,'Project Plan'!$F$7:$F$156,"&lt;="&amp;G$35,'Project Plan'!$H$7:$H$156,"&gt;="&amp;G$35)</f>
        <v>1</v>
      </c>
      <c r="H48" s="32" t="n">
        <f aca="false">COUNTIFS('Project Plan'!$O$7:$O$156,$A48,'Project Plan'!$F$7:$F$156,"&lt;="&amp;H$35,'Project Plan'!$H$7:$H$156,"&gt;="&amp;H$35)</f>
        <v>1</v>
      </c>
      <c r="I48" s="32" t="n">
        <f aca="false">COUNTIFS('Project Plan'!$O$7:$O$156,$A48,'Project Plan'!$F$7:$F$156,"&lt;="&amp;I$35,'Project Plan'!$H$7:$H$156,"&gt;="&amp;I$35)</f>
        <v>1</v>
      </c>
      <c r="J48" s="32" t="n">
        <f aca="false">COUNTIFS('Project Plan'!$O$7:$O$156,$A48,'Project Plan'!$F$7:$F$156,"&lt;="&amp;J$35,'Project Plan'!$H$7:$H$156,"&gt;="&amp;J$35)</f>
        <v>0</v>
      </c>
      <c r="K48" s="32" t="n">
        <f aca="false">COUNTIFS('Project Plan'!$O$7:$O$156,$A48,'Project Plan'!$F$7:$F$156,"&lt;="&amp;K$35,'Project Plan'!$H$7:$H$156,"&gt;="&amp;K$35)</f>
        <v>0</v>
      </c>
      <c r="L48" s="32" t="n">
        <f aca="false">COUNTIFS('Project Plan'!$O$7:$O$156,$A48,'Project Plan'!$F$7:$F$156,"&lt;="&amp;L$35,'Project Plan'!$H$7:$H$156,"&gt;="&amp;L$35)</f>
        <v>0</v>
      </c>
      <c r="M48" s="32" t="n">
        <f aca="false">COUNTIFS('Project Plan'!$O$7:$O$156,$A48,'Project Plan'!$F$7:$F$156,"&lt;="&amp;M$35,'Project Plan'!$H$7:$H$156,"&gt;="&amp;M$35)</f>
        <v>0</v>
      </c>
      <c r="N48" s="32" t="n">
        <f aca="false">COUNTIFS('Project Plan'!$O$7:$O$156,$A48,'Project Plan'!$F$7:$F$156,"&lt;="&amp;N$35,'Project Plan'!$H$7:$H$156,"&gt;="&amp;N$35)</f>
        <v>0</v>
      </c>
      <c r="O48" s="32" t="n">
        <f aca="false">COUNTIFS('Project Plan'!$O$7:$O$156,$A48,'Project Plan'!$F$7:$F$156,"&lt;="&amp;O$35,'Project Plan'!$H$7:$H$156,"&gt;="&amp;O$35)</f>
        <v>0</v>
      </c>
      <c r="P48" s="32" t="n">
        <f aca="false">COUNTIFS('Project Plan'!$O$7:$O$156,$A48,'Project Plan'!$F$7:$F$156,"&lt;="&amp;P$35,'Project Plan'!$H$7:$H$156,"&gt;="&amp;P$35)</f>
        <v>0</v>
      </c>
      <c r="Q48" s="32" t="n">
        <f aca="false">COUNTIFS('Project Plan'!$O$7:$O$156,$A48,'Project Plan'!$F$7:$F$156,"&lt;="&amp;Q$35,'Project Plan'!$H$7:$H$156,"&gt;="&amp;Q$35)</f>
        <v>0</v>
      </c>
      <c r="R48" s="32" t="n">
        <f aca="false">COUNTIFS('Project Plan'!$O$7:$O$156,$A48,'Project Plan'!$F$7:$F$156,"&lt;="&amp;R$35,'Project Plan'!$H$7:$H$156,"&gt;="&amp;R$35)</f>
        <v>0</v>
      </c>
      <c r="S48" s="32" t="n">
        <f aca="false">COUNTIFS('Project Plan'!$O$7:$O$156,$A48,'Project Plan'!$F$7:$F$156,"&lt;="&amp;S$35,'Project Plan'!$H$7:$H$156,"&gt;="&amp;S$35)</f>
        <v>0</v>
      </c>
      <c r="T48" s="32" t="n">
        <f aca="false">COUNTIFS('Project Plan'!$O$7:$O$156,$A48,'Project Plan'!$F$7:$F$156,"&lt;="&amp;T$35,'Project Plan'!$H$7:$H$156,"&gt;="&amp;T$35)</f>
        <v>0</v>
      </c>
      <c r="U48" s="32" t="n">
        <f aca="false">COUNTIFS('Project Plan'!$O$7:$O$156,$A48,'Project Plan'!$F$7:$F$156,"&lt;="&amp;U$35,'Project Plan'!$H$7:$H$156,"&gt;="&amp;U$35)</f>
        <v>0</v>
      </c>
      <c r="V48" s="32" t="n">
        <f aca="false">COUNTIFS('Project Plan'!$O$7:$O$156,$A48,'Project Plan'!$F$7:$F$156,"&lt;="&amp;V$35,'Project Plan'!$H$7:$H$156,"&gt;="&amp;V$35)</f>
        <v>0</v>
      </c>
      <c r="W48" s="32" t="n">
        <f aca="false">COUNTIFS('Project Plan'!$O$7:$O$156,$A48,'Project Plan'!$F$7:$F$156,"&lt;="&amp;W$35,'Project Plan'!$H$7:$H$156,"&gt;="&amp;W$35)</f>
        <v>0</v>
      </c>
      <c r="X48" s="32" t="n">
        <f aca="false">COUNTIFS('Project Plan'!$O$7:$O$156,$A48,'Project Plan'!$F$7:$F$156,"&lt;="&amp;X$35,'Project Plan'!$H$7:$H$156,"&gt;="&amp;X$35)</f>
        <v>1</v>
      </c>
      <c r="Y48" s="32" t="n">
        <f aca="false">COUNTIFS('Project Plan'!$O$7:$O$156,$A48,'Project Plan'!$F$7:$F$156,"&lt;="&amp;Y$35,'Project Plan'!$H$7:$H$156,"&gt;="&amp;Y$35)</f>
        <v>1</v>
      </c>
      <c r="Z48" s="32" t="n">
        <f aca="false">COUNTIFS('Project Plan'!$O$7:$O$156,$A48,'Project Plan'!$F$7:$F$156,"&lt;="&amp;Z$35,'Project Plan'!$H$7:$H$156,"&gt;="&amp;Z$35)</f>
        <v>0</v>
      </c>
      <c r="AA48" s="32" t="n">
        <f aca="false">COUNTIFS('Project Plan'!$O$7:$O$156,$A48,'Project Plan'!$F$7:$F$156,"&lt;="&amp;AA$35,'Project Plan'!$H$7:$H$156,"&gt;="&amp;AA$35)</f>
        <v>0</v>
      </c>
      <c r="AB48" s="32" t="n">
        <f aca="false">COUNTIFS('Project Plan'!$O$7:$O$156,$A48,'Project Plan'!$F$7:$F$156,"&lt;="&amp;AB$35,'Project Plan'!$H$7:$H$156,"&gt;="&amp;AB$35)</f>
        <v>0</v>
      </c>
      <c r="AC48" s="32" t="n">
        <f aca="false">COUNTIFS('Project Plan'!$O$7:$O$156,$A48,'Project Plan'!$F$7:$F$156,"&lt;="&amp;AC$35,'Project Plan'!$H$7:$H$156,"&gt;="&amp;AC$35)</f>
        <v>0</v>
      </c>
    </row>
    <row r="49" customFormat="false" ht="15" hidden="false" customHeight="false" outlineLevel="0" collapsed="false">
      <c r="A49" s="0" t="str">
        <f aca="false">A18</f>
        <v>SCA</v>
      </c>
      <c r="B49" s="0" t="n">
        <f aca="false">J18</f>
        <v>1</v>
      </c>
      <c r="C49" s="32" t="n">
        <f aca="false">COUNTIFS('Project Plan'!$O$7:$O$156,$A49,'Project Plan'!$F$7:$F$156,"&lt;="&amp;C$35,'Project Plan'!$H$7:$H$156,"&gt;="&amp;C$35)</f>
        <v>0</v>
      </c>
      <c r="D49" s="32" t="n">
        <f aca="false">COUNTIFS('Project Plan'!$O$7:$O$156,$A49,'Project Plan'!$F$7:$F$156,"&lt;="&amp;D$35,'Project Plan'!$H$7:$H$156,"&gt;="&amp;D$35)</f>
        <v>0</v>
      </c>
      <c r="E49" s="32" t="n">
        <f aca="false">COUNTIFS('Project Plan'!$O$7:$O$156,$A49,'Project Plan'!$F$7:$F$156,"&lt;="&amp;E$35,'Project Plan'!$H$7:$H$156,"&gt;="&amp;E$35)</f>
        <v>0</v>
      </c>
      <c r="F49" s="32" t="n">
        <f aca="false">COUNTIFS('Project Plan'!$O$7:$O$156,$A49,'Project Plan'!$F$7:$F$156,"&lt;="&amp;F$35,'Project Plan'!$H$7:$H$156,"&gt;="&amp;F$35)</f>
        <v>0</v>
      </c>
      <c r="G49" s="32" t="n">
        <f aca="false">COUNTIFS('Project Plan'!$O$7:$O$156,$A49,'Project Plan'!$F$7:$F$156,"&lt;="&amp;G$35,'Project Plan'!$H$7:$H$156,"&gt;="&amp;G$35)</f>
        <v>0</v>
      </c>
      <c r="H49" s="32" t="n">
        <f aca="false">COUNTIFS('Project Plan'!$O$7:$O$156,$A49,'Project Plan'!$F$7:$F$156,"&lt;="&amp;H$35,'Project Plan'!$H$7:$H$156,"&gt;="&amp;H$35)</f>
        <v>0</v>
      </c>
      <c r="I49" s="32" t="n">
        <f aca="false">COUNTIFS('Project Plan'!$O$7:$O$156,$A49,'Project Plan'!$F$7:$F$156,"&lt;="&amp;I$35,'Project Plan'!$H$7:$H$156,"&gt;="&amp;I$35)</f>
        <v>0</v>
      </c>
      <c r="J49" s="32" t="n">
        <f aca="false">COUNTIFS('Project Plan'!$O$7:$O$156,$A49,'Project Plan'!$F$7:$F$156,"&lt;="&amp;J$35,'Project Plan'!$H$7:$H$156,"&gt;="&amp;J$35)</f>
        <v>0</v>
      </c>
      <c r="K49" s="32" t="n">
        <f aca="false">COUNTIFS('Project Plan'!$O$7:$O$156,$A49,'Project Plan'!$F$7:$F$156,"&lt;="&amp;K$35,'Project Plan'!$H$7:$H$156,"&gt;="&amp;K$35)</f>
        <v>0</v>
      </c>
      <c r="L49" s="32" t="n">
        <f aca="false">COUNTIFS('Project Plan'!$O$7:$O$156,$A49,'Project Plan'!$F$7:$F$156,"&lt;="&amp;L$35,'Project Plan'!$H$7:$H$156,"&gt;="&amp;L$35)</f>
        <v>0</v>
      </c>
      <c r="M49" s="32" t="n">
        <f aca="false">COUNTIFS('Project Plan'!$O$7:$O$156,$A49,'Project Plan'!$F$7:$F$156,"&lt;="&amp;M$35,'Project Plan'!$H$7:$H$156,"&gt;="&amp;M$35)</f>
        <v>0</v>
      </c>
      <c r="N49" s="32" t="n">
        <f aca="false">COUNTIFS('Project Plan'!$O$7:$O$156,$A49,'Project Plan'!$F$7:$F$156,"&lt;="&amp;N$35,'Project Plan'!$H$7:$H$156,"&gt;="&amp;N$35)</f>
        <v>0</v>
      </c>
      <c r="O49" s="32" t="n">
        <f aca="false">COUNTIFS('Project Plan'!$O$7:$O$156,$A49,'Project Plan'!$F$7:$F$156,"&lt;="&amp;O$35,'Project Plan'!$H$7:$H$156,"&gt;="&amp;O$35)</f>
        <v>0</v>
      </c>
      <c r="P49" s="32" t="n">
        <f aca="false">COUNTIFS('Project Plan'!$O$7:$O$156,$A49,'Project Plan'!$F$7:$F$156,"&lt;="&amp;P$35,'Project Plan'!$H$7:$H$156,"&gt;="&amp;P$35)</f>
        <v>0</v>
      </c>
      <c r="Q49" s="32" t="n">
        <f aca="false">COUNTIFS('Project Plan'!$O$7:$O$156,$A49,'Project Plan'!$F$7:$F$156,"&lt;="&amp;Q$35,'Project Plan'!$H$7:$H$156,"&gt;="&amp;Q$35)</f>
        <v>0</v>
      </c>
      <c r="R49" s="32" t="n">
        <f aca="false">COUNTIFS('Project Plan'!$O$7:$O$156,$A49,'Project Plan'!$F$7:$F$156,"&lt;="&amp;R$35,'Project Plan'!$H$7:$H$156,"&gt;="&amp;R$35)</f>
        <v>0</v>
      </c>
      <c r="S49" s="32" t="n">
        <f aca="false">COUNTIFS('Project Plan'!$O$7:$O$156,$A49,'Project Plan'!$F$7:$F$156,"&lt;="&amp;S$35,'Project Plan'!$H$7:$H$156,"&gt;="&amp;S$35)</f>
        <v>1</v>
      </c>
      <c r="T49" s="32" t="n">
        <f aca="false">COUNTIFS('Project Plan'!$O$7:$O$156,$A49,'Project Plan'!$F$7:$F$156,"&lt;="&amp;T$35,'Project Plan'!$H$7:$H$156,"&gt;="&amp;T$35)</f>
        <v>1</v>
      </c>
      <c r="U49" s="32" t="n">
        <f aca="false">COUNTIFS('Project Plan'!$O$7:$O$156,$A49,'Project Plan'!$F$7:$F$156,"&lt;="&amp;U$35,'Project Plan'!$H$7:$H$156,"&gt;="&amp;U$35)</f>
        <v>1</v>
      </c>
      <c r="V49" s="32" t="n">
        <f aca="false">COUNTIFS('Project Plan'!$O$7:$O$156,$A49,'Project Plan'!$F$7:$F$156,"&lt;="&amp;V$35,'Project Plan'!$H$7:$H$156,"&gt;="&amp;V$35)</f>
        <v>1</v>
      </c>
      <c r="W49" s="32" t="n">
        <f aca="false">COUNTIFS('Project Plan'!$O$7:$O$156,$A49,'Project Plan'!$F$7:$F$156,"&lt;="&amp;W$35,'Project Plan'!$H$7:$H$156,"&gt;="&amp;W$35)</f>
        <v>0</v>
      </c>
      <c r="X49" s="32" t="n">
        <f aca="false">COUNTIFS('Project Plan'!$O$7:$O$156,$A49,'Project Plan'!$F$7:$F$156,"&lt;="&amp;X$35,'Project Plan'!$H$7:$H$156,"&gt;="&amp;X$35)</f>
        <v>0</v>
      </c>
      <c r="Y49" s="32" t="n">
        <f aca="false">COUNTIFS('Project Plan'!$O$7:$O$156,$A49,'Project Plan'!$F$7:$F$156,"&lt;="&amp;Y$35,'Project Plan'!$H$7:$H$156,"&gt;="&amp;Y$35)</f>
        <v>0</v>
      </c>
      <c r="Z49" s="32" t="n">
        <f aca="false">COUNTIFS('Project Plan'!$O$7:$O$156,$A49,'Project Plan'!$F$7:$F$156,"&lt;="&amp;Z$35,'Project Plan'!$H$7:$H$156,"&gt;="&amp;Z$35)</f>
        <v>0</v>
      </c>
      <c r="AA49" s="32" t="n">
        <f aca="false">COUNTIFS('Project Plan'!$O$7:$O$156,$A49,'Project Plan'!$F$7:$F$156,"&lt;="&amp;AA$35,'Project Plan'!$H$7:$H$156,"&gt;="&amp;AA$35)</f>
        <v>0</v>
      </c>
      <c r="AB49" s="32" t="n">
        <f aca="false">COUNTIFS('Project Plan'!$O$7:$O$156,$A49,'Project Plan'!$F$7:$F$156,"&lt;="&amp;AB$35,'Project Plan'!$H$7:$H$156,"&gt;="&amp;AB$35)</f>
        <v>0</v>
      </c>
      <c r="AC49" s="32" t="n">
        <f aca="false">COUNTIFS('Project Plan'!$O$7:$O$156,$A49,'Project Plan'!$F$7:$F$156,"&lt;="&amp;AC$35,'Project Plan'!$H$7:$H$156,"&gt;="&amp;AC$35)</f>
        <v>0</v>
      </c>
    </row>
    <row r="50" customFormat="false" ht="15" hidden="false" customHeight="false" outlineLevel="0" collapsed="false">
      <c r="A50" s="0" t="str">
        <f aca="false">A19</f>
        <v>MDR</v>
      </c>
      <c r="B50" s="0" t="n">
        <f aca="false">J19</f>
        <v>1</v>
      </c>
      <c r="C50" s="32" t="n">
        <f aca="false">COUNTIFS('Project Plan'!$O$7:$O$156,$A50,'Project Plan'!$F$7:$F$156,"&lt;="&amp;C$35,'Project Plan'!$H$7:$H$156,"&gt;="&amp;C$35)</f>
        <v>0</v>
      </c>
      <c r="D50" s="32" t="n">
        <f aca="false">COUNTIFS('Project Plan'!$O$7:$O$156,$A50,'Project Plan'!$F$7:$F$156,"&lt;="&amp;D$35,'Project Plan'!$H$7:$H$156,"&gt;="&amp;D$35)</f>
        <v>0</v>
      </c>
      <c r="E50" s="32" t="n">
        <f aca="false">COUNTIFS('Project Plan'!$O$7:$O$156,$A50,'Project Plan'!$F$7:$F$156,"&lt;="&amp;E$35,'Project Plan'!$H$7:$H$156,"&gt;="&amp;E$35)</f>
        <v>0</v>
      </c>
      <c r="F50" s="32" t="n">
        <f aca="false">COUNTIFS('Project Plan'!$O$7:$O$156,$A50,'Project Plan'!$F$7:$F$156,"&lt;="&amp;F$35,'Project Plan'!$H$7:$H$156,"&gt;="&amp;F$35)</f>
        <v>0</v>
      </c>
      <c r="G50" s="32" t="n">
        <f aca="false">COUNTIFS('Project Plan'!$O$7:$O$156,$A50,'Project Plan'!$F$7:$F$156,"&lt;="&amp;G$35,'Project Plan'!$H$7:$H$156,"&gt;="&amp;G$35)</f>
        <v>0</v>
      </c>
      <c r="H50" s="32" t="n">
        <f aca="false">COUNTIFS('Project Plan'!$O$7:$O$156,$A50,'Project Plan'!$F$7:$F$156,"&lt;="&amp;H$35,'Project Plan'!$H$7:$H$156,"&gt;="&amp;H$35)</f>
        <v>1</v>
      </c>
      <c r="I50" s="32" t="n">
        <f aca="false">COUNTIFS('Project Plan'!$O$7:$O$156,$A50,'Project Plan'!$F$7:$F$156,"&lt;="&amp;I$35,'Project Plan'!$H$7:$H$156,"&gt;="&amp;I$35)</f>
        <v>1</v>
      </c>
      <c r="J50" s="32" t="n">
        <f aca="false">COUNTIFS('Project Plan'!$O$7:$O$156,$A50,'Project Plan'!$F$7:$F$156,"&lt;="&amp;J$35,'Project Plan'!$H$7:$H$156,"&gt;="&amp;J$35)</f>
        <v>1</v>
      </c>
      <c r="K50" s="32" t="n">
        <f aca="false">COUNTIFS('Project Plan'!$O$7:$O$156,$A50,'Project Plan'!$F$7:$F$156,"&lt;="&amp;K$35,'Project Plan'!$H$7:$H$156,"&gt;="&amp;K$35)</f>
        <v>1</v>
      </c>
      <c r="L50" s="32" t="n">
        <f aca="false">COUNTIFS('Project Plan'!$O$7:$O$156,$A50,'Project Plan'!$F$7:$F$156,"&lt;="&amp;L$35,'Project Plan'!$H$7:$H$156,"&gt;="&amp;L$35)</f>
        <v>1</v>
      </c>
      <c r="M50" s="32" t="n">
        <f aca="false">COUNTIFS('Project Plan'!$O$7:$O$156,$A50,'Project Plan'!$F$7:$F$156,"&lt;="&amp;M$35,'Project Plan'!$H$7:$H$156,"&gt;="&amp;M$35)</f>
        <v>1</v>
      </c>
      <c r="N50" s="32" t="n">
        <f aca="false">COUNTIFS('Project Plan'!$O$7:$O$156,$A50,'Project Plan'!$F$7:$F$156,"&lt;="&amp;N$35,'Project Plan'!$H$7:$H$156,"&gt;="&amp;N$35)</f>
        <v>1</v>
      </c>
      <c r="O50" s="32" t="n">
        <f aca="false">COUNTIFS('Project Plan'!$O$7:$O$156,$A50,'Project Plan'!$F$7:$F$156,"&lt;="&amp;O$35,'Project Plan'!$H$7:$H$156,"&gt;="&amp;O$35)</f>
        <v>1</v>
      </c>
      <c r="P50" s="32" t="n">
        <f aca="false">COUNTIFS('Project Plan'!$O$7:$O$156,$A50,'Project Plan'!$F$7:$F$156,"&lt;="&amp;P$35,'Project Plan'!$H$7:$H$156,"&gt;="&amp;P$35)</f>
        <v>1</v>
      </c>
      <c r="Q50" s="32" t="n">
        <f aca="false">COUNTIFS('Project Plan'!$O$7:$O$156,$A50,'Project Plan'!$F$7:$F$156,"&lt;="&amp;Q$35,'Project Plan'!$H$7:$H$156,"&gt;="&amp;Q$35)</f>
        <v>0</v>
      </c>
      <c r="R50" s="32" t="n">
        <f aca="false">COUNTIFS('Project Plan'!$O$7:$O$156,$A50,'Project Plan'!$F$7:$F$156,"&lt;="&amp;R$35,'Project Plan'!$H$7:$H$156,"&gt;="&amp;R$35)</f>
        <v>0</v>
      </c>
      <c r="S50" s="32" t="n">
        <f aca="false">COUNTIFS('Project Plan'!$O$7:$O$156,$A50,'Project Plan'!$F$7:$F$156,"&lt;="&amp;S$35,'Project Plan'!$H$7:$H$156,"&gt;="&amp;S$35)</f>
        <v>0</v>
      </c>
      <c r="T50" s="32" t="n">
        <f aca="false">COUNTIFS('Project Plan'!$O$7:$O$156,$A50,'Project Plan'!$F$7:$F$156,"&lt;="&amp;T$35,'Project Plan'!$H$7:$H$156,"&gt;="&amp;T$35)</f>
        <v>0</v>
      </c>
      <c r="U50" s="32" t="n">
        <f aca="false">COUNTIFS('Project Plan'!$O$7:$O$156,$A50,'Project Plan'!$F$7:$F$156,"&lt;="&amp;U$35,'Project Plan'!$H$7:$H$156,"&gt;="&amp;U$35)</f>
        <v>0</v>
      </c>
      <c r="V50" s="32" t="n">
        <f aca="false">COUNTIFS('Project Plan'!$O$7:$O$156,$A50,'Project Plan'!$F$7:$F$156,"&lt;="&amp;V$35,'Project Plan'!$H$7:$H$156,"&gt;="&amp;V$35)</f>
        <v>0</v>
      </c>
      <c r="W50" s="32" t="n">
        <f aca="false">COUNTIFS('Project Plan'!$O$7:$O$156,$A50,'Project Plan'!$F$7:$F$156,"&lt;="&amp;W$35,'Project Plan'!$H$7:$H$156,"&gt;="&amp;W$35)</f>
        <v>0</v>
      </c>
      <c r="X50" s="32" t="n">
        <f aca="false">COUNTIFS('Project Plan'!$O$7:$O$156,$A50,'Project Plan'!$F$7:$F$156,"&lt;="&amp;X$35,'Project Plan'!$H$7:$H$156,"&gt;="&amp;X$35)</f>
        <v>0</v>
      </c>
      <c r="Y50" s="32" t="n">
        <f aca="false">COUNTIFS('Project Plan'!$O$7:$O$156,$A50,'Project Plan'!$F$7:$F$156,"&lt;="&amp;Y$35,'Project Plan'!$H$7:$H$156,"&gt;="&amp;Y$35)</f>
        <v>0</v>
      </c>
      <c r="Z50" s="32" t="n">
        <f aca="false">COUNTIFS('Project Plan'!$O$7:$O$156,$A50,'Project Plan'!$F$7:$F$156,"&lt;="&amp;Z$35,'Project Plan'!$H$7:$H$156,"&gt;="&amp;Z$35)</f>
        <v>0</v>
      </c>
      <c r="AA50" s="32" t="n">
        <f aca="false">COUNTIFS('Project Plan'!$O$7:$O$156,$A50,'Project Plan'!$F$7:$F$156,"&lt;="&amp;AA$35,'Project Plan'!$H$7:$H$156,"&gt;="&amp;AA$35)</f>
        <v>0</v>
      </c>
      <c r="AB50" s="32" t="n">
        <f aca="false">COUNTIFS('Project Plan'!$O$7:$O$156,$A50,'Project Plan'!$F$7:$F$156,"&lt;="&amp;AB$35,'Project Plan'!$H$7:$H$156,"&gt;="&amp;AB$35)</f>
        <v>0</v>
      </c>
      <c r="AC50" s="32" t="n">
        <f aca="false">COUNTIFS('Project Plan'!$O$7:$O$156,$A50,'Project Plan'!$F$7:$F$156,"&lt;="&amp;AC$35,'Project Plan'!$H$7:$H$156,"&gt;="&amp;AC$35)</f>
        <v>0</v>
      </c>
    </row>
    <row r="51" customFormat="false" ht="15" hidden="false" customHeight="false" outlineLevel="0" collapsed="false">
      <c r="A51" s="0" t="str">
        <f aca="false">A20</f>
        <v>PEN</v>
      </c>
      <c r="B51" s="0" t="n">
        <f aca="false">J20</f>
        <v>1</v>
      </c>
      <c r="C51" s="32" t="n">
        <f aca="false">COUNTIFS('Project Plan'!$O$7:$O$156,$A51,'Project Plan'!$F$7:$F$156,"&lt;="&amp;C$35,'Project Plan'!$H$7:$H$156,"&gt;="&amp;C$35)</f>
        <v>0</v>
      </c>
      <c r="D51" s="32" t="n">
        <f aca="false">COUNTIFS('Project Plan'!$O$7:$O$156,$A51,'Project Plan'!$F$7:$F$156,"&lt;="&amp;D$35,'Project Plan'!$H$7:$H$156,"&gt;="&amp;D$35)</f>
        <v>0</v>
      </c>
      <c r="E51" s="32" t="n">
        <f aca="false">COUNTIFS('Project Plan'!$O$7:$O$156,$A51,'Project Plan'!$F$7:$F$156,"&lt;="&amp;E$35,'Project Plan'!$H$7:$H$156,"&gt;="&amp;E$35)</f>
        <v>0</v>
      </c>
      <c r="F51" s="32" t="n">
        <f aca="false">COUNTIFS('Project Plan'!$O$7:$O$156,$A51,'Project Plan'!$F$7:$F$156,"&lt;="&amp;F$35,'Project Plan'!$H$7:$H$156,"&gt;="&amp;F$35)</f>
        <v>0</v>
      </c>
      <c r="G51" s="32" t="n">
        <f aca="false">COUNTIFS('Project Plan'!$O$7:$O$156,$A51,'Project Plan'!$F$7:$F$156,"&lt;="&amp;G$35,'Project Plan'!$H$7:$H$156,"&gt;="&amp;G$35)</f>
        <v>0</v>
      </c>
      <c r="H51" s="32" t="n">
        <f aca="false">COUNTIFS('Project Plan'!$O$7:$O$156,$A51,'Project Plan'!$F$7:$F$156,"&lt;="&amp;H$35,'Project Plan'!$H$7:$H$156,"&gt;="&amp;H$35)</f>
        <v>0</v>
      </c>
      <c r="I51" s="32" t="n">
        <f aca="false">COUNTIFS('Project Plan'!$O$7:$O$156,$A51,'Project Plan'!$F$7:$F$156,"&lt;="&amp;I$35,'Project Plan'!$H$7:$H$156,"&gt;="&amp;I$35)</f>
        <v>0</v>
      </c>
      <c r="J51" s="32" t="n">
        <f aca="false">COUNTIFS('Project Plan'!$O$7:$O$156,$A51,'Project Plan'!$F$7:$F$156,"&lt;="&amp;J$35,'Project Plan'!$H$7:$H$156,"&gt;="&amp;J$35)</f>
        <v>0</v>
      </c>
      <c r="K51" s="32" t="n">
        <f aca="false">COUNTIFS('Project Plan'!$O$7:$O$156,$A51,'Project Plan'!$F$7:$F$156,"&lt;="&amp;K$35,'Project Plan'!$H$7:$H$156,"&gt;="&amp;K$35)</f>
        <v>0</v>
      </c>
      <c r="L51" s="32" t="n">
        <f aca="false">COUNTIFS('Project Plan'!$O$7:$O$156,$A51,'Project Plan'!$F$7:$F$156,"&lt;="&amp;L$35,'Project Plan'!$H$7:$H$156,"&gt;="&amp;L$35)</f>
        <v>0</v>
      </c>
      <c r="M51" s="32" t="n">
        <f aca="false">COUNTIFS('Project Plan'!$O$7:$O$156,$A51,'Project Plan'!$F$7:$F$156,"&lt;="&amp;M$35,'Project Plan'!$H$7:$H$156,"&gt;="&amp;M$35)</f>
        <v>0</v>
      </c>
      <c r="N51" s="32" t="n">
        <f aca="false">COUNTIFS('Project Plan'!$O$7:$O$156,$A51,'Project Plan'!$F$7:$F$156,"&lt;="&amp;N$35,'Project Plan'!$H$7:$H$156,"&gt;="&amp;N$35)</f>
        <v>0</v>
      </c>
      <c r="O51" s="32" t="n">
        <f aca="false">COUNTIFS('Project Plan'!$O$7:$O$156,$A51,'Project Plan'!$F$7:$F$156,"&lt;="&amp;O$35,'Project Plan'!$H$7:$H$156,"&gt;="&amp;O$35)</f>
        <v>0</v>
      </c>
      <c r="P51" s="32" t="n">
        <f aca="false">COUNTIFS('Project Plan'!$O$7:$O$156,$A51,'Project Plan'!$F$7:$F$156,"&lt;="&amp;P$35,'Project Plan'!$H$7:$H$156,"&gt;="&amp;P$35)</f>
        <v>0</v>
      </c>
      <c r="Q51" s="32" t="n">
        <f aca="false">COUNTIFS('Project Plan'!$O$7:$O$156,$A51,'Project Plan'!$F$7:$F$156,"&lt;="&amp;Q$35,'Project Plan'!$H$7:$H$156,"&gt;="&amp;Q$35)</f>
        <v>0</v>
      </c>
      <c r="R51" s="32" t="n">
        <f aca="false">COUNTIFS('Project Plan'!$O$7:$O$156,$A51,'Project Plan'!$F$7:$F$156,"&lt;="&amp;R$35,'Project Plan'!$H$7:$H$156,"&gt;="&amp;R$35)</f>
        <v>0</v>
      </c>
      <c r="S51" s="32" t="n">
        <f aca="false">COUNTIFS('Project Plan'!$O$7:$O$156,$A51,'Project Plan'!$F$7:$F$156,"&lt;="&amp;S$35,'Project Plan'!$H$7:$H$156,"&gt;="&amp;S$35)</f>
        <v>0</v>
      </c>
      <c r="T51" s="32" t="n">
        <f aca="false">COUNTIFS('Project Plan'!$O$7:$O$156,$A51,'Project Plan'!$F$7:$F$156,"&lt;="&amp;T$35,'Project Plan'!$H$7:$H$156,"&gt;="&amp;T$35)</f>
        <v>0</v>
      </c>
      <c r="U51" s="32" t="n">
        <f aca="false">COUNTIFS('Project Plan'!$O$7:$O$156,$A51,'Project Plan'!$F$7:$F$156,"&lt;="&amp;U$35,'Project Plan'!$H$7:$H$156,"&gt;="&amp;U$35)</f>
        <v>1</v>
      </c>
      <c r="V51" s="32" t="n">
        <f aca="false">COUNTIFS('Project Plan'!$O$7:$O$156,$A51,'Project Plan'!$F$7:$F$156,"&lt;="&amp;V$35,'Project Plan'!$H$7:$H$156,"&gt;="&amp;V$35)</f>
        <v>1</v>
      </c>
      <c r="W51" s="32" t="n">
        <f aca="false">COUNTIFS('Project Plan'!$O$7:$O$156,$A51,'Project Plan'!$F$7:$F$156,"&lt;="&amp;W$35,'Project Plan'!$H$7:$H$156,"&gt;="&amp;W$35)</f>
        <v>0</v>
      </c>
      <c r="X51" s="32" t="n">
        <f aca="false">COUNTIFS('Project Plan'!$O$7:$O$156,$A51,'Project Plan'!$F$7:$F$156,"&lt;="&amp;X$35,'Project Plan'!$H$7:$H$156,"&gt;="&amp;X$35)</f>
        <v>0</v>
      </c>
      <c r="Y51" s="32" t="n">
        <f aca="false">COUNTIFS('Project Plan'!$O$7:$O$156,$A51,'Project Plan'!$F$7:$F$156,"&lt;="&amp;Y$35,'Project Plan'!$H$7:$H$156,"&gt;="&amp;Y$35)</f>
        <v>0</v>
      </c>
      <c r="Z51" s="32" t="n">
        <f aca="false">COUNTIFS('Project Plan'!$O$7:$O$156,$A51,'Project Plan'!$F$7:$F$156,"&lt;="&amp;Z$35,'Project Plan'!$H$7:$H$156,"&gt;="&amp;Z$35)</f>
        <v>0</v>
      </c>
      <c r="AA51" s="32" t="n">
        <f aca="false">COUNTIFS('Project Plan'!$O$7:$O$156,$A51,'Project Plan'!$F$7:$F$156,"&lt;="&amp;AA$35,'Project Plan'!$H$7:$H$156,"&gt;="&amp;AA$35)</f>
        <v>0</v>
      </c>
      <c r="AB51" s="32" t="n">
        <f aca="false">COUNTIFS('Project Plan'!$O$7:$O$156,$A51,'Project Plan'!$F$7:$F$156,"&lt;="&amp;AB$35,'Project Plan'!$H$7:$H$156,"&gt;="&amp;AB$35)</f>
        <v>0</v>
      </c>
      <c r="AC51" s="32" t="n">
        <f aca="false">COUNTIFS('Project Plan'!$O$7:$O$156,$A51,'Project Plan'!$F$7:$F$156,"&lt;="&amp;AC$35,'Project Plan'!$H$7:$H$156,"&gt;="&amp;AC$35)</f>
        <v>0</v>
      </c>
    </row>
    <row r="52" customFormat="false" ht="15" hidden="false" customHeight="false" outlineLevel="0" collapsed="false">
      <c r="A52" s="0" t="str">
        <f aca="false">A21</f>
        <v>RDA</v>
      </c>
      <c r="B52" s="0" t="n">
        <f aca="false">J21</f>
        <v>1</v>
      </c>
      <c r="C52" s="32" t="n">
        <f aca="false">COUNTIFS('Project Plan'!$O$7:$O$156,$A52,'Project Plan'!$F$7:$F$156,"&lt;="&amp;C$35,'Project Plan'!$H$7:$H$156,"&gt;="&amp;C$35)</f>
        <v>0</v>
      </c>
      <c r="D52" s="32" t="n">
        <f aca="false">COUNTIFS('Project Plan'!$O$7:$O$156,$A52,'Project Plan'!$F$7:$F$156,"&lt;="&amp;D$35,'Project Plan'!$H$7:$H$156,"&gt;="&amp;D$35)</f>
        <v>0</v>
      </c>
      <c r="E52" s="32" t="n">
        <f aca="false">COUNTIFS('Project Plan'!$O$7:$O$156,$A52,'Project Plan'!$F$7:$F$156,"&lt;="&amp;E$35,'Project Plan'!$H$7:$H$156,"&gt;="&amp;E$35)</f>
        <v>0</v>
      </c>
      <c r="F52" s="32" t="n">
        <f aca="false">COUNTIFS('Project Plan'!$O$7:$O$156,$A52,'Project Plan'!$F$7:$F$156,"&lt;="&amp;F$35,'Project Plan'!$H$7:$H$156,"&gt;="&amp;F$35)</f>
        <v>0</v>
      </c>
      <c r="G52" s="32" t="n">
        <f aca="false">COUNTIFS('Project Plan'!$O$7:$O$156,$A52,'Project Plan'!$F$7:$F$156,"&lt;="&amp;G$35,'Project Plan'!$H$7:$H$156,"&gt;="&amp;G$35)</f>
        <v>0</v>
      </c>
      <c r="H52" s="32" t="n">
        <f aca="false">COUNTIFS('Project Plan'!$O$7:$O$156,$A52,'Project Plan'!$F$7:$F$156,"&lt;="&amp;H$35,'Project Plan'!$H$7:$H$156,"&gt;="&amp;H$35)</f>
        <v>0</v>
      </c>
      <c r="I52" s="32" t="n">
        <f aca="false">COUNTIFS('Project Plan'!$O$7:$O$156,$A52,'Project Plan'!$F$7:$F$156,"&lt;="&amp;I$35,'Project Plan'!$H$7:$H$156,"&gt;="&amp;I$35)</f>
        <v>0</v>
      </c>
      <c r="J52" s="32" t="n">
        <f aca="false">COUNTIFS('Project Plan'!$O$7:$O$156,$A52,'Project Plan'!$F$7:$F$156,"&lt;="&amp;J$35,'Project Plan'!$H$7:$H$156,"&gt;="&amp;J$35)</f>
        <v>0</v>
      </c>
      <c r="K52" s="32" t="n">
        <f aca="false">COUNTIFS('Project Plan'!$O$7:$O$156,$A52,'Project Plan'!$F$7:$F$156,"&lt;="&amp;K$35,'Project Plan'!$H$7:$H$156,"&gt;="&amp;K$35)</f>
        <v>0</v>
      </c>
      <c r="L52" s="32" t="n">
        <f aca="false">COUNTIFS('Project Plan'!$O$7:$O$156,$A52,'Project Plan'!$F$7:$F$156,"&lt;="&amp;L$35,'Project Plan'!$H$7:$H$156,"&gt;="&amp;L$35)</f>
        <v>0</v>
      </c>
      <c r="M52" s="32" t="n">
        <f aca="false">COUNTIFS('Project Plan'!$O$7:$O$156,$A52,'Project Plan'!$F$7:$F$156,"&lt;="&amp;M$35,'Project Plan'!$H$7:$H$156,"&gt;="&amp;M$35)</f>
        <v>0</v>
      </c>
      <c r="N52" s="32" t="n">
        <f aca="false">COUNTIFS('Project Plan'!$O$7:$O$156,$A52,'Project Plan'!$F$7:$F$156,"&lt;="&amp;N$35,'Project Plan'!$H$7:$H$156,"&gt;="&amp;N$35)</f>
        <v>0</v>
      </c>
      <c r="O52" s="32" t="n">
        <f aca="false">COUNTIFS('Project Plan'!$O$7:$O$156,$A52,'Project Plan'!$F$7:$F$156,"&lt;="&amp;O$35,'Project Plan'!$H$7:$H$156,"&gt;="&amp;O$35)</f>
        <v>0</v>
      </c>
      <c r="P52" s="32" t="n">
        <f aca="false">COUNTIFS('Project Plan'!$O$7:$O$156,$A52,'Project Plan'!$F$7:$F$156,"&lt;="&amp;P$35,'Project Plan'!$H$7:$H$156,"&gt;="&amp;P$35)</f>
        <v>0</v>
      </c>
      <c r="Q52" s="32" t="n">
        <f aca="false">COUNTIFS('Project Plan'!$O$7:$O$156,$A52,'Project Plan'!$F$7:$F$156,"&lt;="&amp;Q$35,'Project Plan'!$H$7:$H$156,"&gt;="&amp;Q$35)</f>
        <v>0</v>
      </c>
      <c r="R52" s="32" t="n">
        <f aca="false">COUNTIFS('Project Plan'!$O$7:$O$156,$A52,'Project Plan'!$F$7:$F$156,"&lt;="&amp;R$35,'Project Plan'!$H$7:$H$156,"&gt;="&amp;R$35)</f>
        <v>0</v>
      </c>
      <c r="S52" s="32" t="n">
        <f aca="false">COUNTIFS('Project Plan'!$O$7:$O$156,$A52,'Project Plan'!$F$7:$F$156,"&lt;="&amp;S$35,'Project Plan'!$H$7:$H$156,"&gt;="&amp;S$35)</f>
        <v>0</v>
      </c>
      <c r="T52" s="32" t="n">
        <f aca="false">COUNTIFS('Project Plan'!$O$7:$O$156,$A52,'Project Plan'!$F$7:$F$156,"&lt;="&amp;T$35,'Project Plan'!$H$7:$H$156,"&gt;="&amp;T$35)</f>
        <v>1</v>
      </c>
      <c r="U52" s="32" t="n">
        <f aca="false">COUNTIFS('Project Plan'!$O$7:$O$156,$A52,'Project Plan'!$F$7:$F$156,"&lt;="&amp;U$35,'Project Plan'!$H$7:$H$156,"&gt;="&amp;U$35)</f>
        <v>1</v>
      </c>
      <c r="V52" s="32" t="n">
        <f aca="false">COUNTIFS('Project Plan'!$O$7:$O$156,$A52,'Project Plan'!$F$7:$F$156,"&lt;="&amp;V$35,'Project Plan'!$H$7:$H$156,"&gt;="&amp;V$35)</f>
        <v>0</v>
      </c>
      <c r="W52" s="32" t="n">
        <f aca="false">COUNTIFS('Project Plan'!$O$7:$O$156,$A52,'Project Plan'!$F$7:$F$156,"&lt;="&amp;W$35,'Project Plan'!$H$7:$H$156,"&gt;="&amp;W$35)</f>
        <v>0</v>
      </c>
      <c r="X52" s="32" t="n">
        <f aca="false">COUNTIFS('Project Plan'!$O$7:$O$156,$A52,'Project Plan'!$F$7:$F$156,"&lt;="&amp;X$35,'Project Plan'!$H$7:$H$156,"&gt;="&amp;X$35)</f>
        <v>0</v>
      </c>
      <c r="Y52" s="32" t="n">
        <f aca="false">COUNTIFS('Project Plan'!$O$7:$O$156,$A52,'Project Plan'!$F$7:$F$156,"&lt;="&amp;Y$35,'Project Plan'!$H$7:$H$156,"&gt;="&amp;Y$35)</f>
        <v>0</v>
      </c>
      <c r="Z52" s="32" t="n">
        <f aca="false">COUNTIFS('Project Plan'!$O$7:$O$156,$A52,'Project Plan'!$F$7:$F$156,"&lt;="&amp;Z$35,'Project Plan'!$H$7:$H$156,"&gt;="&amp;Z$35)</f>
        <v>0</v>
      </c>
      <c r="AA52" s="32" t="n">
        <f aca="false">COUNTIFS('Project Plan'!$O$7:$O$156,$A52,'Project Plan'!$F$7:$F$156,"&lt;="&amp;AA$35,'Project Plan'!$H$7:$H$156,"&gt;="&amp;AA$35)</f>
        <v>0</v>
      </c>
      <c r="AB52" s="32" t="n">
        <f aca="false">COUNTIFS('Project Plan'!$O$7:$O$156,$A52,'Project Plan'!$F$7:$F$156,"&lt;="&amp;AB$35,'Project Plan'!$H$7:$H$156,"&gt;="&amp;AB$35)</f>
        <v>0</v>
      </c>
      <c r="AC52" s="32" t="n">
        <f aca="false">COUNTIFS('Project Plan'!$O$7:$O$156,$A52,'Project Plan'!$F$7:$F$156,"&lt;="&amp;AC$35,'Project Plan'!$H$7:$H$156,"&gt;="&amp;AC$35)</f>
        <v>0</v>
      </c>
    </row>
    <row r="53" customFormat="false" ht="15" hidden="false" customHeight="false" outlineLevel="0" collapsed="false">
      <c r="A53" s="0" t="str">
        <f aca="false">A22</f>
        <v>CPA</v>
      </c>
      <c r="B53" s="0" t="n">
        <f aca="false">J22</f>
        <v>1</v>
      </c>
      <c r="C53" s="32" t="n">
        <f aca="false">COUNTIFS('Project Plan'!$O$7:$O$156,$A53,'Project Plan'!$F$7:$F$156,"&lt;="&amp;C$35,'Project Plan'!$H$7:$H$156,"&gt;="&amp;C$35)</f>
        <v>0</v>
      </c>
      <c r="D53" s="32" t="n">
        <f aca="false">COUNTIFS('Project Plan'!$O$7:$O$156,$A53,'Project Plan'!$F$7:$F$156,"&lt;="&amp;D$35,'Project Plan'!$H$7:$H$156,"&gt;="&amp;D$35)</f>
        <v>0</v>
      </c>
      <c r="E53" s="32" t="n">
        <f aca="false">COUNTIFS('Project Plan'!$O$7:$O$156,$A53,'Project Plan'!$F$7:$F$156,"&lt;="&amp;E$35,'Project Plan'!$H$7:$H$156,"&gt;="&amp;E$35)</f>
        <v>0</v>
      </c>
      <c r="F53" s="32" t="n">
        <f aca="false">COUNTIFS('Project Plan'!$O$7:$O$156,$A53,'Project Plan'!$F$7:$F$156,"&lt;="&amp;F$35,'Project Plan'!$H$7:$H$156,"&gt;="&amp;F$35)</f>
        <v>0</v>
      </c>
      <c r="G53" s="32" t="n">
        <f aca="false">COUNTIFS('Project Plan'!$O$7:$O$156,$A53,'Project Plan'!$F$7:$F$156,"&lt;="&amp;G$35,'Project Plan'!$H$7:$H$156,"&gt;="&amp;G$35)</f>
        <v>0</v>
      </c>
      <c r="H53" s="32" t="n">
        <f aca="false">COUNTIFS('Project Plan'!$O$7:$O$156,$A53,'Project Plan'!$F$7:$F$156,"&lt;="&amp;H$35,'Project Plan'!$H$7:$H$156,"&gt;="&amp;H$35)</f>
        <v>0</v>
      </c>
      <c r="I53" s="32" t="n">
        <f aca="false">COUNTIFS('Project Plan'!$O$7:$O$156,$A53,'Project Plan'!$F$7:$F$156,"&lt;="&amp;I$35,'Project Plan'!$H$7:$H$156,"&gt;="&amp;I$35)</f>
        <v>0</v>
      </c>
      <c r="J53" s="32" t="n">
        <f aca="false">COUNTIFS('Project Plan'!$O$7:$O$156,$A53,'Project Plan'!$F$7:$F$156,"&lt;="&amp;J$35,'Project Plan'!$H$7:$H$156,"&gt;="&amp;J$35)</f>
        <v>0</v>
      </c>
      <c r="K53" s="32" t="n">
        <f aca="false">COUNTIFS('Project Plan'!$O$7:$O$156,$A53,'Project Plan'!$F$7:$F$156,"&lt;="&amp;K$35,'Project Plan'!$H$7:$H$156,"&gt;="&amp;K$35)</f>
        <v>0</v>
      </c>
      <c r="L53" s="32" t="n">
        <f aca="false">COUNTIFS('Project Plan'!$O$7:$O$156,$A53,'Project Plan'!$F$7:$F$156,"&lt;="&amp;L$35,'Project Plan'!$H$7:$H$156,"&gt;="&amp;L$35)</f>
        <v>0</v>
      </c>
      <c r="M53" s="32" t="n">
        <f aca="false">COUNTIFS('Project Plan'!$O$7:$O$156,$A53,'Project Plan'!$F$7:$F$156,"&lt;="&amp;M$35,'Project Plan'!$H$7:$H$156,"&gt;="&amp;M$35)</f>
        <v>0</v>
      </c>
      <c r="N53" s="32" t="n">
        <f aca="false">COUNTIFS('Project Plan'!$O$7:$O$156,$A53,'Project Plan'!$F$7:$F$156,"&lt;="&amp;N$35,'Project Plan'!$H$7:$H$156,"&gt;="&amp;N$35)</f>
        <v>0</v>
      </c>
      <c r="O53" s="32" t="n">
        <f aca="false">COUNTIFS('Project Plan'!$O$7:$O$156,$A53,'Project Plan'!$F$7:$F$156,"&lt;="&amp;O$35,'Project Plan'!$H$7:$H$156,"&gt;="&amp;O$35)</f>
        <v>0</v>
      </c>
      <c r="P53" s="32" t="n">
        <f aca="false">COUNTIFS('Project Plan'!$O$7:$O$156,$A53,'Project Plan'!$F$7:$F$156,"&lt;="&amp;P$35,'Project Plan'!$H$7:$H$156,"&gt;="&amp;P$35)</f>
        <v>0</v>
      </c>
      <c r="Q53" s="32" t="n">
        <f aca="false">COUNTIFS('Project Plan'!$O$7:$O$156,$A53,'Project Plan'!$F$7:$F$156,"&lt;="&amp;Q$35,'Project Plan'!$H$7:$H$156,"&gt;="&amp;Q$35)</f>
        <v>0</v>
      </c>
      <c r="R53" s="32" t="n">
        <f aca="false">COUNTIFS('Project Plan'!$O$7:$O$156,$A53,'Project Plan'!$F$7:$F$156,"&lt;="&amp;R$35,'Project Plan'!$H$7:$H$156,"&gt;="&amp;R$35)</f>
        <v>0</v>
      </c>
      <c r="S53" s="32" t="n">
        <f aca="false">COUNTIFS('Project Plan'!$O$7:$O$156,$A53,'Project Plan'!$F$7:$F$156,"&lt;="&amp;S$35,'Project Plan'!$H$7:$H$156,"&gt;="&amp;S$35)</f>
        <v>0</v>
      </c>
      <c r="T53" s="32" t="n">
        <f aca="false">COUNTIFS('Project Plan'!$O$7:$O$156,$A53,'Project Plan'!$F$7:$F$156,"&lt;="&amp;T$35,'Project Plan'!$H$7:$H$156,"&gt;="&amp;T$35)</f>
        <v>0</v>
      </c>
      <c r="U53" s="32" t="n">
        <f aca="false">COUNTIFS('Project Plan'!$O$7:$O$156,$A53,'Project Plan'!$F$7:$F$156,"&lt;="&amp;U$35,'Project Plan'!$H$7:$H$156,"&gt;="&amp;U$35)</f>
        <v>0</v>
      </c>
      <c r="V53" s="32" t="n">
        <f aca="false">COUNTIFS('Project Plan'!$O$7:$O$156,$A53,'Project Plan'!$F$7:$F$156,"&lt;="&amp;V$35,'Project Plan'!$H$7:$H$156,"&gt;="&amp;V$35)</f>
        <v>0</v>
      </c>
      <c r="W53" s="32" t="n">
        <f aca="false">COUNTIFS('Project Plan'!$O$7:$O$156,$A53,'Project Plan'!$F$7:$F$156,"&lt;="&amp;W$35,'Project Plan'!$H$7:$H$156,"&gt;="&amp;W$35)</f>
        <v>0</v>
      </c>
      <c r="X53" s="32" t="n">
        <f aca="false">COUNTIFS('Project Plan'!$O$7:$O$156,$A53,'Project Plan'!$F$7:$F$156,"&lt;="&amp;X$35,'Project Plan'!$H$7:$H$156,"&gt;="&amp;X$35)</f>
        <v>0</v>
      </c>
      <c r="Y53" s="32" t="n">
        <f aca="false">COUNTIFS('Project Plan'!$O$7:$O$156,$A53,'Project Plan'!$F$7:$F$156,"&lt;="&amp;Y$35,'Project Plan'!$H$7:$H$156,"&gt;="&amp;Y$35)</f>
        <v>1</v>
      </c>
      <c r="Z53" s="32" t="n">
        <f aca="false">COUNTIFS('Project Plan'!$O$7:$O$156,$A53,'Project Plan'!$F$7:$F$156,"&lt;="&amp;Z$35,'Project Plan'!$H$7:$H$156,"&gt;="&amp;Z$35)</f>
        <v>1</v>
      </c>
      <c r="AA53" s="32" t="n">
        <f aca="false">COUNTIFS('Project Plan'!$O$7:$O$156,$A53,'Project Plan'!$F$7:$F$156,"&lt;="&amp;AA$35,'Project Plan'!$H$7:$H$156,"&gt;="&amp;AA$35)</f>
        <v>1</v>
      </c>
      <c r="AB53" s="32" t="n">
        <f aca="false">COUNTIFS('Project Plan'!$O$7:$O$156,$A53,'Project Plan'!$F$7:$F$156,"&lt;="&amp;AB$35,'Project Plan'!$H$7:$H$156,"&gt;="&amp;AB$35)</f>
        <v>1</v>
      </c>
      <c r="AC53" s="32" t="n">
        <f aca="false">COUNTIFS('Project Plan'!$O$7:$O$156,$A53,'Project Plan'!$F$7:$F$156,"&lt;="&amp;AC$35,'Project Plan'!$H$7:$H$156,"&gt;="&amp;AC$35)</f>
        <v>0</v>
      </c>
    </row>
    <row r="54" customFormat="false" ht="15" hidden="false" customHeight="false" outlineLevel="0" collapsed="false">
      <c r="A54" s="0" t="str">
        <f aca="false">A23</f>
        <v>LEG</v>
      </c>
      <c r="B54" s="0" t="n">
        <f aca="false">J23</f>
        <v>1</v>
      </c>
      <c r="C54" s="32" t="n">
        <f aca="false">COUNTIFS('Project Plan'!$O$7:$O$156,$A54,'Project Plan'!$F$7:$F$156,"&lt;="&amp;C$35,'Project Plan'!$H$7:$H$156,"&gt;="&amp;C$35)</f>
        <v>0</v>
      </c>
      <c r="D54" s="32" t="n">
        <f aca="false">COUNTIFS('Project Plan'!$O$7:$O$156,$A54,'Project Plan'!$F$7:$F$156,"&lt;="&amp;D$35,'Project Plan'!$H$7:$H$156,"&gt;="&amp;D$35)</f>
        <v>0</v>
      </c>
      <c r="E54" s="32" t="n">
        <f aca="false">COUNTIFS('Project Plan'!$O$7:$O$156,$A54,'Project Plan'!$F$7:$F$156,"&lt;="&amp;E$35,'Project Plan'!$H$7:$H$156,"&gt;="&amp;E$35)</f>
        <v>0</v>
      </c>
      <c r="F54" s="32" t="n">
        <f aca="false">COUNTIFS('Project Plan'!$O$7:$O$156,$A54,'Project Plan'!$F$7:$F$156,"&lt;="&amp;F$35,'Project Plan'!$H$7:$H$156,"&gt;="&amp;F$35)</f>
        <v>0</v>
      </c>
      <c r="G54" s="32" t="n">
        <f aca="false">COUNTIFS('Project Plan'!$O$7:$O$156,$A54,'Project Plan'!$F$7:$F$156,"&lt;="&amp;G$35,'Project Plan'!$H$7:$H$156,"&gt;="&amp;G$35)</f>
        <v>0</v>
      </c>
      <c r="H54" s="32" t="n">
        <f aca="false">COUNTIFS('Project Plan'!$O$7:$O$156,$A54,'Project Plan'!$F$7:$F$156,"&lt;="&amp;H$35,'Project Plan'!$H$7:$H$156,"&gt;="&amp;H$35)</f>
        <v>0</v>
      </c>
      <c r="I54" s="32" t="n">
        <f aca="false">COUNTIFS('Project Plan'!$O$7:$O$156,$A54,'Project Plan'!$F$7:$F$156,"&lt;="&amp;I$35,'Project Plan'!$H$7:$H$156,"&gt;="&amp;I$35)</f>
        <v>0</v>
      </c>
      <c r="J54" s="32" t="n">
        <f aca="false">COUNTIFS('Project Plan'!$O$7:$O$156,$A54,'Project Plan'!$F$7:$F$156,"&lt;="&amp;J$35,'Project Plan'!$H$7:$H$156,"&gt;="&amp;J$35)</f>
        <v>0</v>
      </c>
      <c r="K54" s="32" t="n">
        <f aca="false">COUNTIFS('Project Plan'!$O$7:$O$156,$A54,'Project Plan'!$F$7:$F$156,"&lt;="&amp;K$35,'Project Plan'!$H$7:$H$156,"&gt;="&amp;K$35)</f>
        <v>0</v>
      </c>
      <c r="L54" s="32" t="n">
        <f aca="false">COUNTIFS('Project Plan'!$O$7:$O$156,$A54,'Project Plan'!$F$7:$F$156,"&lt;="&amp;L$35,'Project Plan'!$H$7:$H$156,"&gt;="&amp;L$35)</f>
        <v>0</v>
      </c>
      <c r="M54" s="32" t="n">
        <f aca="false">COUNTIFS('Project Plan'!$O$7:$O$156,$A54,'Project Plan'!$F$7:$F$156,"&lt;="&amp;M$35,'Project Plan'!$H$7:$H$156,"&gt;="&amp;M$35)</f>
        <v>0</v>
      </c>
      <c r="N54" s="32" t="n">
        <f aca="false">COUNTIFS('Project Plan'!$O$7:$O$156,$A54,'Project Plan'!$F$7:$F$156,"&lt;="&amp;N$35,'Project Plan'!$H$7:$H$156,"&gt;="&amp;N$35)</f>
        <v>0</v>
      </c>
      <c r="O54" s="32" t="n">
        <f aca="false">COUNTIFS('Project Plan'!$O$7:$O$156,$A54,'Project Plan'!$F$7:$F$156,"&lt;="&amp;O$35,'Project Plan'!$H$7:$H$156,"&gt;="&amp;O$35)</f>
        <v>0</v>
      </c>
      <c r="P54" s="32" t="n">
        <f aca="false">COUNTIFS('Project Plan'!$O$7:$O$156,$A54,'Project Plan'!$F$7:$F$156,"&lt;="&amp;P$35,'Project Plan'!$H$7:$H$156,"&gt;="&amp;P$35)</f>
        <v>0</v>
      </c>
      <c r="Q54" s="32" t="n">
        <f aca="false">COUNTIFS('Project Plan'!$O$7:$O$156,$A54,'Project Plan'!$F$7:$F$156,"&lt;="&amp;Q$35,'Project Plan'!$H$7:$H$156,"&gt;="&amp;Q$35)</f>
        <v>0</v>
      </c>
      <c r="R54" s="32" t="n">
        <f aca="false">COUNTIFS('Project Plan'!$O$7:$O$156,$A54,'Project Plan'!$F$7:$F$156,"&lt;="&amp;R$35,'Project Plan'!$H$7:$H$156,"&gt;="&amp;R$35)</f>
        <v>0</v>
      </c>
      <c r="S54" s="32" t="n">
        <f aca="false">COUNTIFS('Project Plan'!$O$7:$O$156,$A54,'Project Plan'!$F$7:$F$156,"&lt;="&amp;S$35,'Project Plan'!$H$7:$H$156,"&gt;="&amp;S$35)</f>
        <v>0</v>
      </c>
      <c r="T54" s="32" t="n">
        <f aca="false">COUNTIFS('Project Plan'!$O$7:$O$156,$A54,'Project Plan'!$F$7:$F$156,"&lt;="&amp;T$35,'Project Plan'!$H$7:$H$156,"&gt;="&amp;T$35)</f>
        <v>0</v>
      </c>
      <c r="U54" s="32" t="n">
        <f aca="false">COUNTIFS('Project Plan'!$O$7:$O$156,$A54,'Project Plan'!$F$7:$F$156,"&lt;="&amp;U$35,'Project Plan'!$H$7:$H$156,"&gt;="&amp;U$35)</f>
        <v>0</v>
      </c>
      <c r="V54" s="32" t="n">
        <f aca="false">COUNTIFS('Project Plan'!$O$7:$O$156,$A54,'Project Plan'!$F$7:$F$156,"&lt;="&amp;V$35,'Project Plan'!$H$7:$H$156,"&gt;="&amp;V$35)</f>
        <v>0</v>
      </c>
      <c r="W54" s="32" t="n">
        <f aca="false">COUNTIFS('Project Plan'!$O$7:$O$156,$A54,'Project Plan'!$F$7:$F$156,"&lt;="&amp;W$35,'Project Plan'!$H$7:$H$156,"&gt;="&amp;W$35)</f>
        <v>0</v>
      </c>
      <c r="X54" s="32" t="n">
        <f aca="false">COUNTIFS('Project Plan'!$O$7:$O$156,$A54,'Project Plan'!$F$7:$F$156,"&lt;="&amp;X$35,'Project Plan'!$H$7:$H$156,"&gt;="&amp;X$35)</f>
        <v>0</v>
      </c>
      <c r="Y54" s="32" t="n">
        <f aca="false">COUNTIFS('Project Plan'!$O$7:$O$156,$A54,'Project Plan'!$F$7:$F$156,"&lt;="&amp;Y$35,'Project Plan'!$H$7:$H$156,"&gt;="&amp;Y$35)</f>
        <v>0</v>
      </c>
      <c r="Z54" s="32" t="n">
        <f aca="false">COUNTIFS('Project Plan'!$O$7:$O$156,$A54,'Project Plan'!$F$7:$F$156,"&lt;="&amp;Z$35,'Project Plan'!$H$7:$H$156,"&gt;="&amp;Z$35)</f>
        <v>0</v>
      </c>
      <c r="AA54" s="32" t="n">
        <f aca="false">COUNTIFS('Project Plan'!$O$7:$O$156,$A54,'Project Plan'!$F$7:$F$156,"&lt;="&amp;AA$35,'Project Plan'!$H$7:$H$156,"&gt;="&amp;AA$35)</f>
        <v>0</v>
      </c>
      <c r="AB54" s="32" t="n">
        <f aca="false">COUNTIFS('Project Plan'!$O$7:$O$156,$A54,'Project Plan'!$F$7:$F$156,"&lt;="&amp;AB$35,'Project Plan'!$H$7:$H$156,"&gt;="&amp;AB$35)</f>
        <v>0</v>
      </c>
      <c r="AC54" s="32" t="n">
        <f aca="false">COUNTIFS('Project Plan'!$O$7:$O$156,$A54,'Project Plan'!$F$7:$F$156,"&lt;="&amp;AC$35,'Project Plan'!$H$7:$H$156,"&gt;="&amp;AC$35)</f>
        <v>0</v>
      </c>
    </row>
    <row r="55" customFormat="false" ht="15" hidden="false" customHeight="false" outlineLevel="0" collapsed="false">
      <c r="A55" s="0" t="str">
        <f aca="false">A24</f>
        <v>IA</v>
      </c>
      <c r="B55" s="0" t="n">
        <f aca="false">J24</f>
        <v>1</v>
      </c>
      <c r="C55" s="32" t="n">
        <f aca="false">COUNTIFS('Project Plan'!$O$7:$O$156,$A55,'Project Plan'!$F$7:$F$156,"&lt;="&amp;C$35,'Project Plan'!$H$7:$H$156,"&gt;="&amp;C$35)</f>
        <v>0</v>
      </c>
      <c r="D55" s="32" t="n">
        <f aca="false">COUNTIFS('Project Plan'!$O$7:$O$156,$A55,'Project Plan'!$F$7:$F$156,"&lt;="&amp;D$35,'Project Plan'!$H$7:$H$156,"&gt;="&amp;D$35)</f>
        <v>0</v>
      </c>
      <c r="E55" s="32" t="n">
        <f aca="false">COUNTIFS('Project Plan'!$O$7:$O$156,$A55,'Project Plan'!$F$7:$F$156,"&lt;="&amp;E$35,'Project Plan'!$H$7:$H$156,"&gt;="&amp;E$35)</f>
        <v>0</v>
      </c>
      <c r="F55" s="32" t="n">
        <f aca="false">COUNTIFS('Project Plan'!$O$7:$O$156,$A55,'Project Plan'!$F$7:$F$156,"&lt;="&amp;F$35,'Project Plan'!$H$7:$H$156,"&gt;="&amp;F$35)</f>
        <v>0</v>
      </c>
      <c r="G55" s="32" t="n">
        <f aca="false">COUNTIFS('Project Plan'!$O$7:$O$156,$A55,'Project Plan'!$F$7:$F$156,"&lt;="&amp;G$35,'Project Plan'!$H$7:$H$156,"&gt;="&amp;G$35)</f>
        <v>0</v>
      </c>
      <c r="H55" s="32" t="n">
        <f aca="false">COUNTIFS('Project Plan'!$O$7:$O$156,$A55,'Project Plan'!$F$7:$F$156,"&lt;="&amp;H$35,'Project Plan'!$H$7:$H$156,"&gt;="&amp;H$35)</f>
        <v>0</v>
      </c>
      <c r="I55" s="32" t="n">
        <f aca="false">COUNTIFS('Project Plan'!$O$7:$O$156,$A55,'Project Plan'!$F$7:$F$156,"&lt;="&amp;I$35,'Project Plan'!$H$7:$H$156,"&gt;="&amp;I$35)</f>
        <v>0</v>
      </c>
      <c r="J55" s="32" t="n">
        <f aca="false">COUNTIFS('Project Plan'!$O$7:$O$156,$A55,'Project Plan'!$F$7:$F$156,"&lt;="&amp;J$35,'Project Plan'!$H$7:$H$156,"&gt;="&amp;J$35)</f>
        <v>0</v>
      </c>
      <c r="K55" s="32" t="n">
        <f aca="false">COUNTIFS('Project Plan'!$O$7:$O$156,$A55,'Project Plan'!$F$7:$F$156,"&lt;="&amp;K$35,'Project Plan'!$H$7:$H$156,"&gt;="&amp;K$35)</f>
        <v>0</v>
      </c>
      <c r="L55" s="32" t="n">
        <f aca="false">COUNTIFS('Project Plan'!$O$7:$O$156,$A55,'Project Plan'!$F$7:$F$156,"&lt;="&amp;L$35,'Project Plan'!$H$7:$H$156,"&gt;="&amp;L$35)</f>
        <v>0</v>
      </c>
      <c r="M55" s="32" t="n">
        <f aca="false">COUNTIFS('Project Plan'!$O$7:$O$156,$A55,'Project Plan'!$F$7:$F$156,"&lt;="&amp;M$35,'Project Plan'!$H$7:$H$156,"&gt;="&amp;M$35)</f>
        <v>0</v>
      </c>
      <c r="N55" s="32" t="n">
        <f aca="false">COUNTIFS('Project Plan'!$O$7:$O$156,$A55,'Project Plan'!$F$7:$F$156,"&lt;="&amp;N$35,'Project Plan'!$H$7:$H$156,"&gt;="&amp;N$35)</f>
        <v>0</v>
      </c>
      <c r="O55" s="32" t="n">
        <f aca="false">COUNTIFS('Project Plan'!$O$7:$O$156,$A55,'Project Plan'!$F$7:$F$156,"&lt;="&amp;O$35,'Project Plan'!$H$7:$H$156,"&gt;="&amp;O$35)</f>
        <v>0</v>
      </c>
      <c r="P55" s="32" t="n">
        <f aca="false">COUNTIFS('Project Plan'!$O$7:$O$156,$A55,'Project Plan'!$F$7:$F$156,"&lt;="&amp;P$35,'Project Plan'!$H$7:$H$156,"&gt;="&amp;P$35)</f>
        <v>0</v>
      </c>
      <c r="Q55" s="32" t="n">
        <f aca="false">COUNTIFS('Project Plan'!$O$7:$O$156,$A55,'Project Plan'!$F$7:$F$156,"&lt;="&amp;Q$35,'Project Plan'!$H$7:$H$156,"&gt;="&amp;Q$35)</f>
        <v>0</v>
      </c>
      <c r="R55" s="32" t="n">
        <f aca="false">COUNTIFS('Project Plan'!$O$7:$O$156,$A55,'Project Plan'!$F$7:$F$156,"&lt;="&amp;R$35,'Project Plan'!$H$7:$H$156,"&gt;="&amp;R$35)</f>
        <v>0</v>
      </c>
      <c r="S55" s="32" t="n">
        <f aca="false">COUNTIFS('Project Plan'!$O$7:$O$156,$A55,'Project Plan'!$F$7:$F$156,"&lt;="&amp;S$35,'Project Plan'!$H$7:$H$156,"&gt;="&amp;S$35)</f>
        <v>0</v>
      </c>
      <c r="T55" s="32" t="n">
        <f aca="false">COUNTIFS('Project Plan'!$O$7:$O$156,$A55,'Project Plan'!$F$7:$F$156,"&lt;="&amp;T$35,'Project Plan'!$H$7:$H$156,"&gt;="&amp;T$35)</f>
        <v>0</v>
      </c>
      <c r="U55" s="32" t="n">
        <f aca="false">COUNTIFS('Project Plan'!$O$7:$O$156,$A55,'Project Plan'!$F$7:$F$156,"&lt;="&amp;U$35,'Project Plan'!$H$7:$H$156,"&gt;="&amp;U$35)</f>
        <v>0</v>
      </c>
      <c r="V55" s="32" t="n">
        <f aca="false">COUNTIFS('Project Plan'!$O$7:$O$156,$A55,'Project Plan'!$F$7:$F$156,"&lt;="&amp;V$35,'Project Plan'!$H$7:$H$156,"&gt;="&amp;V$35)</f>
        <v>0</v>
      </c>
      <c r="W55" s="32" t="n">
        <f aca="false">COUNTIFS('Project Plan'!$O$7:$O$156,$A55,'Project Plan'!$F$7:$F$156,"&lt;="&amp;W$35,'Project Plan'!$H$7:$H$156,"&gt;="&amp;W$35)</f>
        <v>0</v>
      </c>
      <c r="X55" s="32" t="n">
        <f aca="false">COUNTIFS('Project Plan'!$O$7:$O$156,$A55,'Project Plan'!$F$7:$F$156,"&lt;="&amp;X$35,'Project Plan'!$H$7:$H$156,"&gt;="&amp;X$35)</f>
        <v>0</v>
      </c>
      <c r="Y55" s="32" t="n">
        <f aca="false">COUNTIFS('Project Plan'!$O$7:$O$156,$A55,'Project Plan'!$F$7:$F$156,"&lt;="&amp;Y$35,'Project Plan'!$H$7:$H$156,"&gt;="&amp;Y$35)</f>
        <v>1</v>
      </c>
      <c r="Z55" s="32" t="n">
        <f aca="false">COUNTIFS('Project Plan'!$O$7:$O$156,$A55,'Project Plan'!$F$7:$F$156,"&lt;="&amp;Z$35,'Project Plan'!$H$7:$H$156,"&gt;="&amp;Z$35)</f>
        <v>1</v>
      </c>
      <c r="AA55" s="32" t="n">
        <f aca="false">COUNTIFS('Project Plan'!$O$7:$O$156,$A55,'Project Plan'!$F$7:$F$156,"&lt;="&amp;AA$35,'Project Plan'!$H$7:$H$156,"&gt;="&amp;AA$35)</f>
        <v>1</v>
      </c>
      <c r="AB55" s="32" t="n">
        <f aca="false">COUNTIFS('Project Plan'!$O$7:$O$156,$A55,'Project Plan'!$F$7:$F$156,"&lt;="&amp;AB$35,'Project Plan'!$H$7:$H$156,"&gt;="&amp;AB$35)</f>
        <v>0</v>
      </c>
      <c r="AC55" s="32" t="n">
        <f aca="false">COUNTIFS('Project Plan'!$O$7:$O$156,$A55,'Project Plan'!$F$7:$F$156,"&lt;="&amp;AC$35,'Project Plan'!$H$7:$H$156,"&gt;="&amp;AC$35)</f>
        <v>0</v>
      </c>
    </row>
    <row r="56" customFormat="false" ht="15" hidden="false" customHeight="false" outlineLevel="0" collapsed="false">
      <c r="A56" s="0" t="str">
        <f aca="false">A25</f>
        <v>HRB</v>
      </c>
      <c r="B56" s="0" t="n">
        <f aca="false">J25</f>
        <v>1</v>
      </c>
      <c r="C56" s="32" t="n">
        <f aca="false">COUNTIFS('Project Plan'!$O$7:$O$156,$A56,'Project Plan'!$F$7:$F$156,"&lt;="&amp;C$35,'Project Plan'!$H$7:$H$156,"&gt;="&amp;C$35)</f>
        <v>0</v>
      </c>
      <c r="D56" s="32" t="n">
        <f aca="false">COUNTIFS('Project Plan'!$O$7:$O$156,$A56,'Project Plan'!$F$7:$F$156,"&lt;="&amp;D$35,'Project Plan'!$H$7:$H$156,"&gt;="&amp;D$35)</f>
        <v>0</v>
      </c>
      <c r="E56" s="32" t="n">
        <f aca="false">COUNTIFS('Project Plan'!$O$7:$O$156,$A56,'Project Plan'!$F$7:$F$156,"&lt;="&amp;E$35,'Project Plan'!$H$7:$H$156,"&gt;="&amp;E$35)</f>
        <v>0</v>
      </c>
      <c r="F56" s="32" t="n">
        <f aca="false">COUNTIFS('Project Plan'!$O$7:$O$156,$A56,'Project Plan'!$F$7:$F$156,"&lt;="&amp;F$35,'Project Plan'!$H$7:$H$156,"&gt;="&amp;F$35)</f>
        <v>0</v>
      </c>
      <c r="G56" s="32" t="n">
        <f aca="false">COUNTIFS('Project Plan'!$O$7:$O$156,$A56,'Project Plan'!$F$7:$F$156,"&lt;="&amp;G$35,'Project Plan'!$H$7:$H$156,"&gt;="&amp;G$35)</f>
        <v>0</v>
      </c>
      <c r="H56" s="32" t="n">
        <f aca="false">COUNTIFS('Project Plan'!$O$7:$O$156,$A56,'Project Plan'!$F$7:$F$156,"&lt;="&amp;H$35,'Project Plan'!$H$7:$H$156,"&gt;="&amp;H$35)</f>
        <v>0</v>
      </c>
      <c r="I56" s="32" t="n">
        <f aca="false">COUNTIFS('Project Plan'!$O$7:$O$156,$A56,'Project Plan'!$F$7:$F$156,"&lt;="&amp;I$35,'Project Plan'!$H$7:$H$156,"&gt;="&amp;I$35)</f>
        <v>0</v>
      </c>
      <c r="J56" s="32" t="n">
        <f aca="false">COUNTIFS('Project Plan'!$O$7:$O$156,$A56,'Project Plan'!$F$7:$F$156,"&lt;="&amp;J$35,'Project Plan'!$H$7:$H$156,"&gt;="&amp;J$35)</f>
        <v>0</v>
      </c>
      <c r="K56" s="32" t="n">
        <f aca="false">COUNTIFS('Project Plan'!$O$7:$O$156,$A56,'Project Plan'!$F$7:$F$156,"&lt;="&amp;K$35,'Project Plan'!$H$7:$H$156,"&gt;="&amp;K$35)</f>
        <v>0</v>
      </c>
      <c r="L56" s="32" t="n">
        <f aca="false">COUNTIFS('Project Plan'!$O$7:$O$156,$A56,'Project Plan'!$F$7:$F$156,"&lt;="&amp;L$35,'Project Plan'!$H$7:$H$156,"&gt;="&amp;L$35)</f>
        <v>0</v>
      </c>
      <c r="M56" s="32" t="n">
        <f aca="false">COUNTIFS('Project Plan'!$O$7:$O$156,$A56,'Project Plan'!$F$7:$F$156,"&lt;="&amp;M$35,'Project Plan'!$H$7:$H$156,"&gt;="&amp;M$35)</f>
        <v>0</v>
      </c>
      <c r="N56" s="32" t="n">
        <f aca="false">COUNTIFS('Project Plan'!$O$7:$O$156,$A56,'Project Plan'!$F$7:$F$156,"&lt;="&amp;N$35,'Project Plan'!$H$7:$H$156,"&gt;="&amp;N$35)</f>
        <v>1</v>
      </c>
      <c r="O56" s="32" t="n">
        <f aca="false">COUNTIFS('Project Plan'!$O$7:$O$156,$A56,'Project Plan'!$F$7:$F$156,"&lt;="&amp;O$35,'Project Plan'!$H$7:$H$156,"&gt;="&amp;O$35)</f>
        <v>1</v>
      </c>
      <c r="P56" s="32" t="n">
        <f aca="false">COUNTIFS('Project Plan'!$O$7:$O$156,$A56,'Project Plan'!$F$7:$F$156,"&lt;="&amp;P$35,'Project Plan'!$H$7:$H$156,"&gt;="&amp;P$35)</f>
        <v>1</v>
      </c>
      <c r="Q56" s="32" t="n">
        <f aca="false">COUNTIFS('Project Plan'!$O$7:$O$156,$A56,'Project Plan'!$F$7:$F$156,"&lt;="&amp;Q$35,'Project Plan'!$H$7:$H$156,"&gt;="&amp;Q$35)</f>
        <v>0</v>
      </c>
      <c r="R56" s="32" t="n">
        <f aca="false">COUNTIFS('Project Plan'!$O$7:$O$156,$A56,'Project Plan'!$F$7:$F$156,"&lt;="&amp;R$35,'Project Plan'!$H$7:$H$156,"&gt;="&amp;R$35)</f>
        <v>0</v>
      </c>
      <c r="S56" s="32" t="n">
        <f aca="false">COUNTIFS('Project Plan'!$O$7:$O$156,$A56,'Project Plan'!$F$7:$F$156,"&lt;="&amp;S$35,'Project Plan'!$H$7:$H$156,"&gt;="&amp;S$35)</f>
        <v>0</v>
      </c>
      <c r="T56" s="32" t="n">
        <f aca="false">COUNTIFS('Project Plan'!$O$7:$O$156,$A56,'Project Plan'!$F$7:$F$156,"&lt;="&amp;T$35,'Project Plan'!$H$7:$H$156,"&gt;="&amp;T$35)</f>
        <v>0</v>
      </c>
      <c r="U56" s="32" t="n">
        <f aca="false">COUNTIFS('Project Plan'!$O$7:$O$156,$A56,'Project Plan'!$F$7:$F$156,"&lt;="&amp;U$35,'Project Plan'!$H$7:$H$156,"&gt;="&amp;U$35)</f>
        <v>0</v>
      </c>
      <c r="V56" s="32" t="n">
        <f aca="false">COUNTIFS('Project Plan'!$O$7:$O$156,$A56,'Project Plan'!$F$7:$F$156,"&lt;="&amp;V$35,'Project Plan'!$H$7:$H$156,"&gt;="&amp;V$35)</f>
        <v>0</v>
      </c>
      <c r="W56" s="32" t="n">
        <f aca="false">COUNTIFS('Project Plan'!$O$7:$O$156,$A56,'Project Plan'!$F$7:$F$156,"&lt;="&amp;W$35,'Project Plan'!$H$7:$H$156,"&gt;="&amp;W$35)</f>
        <v>0</v>
      </c>
      <c r="X56" s="32" t="n">
        <f aca="false">COUNTIFS('Project Plan'!$O$7:$O$156,$A56,'Project Plan'!$F$7:$F$156,"&lt;="&amp;X$35,'Project Plan'!$H$7:$H$156,"&gt;="&amp;X$35)</f>
        <v>0</v>
      </c>
      <c r="Y56" s="32" t="n">
        <f aca="false">COUNTIFS('Project Plan'!$O$7:$O$156,$A56,'Project Plan'!$F$7:$F$156,"&lt;="&amp;Y$35,'Project Plan'!$H$7:$H$156,"&gt;="&amp;Y$35)</f>
        <v>0</v>
      </c>
      <c r="Z56" s="32" t="n">
        <f aca="false">COUNTIFS('Project Plan'!$O$7:$O$156,$A56,'Project Plan'!$F$7:$F$156,"&lt;="&amp;Z$35,'Project Plan'!$H$7:$H$156,"&gt;="&amp;Z$35)</f>
        <v>0</v>
      </c>
      <c r="AA56" s="32" t="n">
        <f aca="false">COUNTIFS('Project Plan'!$O$7:$O$156,$A56,'Project Plan'!$F$7:$F$156,"&lt;="&amp;AA$35,'Project Plan'!$H$7:$H$156,"&gt;="&amp;AA$35)</f>
        <v>0</v>
      </c>
      <c r="AB56" s="32" t="n">
        <f aca="false">COUNTIFS('Project Plan'!$O$7:$O$156,$A56,'Project Plan'!$F$7:$F$156,"&lt;="&amp;AB$35,'Project Plan'!$H$7:$H$156,"&gt;="&amp;AB$35)</f>
        <v>0</v>
      </c>
      <c r="AC56" s="32" t="n">
        <f aca="false">COUNTIFS('Project Plan'!$O$7:$O$156,$A56,'Project Plan'!$F$7:$F$156,"&lt;="&amp;AC$35,'Project Plan'!$H$7:$H$156,"&gt;="&amp;AC$35)</f>
        <v>0</v>
      </c>
    </row>
    <row r="57" customFormat="false" ht="15" hidden="false" customHeight="false" outlineLevel="0" collapsed="false">
      <c r="A57" s="0" t="str">
        <f aca="false">A26</f>
        <v>ENG</v>
      </c>
      <c r="B57" s="0" t="n">
        <f aca="false">J26</f>
        <v>0</v>
      </c>
      <c r="C57" s="32" t="n">
        <f aca="false">COUNTIFS('Project Plan'!$O$7:$O$156,$A57,'Project Plan'!$F$7:$F$156,"&lt;="&amp;C$35,'Project Plan'!$H$7:$H$156,"&gt;="&amp;C$35)</f>
        <v>0</v>
      </c>
      <c r="D57" s="32" t="n">
        <f aca="false">COUNTIFS('Project Plan'!$O$7:$O$156,$A57,'Project Plan'!$F$7:$F$156,"&lt;="&amp;D$35,'Project Plan'!$H$7:$H$156,"&gt;="&amp;D$35)</f>
        <v>0</v>
      </c>
      <c r="E57" s="32" t="n">
        <f aca="false">COUNTIFS('Project Plan'!$O$7:$O$156,$A57,'Project Plan'!$F$7:$F$156,"&lt;="&amp;E$35,'Project Plan'!$H$7:$H$156,"&gt;="&amp;E$35)</f>
        <v>0</v>
      </c>
      <c r="F57" s="32" t="n">
        <f aca="false">COUNTIFS('Project Plan'!$O$7:$O$156,$A57,'Project Plan'!$F$7:$F$156,"&lt;="&amp;F$35,'Project Plan'!$H$7:$H$156,"&gt;="&amp;F$35)</f>
        <v>0</v>
      </c>
      <c r="G57" s="32" t="n">
        <f aca="false">COUNTIFS('Project Plan'!$O$7:$O$156,$A57,'Project Plan'!$F$7:$F$156,"&lt;="&amp;G$35,'Project Plan'!$H$7:$H$156,"&gt;="&amp;G$35)</f>
        <v>0</v>
      </c>
      <c r="H57" s="32" t="n">
        <f aca="false">COUNTIFS('Project Plan'!$O$7:$O$156,$A57,'Project Plan'!$F$7:$F$156,"&lt;="&amp;H$35,'Project Plan'!$H$7:$H$156,"&gt;="&amp;H$35)</f>
        <v>0</v>
      </c>
      <c r="I57" s="32" t="n">
        <f aca="false">COUNTIFS('Project Plan'!$O$7:$O$156,$A57,'Project Plan'!$F$7:$F$156,"&lt;="&amp;I$35,'Project Plan'!$H$7:$H$156,"&gt;="&amp;I$35)</f>
        <v>0</v>
      </c>
      <c r="J57" s="32" t="n">
        <f aca="false">COUNTIFS('Project Plan'!$O$7:$O$156,$A57,'Project Plan'!$F$7:$F$156,"&lt;="&amp;J$35,'Project Plan'!$H$7:$H$156,"&gt;="&amp;J$35)</f>
        <v>0</v>
      </c>
      <c r="K57" s="32" t="n">
        <f aca="false">COUNTIFS('Project Plan'!$O$7:$O$156,$A57,'Project Plan'!$F$7:$F$156,"&lt;="&amp;K$35,'Project Plan'!$H$7:$H$156,"&gt;="&amp;K$35)</f>
        <v>0</v>
      </c>
      <c r="L57" s="32" t="n">
        <f aca="false">COUNTIFS('Project Plan'!$O$7:$O$156,$A57,'Project Plan'!$F$7:$F$156,"&lt;="&amp;L$35,'Project Plan'!$H$7:$H$156,"&gt;="&amp;L$35)</f>
        <v>0</v>
      </c>
      <c r="M57" s="32" t="n">
        <f aca="false">COUNTIFS('Project Plan'!$O$7:$O$156,$A57,'Project Plan'!$F$7:$F$156,"&lt;="&amp;M$35,'Project Plan'!$H$7:$H$156,"&gt;="&amp;M$35)</f>
        <v>0</v>
      </c>
      <c r="N57" s="32" t="n">
        <f aca="false">COUNTIFS('Project Plan'!$O$7:$O$156,$A57,'Project Plan'!$F$7:$F$156,"&lt;="&amp;N$35,'Project Plan'!$H$7:$H$156,"&gt;="&amp;N$35)</f>
        <v>0</v>
      </c>
      <c r="O57" s="32" t="n">
        <f aca="false">COUNTIFS('Project Plan'!$O$7:$O$156,$A57,'Project Plan'!$F$7:$F$156,"&lt;="&amp;O$35,'Project Plan'!$H$7:$H$156,"&gt;="&amp;O$35)</f>
        <v>0</v>
      </c>
      <c r="P57" s="32" t="n">
        <f aca="false">COUNTIFS('Project Plan'!$O$7:$O$156,$A57,'Project Plan'!$F$7:$F$156,"&lt;="&amp;P$35,'Project Plan'!$H$7:$H$156,"&gt;="&amp;P$35)</f>
        <v>0</v>
      </c>
      <c r="Q57" s="32" t="n">
        <f aca="false">COUNTIFS('Project Plan'!$O$7:$O$156,$A57,'Project Plan'!$F$7:$F$156,"&lt;="&amp;Q$35,'Project Plan'!$H$7:$H$156,"&gt;="&amp;Q$35)</f>
        <v>0</v>
      </c>
      <c r="R57" s="32" t="n">
        <f aca="false">COUNTIFS('Project Plan'!$O$7:$O$156,$A57,'Project Plan'!$F$7:$F$156,"&lt;="&amp;R$35,'Project Plan'!$H$7:$H$156,"&gt;="&amp;R$35)</f>
        <v>0</v>
      </c>
      <c r="S57" s="32" t="n">
        <f aca="false">COUNTIFS('Project Plan'!$O$7:$O$156,$A57,'Project Plan'!$F$7:$F$156,"&lt;="&amp;S$35,'Project Plan'!$H$7:$H$156,"&gt;="&amp;S$35)</f>
        <v>0</v>
      </c>
      <c r="T57" s="32" t="n">
        <f aca="false">COUNTIFS('Project Plan'!$O$7:$O$156,$A57,'Project Plan'!$F$7:$F$156,"&lt;="&amp;T$35,'Project Plan'!$H$7:$H$156,"&gt;="&amp;T$35)</f>
        <v>0</v>
      </c>
      <c r="U57" s="32" t="n">
        <f aca="false">COUNTIFS('Project Plan'!$O$7:$O$156,$A57,'Project Plan'!$F$7:$F$156,"&lt;="&amp;U$35,'Project Plan'!$H$7:$H$156,"&gt;="&amp;U$35)</f>
        <v>0</v>
      </c>
      <c r="V57" s="32" t="n">
        <f aca="false">COUNTIFS('Project Plan'!$O$7:$O$156,$A57,'Project Plan'!$F$7:$F$156,"&lt;="&amp;V$35,'Project Plan'!$H$7:$H$156,"&gt;="&amp;V$35)</f>
        <v>0</v>
      </c>
      <c r="W57" s="32" t="n">
        <f aca="false">COUNTIFS('Project Plan'!$O$7:$O$156,$A57,'Project Plan'!$F$7:$F$156,"&lt;="&amp;W$35,'Project Plan'!$H$7:$H$156,"&gt;="&amp;W$35)</f>
        <v>0</v>
      </c>
      <c r="X57" s="32" t="n">
        <f aca="false">COUNTIFS('Project Plan'!$O$7:$O$156,$A57,'Project Plan'!$F$7:$F$156,"&lt;="&amp;X$35,'Project Plan'!$H$7:$H$156,"&gt;="&amp;X$35)</f>
        <v>0</v>
      </c>
      <c r="Y57" s="32" t="n">
        <f aca="false">COUNTIFS('Project Plan'!$O$7:$O$156,$A57,'Project Plan'!$F$7:$F$156,"&lt;="&amp;Y$35,'Project Plan'!$H$7:$H$156,"&gt;="&amp;Y$35)</f>
        <v>0</v>
      </c>
      <c r="Z57" s="32" t="n">
        <f aca="false">COUNTIFS('Project Plan'!$O$7:$O$156,$A57,'Project Plan'!$F$7:$F$156,"&lt;="&amp;Z$35,'Project Plan'!$H$7:$H$156,"&gt;="&amp;Z$35)</f>
        <v>0</v>
      </c>
      <c r="AA57" s="32" t="n">
        <f aca="false">COUNTIFS('Project Plan'!$O$7:$O$156,$A57,'Project Plan'!$F$7:$F$156,"&lt;="&amp;AA$35,'Project Plan'!$H$7:$H$156,"&gt;="&amp;AA$35)</f>
        <v>0</v>
      </c>
      <c r="AB57" s="32" t="n">
        <f aca="false">COUNTIFS('Project Plan'!$O$7:$O$156,$A57,'Project Plan'!$F$7:$F$156,"&lt;="&amp;AB$35,'Project Plan'!$H$7:$H$156,"&gt;="&amp;AB$35)</f>
        <v>0</v>
      </c>
      <c r="AC57" s="32" t="n">
        <f aca="false">COUNTIFS('Project Plan'!$O$7:$O$156,$A57,'Project Plan'!$F$7:$F$156,"&lt;="&amp;AC$35,'Project Plan'!$H$7:$H$156,"&gt;="&amp;AC$35)</f>
        <v>0</v>
      </c>
    </row>
    <row r="59" customFormat="false" ht="15" hidden="false" customHeight="false" outlineLevel="0" collapsed="false">
      <c r="A59" s="33" t="s">
        <v>1232</v>
      </c>
    </row>
    <row r="60" customFormat="false" ht="15" hidden="false" customHeight="false" outlineLevel="0" collapsed="false">
      <c r="A60" s="34" t="s">
        <v>1128</v>
      </c>
      <c r="B60" s="34" t="s">
        <v>1233</v>
      </c>
      <c r="C60" s="34" t="n">
        <v>0</v>
      </c>
      <c r="D60" s="34" t="n">
        <v>1</v>
      </c>
      <c r="E60" s="34" t="n">
        <v>2</v>
      </c>
      <c r="F60" s="34" t="n">
        <v>3</v>
      </c>
      <c r="G60" s="34" t="n">
        <v>4</v>
      </c>
      <c r="H60" s="34" t="n">
        <v>5</v>
      </c>
      <c r="I60" s="34" t="n">
        <v>6</v>
      </c>
      <c r="J60" s="34" t="n">
        <v>7</v>
      </c>
      <c r="K60" s="34" t="n">
        <v>8</v>
      </c>
      <c r="L60" s="34" t="n">
        <v>9</v>
      </c>
      <c r="M60" s="34" t="n">
        <v>10</v>
      </c>
      <c r="N60" s="34" t="n">
        <v>11</v>
      </c>
      <c r="O60" s="34" t="n">
        <v>12</v>
      </c>
      <c r="P60" s="34" t="n">
        <v>13</v>
      </c>
      <c r="Q60" s="34" t="n">
        <v>14</v>
      </c>
      <c r="R60" s="34" t="n">
        <v>15</v>
      </c>
      <c r="S60" s="34" t="n">
        <v>16</v>
      </c>
      <c r="T60" s="34" t="n">
        <v>17</v>
      </c>
      <c r="U60" s="34" t="n">
        <v>18</v>
      </c>
      <c r="V60" s="34" t="n">
        <v>19</v>
      </c>
      <c r="W60" s="34" t="n">
        <v>20</v>
      </c>
      <c r="X60" s="34" t="n">
        <v>21</v>
      </c>
      <c r="Y60" s="34" t="n">
        <v>22</v>
      </c>
      <c r="Z60" s="34" t="n">
        <v>23</v>
      </c>
      <c r="AA60" s="34" t="n">
        <v>24</v>
      </c>
      <c r="AB60" s="34" t="n">
        <v>25</v>
      </c>
      <c r="AC60" s="34" t="n">
        <v>26</v>
      </c>
    </row>
    <row r="61" customFormat="false" ht="15" hidden="false" customHeight="false" outlineLevel="0" collapsed="false">
      <c r="A61" s="0" t="str">
        <f aca="false">A5</f>
        <v>PL</v>
      </c>
      <c r="B61" s="0" t="n">
        <f aca="false">4*E5</f>
        <v>4</v>
      </c>
      <c r="C61" s="32" t="n">
        <f aca="false">COUNTIFS('Project Plan'!$O$7:$O$156,$A61,'Project Plan'!$F$7:$F$156,"&lt;="&amp;C$60,'Project Plan'!$H$7:$H$156,"&gt;="&amp;C$60)+0.25*COUNTIFS('Project Plan'!$V$7:$V$156,"*;"&amp;$A61&amp;";*",'Project Plan'!$O$7:$O$156,"&lt;&gt;"&amp;$A61,'Project Plan'!$F$7:$F$156,"&lt;="&amp;C$60,'Project Plan'!$H$7:$H$156,"&gt;="&amp;C$60)</f>
        <v>3.25</v>
      </c>
      <c r="D61" s="32" t="n">
        <f aca="false">COUNTIFS('Project Plan'!$O$7:$O$156,$A61,'Project Plan'!$F$7:$F$156,"&lt;="&amp;D$60,'Project Plan'!$H$7:$H$156,"&gt;="&amp;D$60)+0.25*COUNTIFS('Project Plan'!$V$7:$V$156,"*;"&amp;$A61&amp;";*",'Project Plan'!$O$7:$O$156,"&lt;&gt;"&amp;$A61,'Project Plan'!$F$7:$F$156,"&lt;="&amp;D$60,'Project Plan'!$H$7:$H$156,"&gt;="&amp;D$60)</f>
        <v>2.25</v>
      </c>
      <c r="E61" s="32" t="n">
        <f aca="false">COUNTIFS('Project Plan'!$O$7:$O$156,$A61,'Project Plan'!$F$7:$F$156,"&lt;="&amp;E$60,'Project Plan'!$H$7:$H$156,"&gt;="&amp;E$60)+0.25*COUNTIFS('Project Plan'!$V$7:$V$156,"*;"&amp;$A61&amp;";*",'Project Plan'!$O$7:$O$156,"&lt;&gt;"&amp;$A61,'Project Plan'!$F$7:$F$156,"&lt;="&amp;E$60,'Project Plan'!$H$7:$H$156,"&gt;="&amp;E$60)</f>
        <v>2.5</v>
      </c>
      <c r="F61" s="32" t="n">
        <f aca="false">COUNTIFS('Project Plan'!$O$7:$O$156,$A61,'Project Plan'!$F$7:$F$156,"&lt;="&amp;F$60,'Project Plan'!$H$7:$H$156,"&gt;="&amp;F$60)+0.25*COUNTIFS('Project Plan'!$V$7:$V$156,"*;"&amp;$A61&amp;";*",'Project Plan'!$O$7:$O$156,"&lt;&gt;"&amp;$A61,'Project Plan'!$F$7:$F$156,"&lt;="&amp;F$60,'Project Plan'!$H$7:$H$156,"&gt;="&amp;F$60)</f>
        <v>3.5</v>
      </c>
      <c r="G61" s="32" t="n">
        <f aca="false">COUNTIFS('Project Plan'!$O$7:$O$156,$A61,'Project Plan'!$F$7:$F$156,"&lt;="&amp;G$60,'Project Plan'!$H$7:$H$156,"&gt;="&amp;G$60)+0.25*COUNTIFS('Project Plan'!$V$7:$V$156,"*;"&amp;$A61&amp;";*",'Project Plan'!$O$7:$O$156,"&lt;&gt;"&amp;$A61,'Project Plan'!$F$7:$F$156,"&lt;="&amp;G$60,'Project Plan'!$H$7:$H$156,"&gt;="&amp;G$60)</f>
        <v>2.75</v>
      </c>
      <c r="H61" s="32" t="n">
        <f aca="false">COUNTIFS('Project Plan'!$O$7:$O$156,$A61,'Project Plan'!$F$7:$F$156,"&lt;="&amp;H$60,'Project Plan'!$H$7:$H$156,"&gt;="&amp;H$60)+0.25*COUNTIFS('Project Plan'!$V$7:$V$156,"*;"&amp;$A61&amp;";*",'Project Plan'!$O$7:$O$156,"&lt;&gt;"&amp;$A61,'Project Plan'!$F$7:$F$156,"&lt;="&amp;H$60,'Project Plan'!$H$7:$H$156,"&gt;="&amp;H$60)</f>
        <v>2.5</v>
      </c>
      <c r="I61" s="32" t="n">
        <f aca="false">COUNTIFS('Project Plan'!$O$7:$O$156,$A61,'Project Plan'!$F$7:$F$156,"&lt;="&amp;I$60,'Project Plan'!$H$7:$H$156,"&gt;="&amp;I$60)+0.25*COUNTIFS('Project Plan'!$V$7:$V$156,"*;"&amp;$A61&amp;";*",'Project Plan'!$O$7:$O$156,"&lt;&gt;"&amp;$A61,'Project Plan'!$F$7:$F$156,"&lt;="&amp;I$60,'Project Plan'!$H$7:$H$156,"&gt;="&amp;I$60)</f>
        <v>3.75</v>
      </c>
      <c r="J61" s="32" t="n">
        <f aca="false">COUNTIFS('Project Plan'!$O$7:$O$156,$A61,'Project Plan'!$F$7:$F$156,"&lt;="&amp;J$60,'Project Plan'!$H$7:$H$156,"&gt;="&amp;J$60)+0.25*COUNTIFS('Project Plan'!$V$7:$V$156,"*;"&amp;$A61&amp;";*",'Project Plan'!$O$7:$O$156,"&lt;&gt;"&amp;$A61,'Project Plan'!$F$7:$F$156,"&lt;="&amp;J$60,'Project Plan'!$H$7:$H$156,"&gt;="&amp;J$60)</f>
        <v>1.5</v>
      </c>
      <c r="K61" s="32" t="n">
        <f aca="false">COUNTIFS('Project Plan'!$O$7:$O$156,$A61,'Project Plan'!$F$7:$F$156,"&lt;="&amp;K$60,'Project Plan'!$H$7:$H$156,"&gt;="&amp;K$60)+0.25*COUNTIFS('Project Plan'!$V$7:$V$156,"*;"&amp;$A61&amp;";*",'Project Plan'!$O$7:$O$156,"&lt;&gt;"&amp;$A61,'Project Plan'!$F$7:$F$156,"&lt;="&amp;K$60,'Project Plan'!$H$7:$H$156,"&gt;="&amp;K$60)</f>
        <v>2.5</v>
      </c>
      <c r="L61" s="32" t="n">
        <f aca="false">COUNTIFS('Project Plan'!$O$7:$O$156,$A61,'Project Plan'!$F$7:$F$156,"&lt;="&amp;L$60,'Project Plan'!$H$7:$H$156,"&gt;="&amp;L$60)+0.25*COUNTIFS('Project Plan'!$V$7:$V$156,"*;"&amp;$A61&amp;";*",'Project Plan'!$O$7:$O$156,"&lt;&gt;"&amp;$A61,'Project Plan'!$F$7:$F$156,"&lt;="&amp;L$60,'Project Plan'!$H$7:$H$156,"&gt;="&amp;L$60)</f>
        <v>1.25</v>
      </c>
      <c r="M61" s="32" t="n">
        <f aca="false">COUNTIFS('Project Plan'!$O$7:$O$156,$A61,'Project Plan'!$F$7:$F$156,"&lt;="&amp;M$60,'Project Plan'!$H$7:$H$156,"&gt;="&amp;M$60)+0.25*COUNTIFS('Project Plan'!$V$7:$V$156,"*;"&amp;$A61&amp;";*",'Project Plan'!$O$7:$O$156,"&lt;&gt;"&amp;$A61,'Project Plan'!$F$7:$F$156,"&lt;="&amp;M$60,'Project Plan'!$H$7:$H$156,"&gt;="&amp;M$60)</f>
        <v>1</v>
      </c>
      <c r="N61" s="32" t="n">
        <f aca="false">COUNTIFS('Project Plan'!$O$7:$O$156,$A61,'Project Plan'!$F$7:$F$156,"&lt;="&amp;N$60,'Project Plan'!$H$7:$H$156,"&gt;="&amp;N$60)+0.25*COUNTIFS('Project Plan'!$V$7:$V$156,"*;"&amp;$A61&amp;";*",'Project Plan'!$O$7:$O$156,"&lt;&gt;"&amp;$A61,'Project Plan'!$F$7:$F$156,"&lt;="&amp;N$60,'Project Plan'!$H$7:$H$156,"&gt;="&amp;N$60)</f>
        <v>0.25</v>
      </c>
      <c r="O61" s="32" t="n">
        <f aca="false">COUNTIFS('Project Plan'!$O$7:$O$156,$A61,'Project Plan'!$F$7:$F$156,"&lt;="&amp;O$60,'Project Plan'!$H$7:$H$156,"&gt;="&amp;O$60)+0.25*COUNTIFS('Project Plan'!$V$7:$V$156,"*;"&amp;$A61&amp;";*",'Project Plan'!$O$7:$O$156,"&lt;&gt;"&amp;$A61,'Project Plan'!$F$7:$F$156,"&lt;="&amp;O$60,'Project Plan'!$H$7:$H$156,"&gt;="&amp;O$60)</f>
        <v>0.25</v>
      </c>
      <c r="P61" s="32" t="n">
        <f aca="false">COUNTIFS('Project Plan'!$O$7:$O$156,$A61,'Project Plan'!$F$7:$F$156,"&lt;="&amp;P$60,'Project Plan'!$H$7:$H$156,"&gt;="&amp;P$60)+0.25*COUNTIFS('Project Plan'!$V$7:$V$156,"*;"&amp;$A61&amp;";*",'Project Plan'!$O$7:$O$156,"&lt;&gt;"&amp;$A61,'Project Plan'!$F$7:$F$156,"&lt;="&amp;P$60,'Project Plan'!$H$7:$H$156,"&gt;="&amp;P$60)</f>
        <v>0.25</v>
      </c>
      <c r="Q61" s="32" t="n">
        <f aca="false">COUNTIFS('Project Plan'!$O$7:$O$156,$A61,'Project Plan'!$F$7:$F$156,"&lt;="&amp;Q$60,'Project Plan'!$H$7:$H$156,"&gt;="&amp;Q$60)+0.25*COUNTIFS('Project Plan'!$V$7:$V$156,"*;"&amp;$A61&amp;";*",'Project Plan'!$O$7:$O$156,"&lt;&gt;"&amp;$A61,'Project Plan'!$F$7:$F$156,"&lt;="&amp;Q$60,'Project Plan'!$H$7:$H$156,"&gt;="&amp;Q$60)</f>
        <v>0.5</v>
      </c>
      <c r="R61" s="32" t="n">
        <f aca="false">COUNTIFS('Project Plan'!$O$7:$O$156,$A61,'Project Plan'!$F$7:$F$156,"&lt;="&amp;R$60,'Project Plan'!$H$7:$H$156,"&gt;="&amp;R$60)+0.25*COUNTIFS('Project Plan'!$V$7:$V$156,"*;"&amp;$A61&amp;";*",'Project Plan'!$O$7:$O$156,"&lt;&gt;"&amp;$A61,'Project Plan'!$F$7:$F$156,"&lt;="&amp;R$60,'Project Plan'!$H$7:$H$156,"&gt;="&amp;R$60)</f>
        <v>1.25</v>
      </c>
      <c r="S61" s="32" t="n">
        <f aca="false">COUNTIFS('Project Plan'!$O$7:$O$156,$A61,'Project Plan'!$F$7:$F$156,"&lt;="&amp;S$60,'Project Plan'!$H$7:$H$156,"&gt;="&amp;S$60)+0.25*COUNTIFS('Project Plan'!$V$7:$V$156,"*;"&amp;$A61&amp;";*",'Project Plan'!$O$7:$O$156,"&lt;&gt;"&amp;$A61,'Project Plan'!$F$7:$F$156,"&lt;="&amp;S$60,'Project Plan'!$H$7:$H$156,"&gt;="&amp;S$60)</f>
        <v>0.5</v>
      </c>
      <c r="T61" s="32" t="n">
        <f aca="false">COUNTIFS('Project Plan'!$O$7:$O$156,$A61,'Project Plan'!$F$7:$F$156,"&lt;="&amp;T$60,'Project Plan'!$H$7:$H$156,"&gt;="&amp;T$60)+0.25*COUNTIFS('Project Plan'!$V$7:$V$156,"*;"&amp;$A61&amp;";*",'Project Plan'!$O$7:$O$156,"&lt;&gt;"&amp;$A61,'Project Plan'!$F$7:$F$156,"&lt;="&amp;T$60,'Project Plan'!$H$7:$H$156,"&gt;="&amp;T$60)</f>
        <v>0.25</v>
      </c>
      <c r="U61" s="32" t="n">
        <f aca="false">COUNTIFS('Project Plan'!$O$7:$O$156,$A61,'Project Plan'!$F$7:$F$156,"&lt;="&amp;U$60,'Project Plan'!$H$7:$H$156,"&gt;="&amp;U$60)+0.25*COUNTIFS('Project Plan'!$V$7:$V$156,"*;"&amp;$A61&amp;";*",'Project Plan'!$O$7:$O$156,"&lt;&gt;"&amp;$A61,'Project Plan'!$F$7:$F$156,"&lt;="&amp;U$60,'Project Plan'!$H$7:$H$156,"&gt;="&amp;U$60)</f>
        <v>0</v>
      </c>
      <c r="V61" s="32" t="n">
        <f aca="false">COUNTIFS('Project Plan'!$O$7:$O$156,$A61,'Project Plan'!$F$7:$F$156,"&lt;="&amp;V$60,'Project Plan'!$H$7:$H$156,"&gt;="&amp;V$60)+0.25*COUNTIFS('Project Plan'!$V$7:$V$156,"*;"&amp;$A61&amp;";*",'Project Plan'!$O$7:$O$156,"&lt;&gt;"&amp;$A61,'Project Plan'!$F$7:$F$156,"&lt;="&amp;V$60,'Project Plan'!$H$7:$H$156,"&gt;="&amp;V$60)</f>
        <v>0.25</v>
      </c>
      <c r="W61" s="32" t="n">
        <f aca="false">COUNTIFS('Project Plan'!$O$7:$O$156,$A61,'Project Plan'!$F$7:$F$156,"&lt;="&amp;W$60,'Project Plan'!$H$7:$H$156,"&gt;="&amp;W$60)+0.25*COUNTIFS('Project Plan'!$V$7:$V$156,"*;"&amp;$A61&amp;";*",'Project Plan'!$O$7:$O$156,"&lt;&gt;"&amp;$A61,'Project Plan'!$F$7:$F$156,"&lt;="&amp;W$60,'Project Plan'!$H$7:$H$156,"&gt;="&amp;W$60)</f>
        <v>1.25</v>
      </c>
      <c r="X61" s="32" t="n">
        <f aca="false">COUNTIFS('Project Plan'!$O$7:$O$156,$A61,'Project Plan'!$F$7:$F$156,"&lt;="&amp;X$60,'Project Plan'!$H$7:$H$156,"&gt;="&amp;X$60)+0.25*COUNTIFS('Project Plan'!$V$7:$V$156,"*;"&amp;$A61&amp;";*",'Project Plan'!$O$7:$O$156,"&lt;&gt;"&amp;$A61,'Project Plan'!$F$7:$F$156,"&lt;="&amp;X$60,'Project Plan'!$H$7:$H$156,"&gt;="&amp;X$60)</f>
        <v>1</v>
      </c>
      <c r="Y61" s="32" t="n">
        <f aca="false">COUNTIFS('Project Plan'!$O$7:$O$156,$A61,'Project Plan'!$F$7:$F$156,"&lt;="&amp;Y$60,'Project Plan'!$H$7:$H$156,"&gt;="&amp;Y$60)+0.25*COUNTIFS('Project Plan'!$V$7:$V$156,"*;"&amp;$A61&amp;";*",'Project Plan'!$O$7:$O$156,"&lt;&gt;"&amp;$A61,'Project Plan'!$F$7:$F$156,"&lt;="&amp;Y$60,'Project Plan'!$H$7:$H$156,"&gt;="&amp;Y$60)</f>
        <v>1</v>
      </c>
      <c r="Z61" s="32" t="n">
        <f aca="false">COUNTIFS('Project Plan'!$O$7:$O$156,$A61,'Project Plan'!$F$7:$F$156,"&lt;="&amp;Z$60,'Project Plan'!$H$7:$H$156,"&gt;="&amp;Z$60)+0.25*COUNTIFS('Project Plan'!$V$7:$V$156,"*;"&amp;$A61&amp;";*",'Project Plan'!$O$7:$O$156,"&lt;&gt;"&amp;$A61,'Project Plan'!$F$7:$F$156,"&lt;="&amp;Z$60,'Project Plan'!$H$7:$H$156,"&gt;="&amp;Z$60)</f>
        <v>1.25</v>
      </c>
      <c r="AA61" s="32" t="n">
        <f aca="false">COUNTIFS('Project Plan'!$O$7:$O$156,$A61,'Project Plan'!$F$7:$F$156,"&lt;="&amp;AA$60,'Project Plan'!$H$7:$H$156,"&gt;="&amp;AA$60)+0.25*COUNTIFS('Project Plan'!$V$7:$V$156,"*;"&amp;$A61&amp;";*",'Project Plan'!$O$7:$O$156,"&lt;&gt;"&amp;$A61,'Project Plan'!$F$7:$F$156,"&lt;="&amp;AA$60,'Project Plan'!$H$7:$H$156,"&gt;="&amp;AA$60)</f>
        <v>1.25</v>
      </c>
      <c r="AB61" s="32" t="n">
        <f aca="false">COUNTIFS('Project Plan'!$O$7:$O$156,$A61,'Project Plan'!$F$7:$F$156,"&lt;="&amp;AB$60,'Project Plan'!$H$7:$H$156,"&gt;="&amp;AB$60)+0.25*COUNTIFS('Project Plan'!$V$7:$V$156,"*;"&amp;$A61&amp;";*",'Project Plan'!$O$7:$O$156,"&lt;&gt;"&amp;$A61,'Project Plan'!$F$7:$F$156,"&lt;="&amp;AB$60,'Project Plan'!$H$7:$H$156,"&gt;="&amp;AB$60)</f>
        <v>1</v>
      </c>
      <c r="AC61" s="32" t="n">
        <f aca="false">COUNTIFS('Project Plan'!$O$7:$O$156,$A61,'Project Plan'!$F$7:$F$156,"&lt;="&amp;AC$60,'Project Plan'!$H$7:$H$156,"&gt;="&amp;AC$60)+0.25*COUNTIFS('Project Plan'!$V$7:$V$156,"*;"&amp;$A61&amp;";*",'Project Plan'!$O$7:$O$156,"&lt;&gt;"&amp;$A61,'Project Plan'!$F$7:$F$156,"&lt;="&amp;AC$60,'Project Plan'!$H$7:$H$156,"&gt;="&amp;AC$60)</f>
        <v>1</v>
      </c>
    </row>
    <row r="62" customFormat="false" ht="15" hidden="false" customHeight="false" outlineLevel="0" collapsed="false">
      <c r="A62" s="0" t="str">
        <f aca="false">A6</f>
        <v>CSE</v>
      </c>
      <c r="B62" s="0" t="n">
        <f aca="false">4*E6</f>
        <v>4</v>
      </c>
      <c r="C62" s="32" t="n">
        <f aca="false">COUNTIFS('Project Plan'!$O$7:$O$156,$A62,'Project Plan'!$F$7:$F$156,"&lt;="&amp;C$60,'Project Plan'!$H$7:$H$156,"&gt;="&amp;C$60)+0.25*COUNTIFS('Project Plan'!$V$7:$V$156,"*;"&amp;$A62&amp;";*",'Project Plan'!$O$7:$O$156,"&lt;&gt;"&amp;$A62,'Project Plan'!$F$7:$F$156,"&lt;="&amp;C$60,'Project Plan'!$H$7:$H$156,"&gt;="&amp;C$60)</f>
        <v>3.25</v>
      </c>
      <c r="D62" s="32" t="n">
        <f aca="false">COUNTIFS('Project Plan'!$O$7:$O$156,$A62,'Project Plan'!$F$7:$F$156,"&lt;="&amp;D$60,'Project Plan'!$H$7:$H$156,"&gt;="&amp;D$60)+0.25*COUNTIFS('Project Plan'!$V$7:$V$156,"*;"&amp;$A62&amp;";*",'Project Plan'!$O$7:$O$156,"&lt;&gt;"&amp;$A62,'Project Plan'!$F$7:$F$156,"&lt;="&amp;D$60,'Project Plan'!$H$7:$H$156,"&gt;="&amp;D$60)</f>
        <v>3</v>
      </c>
      <c r="E62" s="32" t="n">
        <f aca="false">COUNTIFS('Project Plan'!$O$7:$O$156,$A62,'Project Plan'!$F$7:$F$156,"&lt;="&amp;E$60,'Project Plan'!$H$7:$H$156,"&gt;="&amp;E$60)+0.25*COUNTIFS('Project Plan'!$V$7:$V$156,"*;"&amp;$A62&amp;";*",'Project Plan'!$O$7:$O$156,"&lt;&gt;"&amp;$A62,'Project Plan'!$F$7:$F$156,"&lt;="&amp;E$60,'Project Plan'!$H$7:$H$156,"&gt;="&amp;E$60)</f>
        <v>2.25</v>
      </c>
      <c r="F62" s="32" t="n">
        <f aca="false">COUNTIFS('Project Plan'!$O$7:$O$156,$A62,'Project Plan'!$F$7:$F$156,"&lt;="&amp;F$60,'Project Plan'!$H$7:$H$156,"&gt;="&amp;F$60)+0.25*COUNTIFS('Project Plan'!$V$7:$V$156,"*;"&amp;$A62&amp;";*",'Project Plan'!$O$7:$O$156,"&lt;&gt;"&amp;$A62,'Project Plan'!$F$7:$F$156,"&lt;="&amp;F$60,'Project Plan'!$H$7:$H$156,"&gt;="&amp;F$60)</f>
        <v>3.75</v>
      </c>
      <c r="G62" s="32" t="n">
        <f aca="false">COUNTIFS('Project Plan'!$O$7:$O$156,$A62,'Project Plan'!$F$7:$F$156,"&lt;="&amp;G$60,'Project Plan'!$H$7:$H$156,"&gt;="&amp;G$60)+0.25*COUNTIFS('Project Plan'!$V$7:$V$156,"*;"&amp;$A62&amp;";*",'Project Plan'!$O$7:$O$156,"&lt;&gt;"&amp;$A62,'Project Plan'!$F$7:$F$156,"&lt;="&amp;G$60,'Project Plan'!$H$7:$H$156,"&gt;="&amp;G$60)</f>
        <v>3</v>
      </c>
      <c r="H62" s="32" t="n">
        <f aca="false">COUNTIFS('Project Plan'!$O$7:$O$156,$A62,'Project Plan'!$F$7:$F$156,"&lt;="&amp;H$60,'Project Plan'!$H$7:$H$156,"&gt;="&amp;H$60)+0.25*COUNTIFS('Project Plan'!$V$7:$V$156,"*;"&amp;$A62&amp;";*",'Project Plan'!$O$7:$O$156,"&lt;&gt;"&amp;$A62,'Project Plan'!$F$7:$F$156,"&lt;="&amp;H$60,'Project Plan'!$H$7:$H$156,"&gt;="&amp;H$60)</f>
        <v>3.75</v>
      </c>
      <c r="I62" s="32" t="n">
        <f aca="false">COUNTIFS('Project Plan'!$O$7:$O$156,$A62,'Project Plan'!$F$7:$F$156,"&lt;="&amp;I$60,'Project Plan'!$H$7:$H$156,"&gt;="&amp;I$60)+0.25*COUNTIFS('Project Plan'!$V$7:$V$156,"*;"&amp;$A62&amp;";*",'Project Plan'!$O$7:$O$156,"&lt;&gt;"&amp;$A62,'Project Plan'!$F$7:$F$156,"&lt;="&amp;I$60,'Project Plan'!$H$7:$H$156,"&gt;="&amp;I$60)</f>
        <v>4</v>
      </c>
      <c r="J62" s="32" t="n">
        <f aca="false">COUNTIFS('Project Plan'!$O$7:$O$156,$A62,'Project Plan'!$F$7:$F$156,"&lt;="&amp;J$60,'Project Plan'!$H$7:$H$156,"&gt;="&amp;J$60)+0.25*COUNTIFS('Project Plan'!$V$7:$V$156,"*;"&amp;$A62&amp;";*",'Project Plan'!$O$7:$O$156,"&lt;&gt;"&amp;$A62,'Project Plan'!$F$7:$F$156,"&lt;="&amp;J$60,'Project Plan'!$H$7:$H$156,"&gt;="&amp;J$60)</f>
        <v>4</v>
      </c>
      <c r="K62" s="32" t="n">
        <f aca="false">COUNTIFS('Project Plan'!$O$7:$O$156,$A62,'Project Plan'!$F$7:$F$156,"&lt;="&amp;K$60,'Project Plan'!$H$7:$H$156,"&gt;="&amp;K$60)+0.25*COUNTIFS('Project Plan'!$V$7:$V$156,"*;"&amp;$A62&amp;";*",'Project Plan'!$O$7:$O$156,"&lt;&gt;"&amp;$A62,'Project Plan'!$F$7:$F$156,"&lt;="&amp;K$60,'Project Plan'!$H$7:$H$156,"&gt;="&amp;K$60)</f>
        <v>2.75</v>
      </c>
      <c r="L62" s="32" t="n">
        <f aca="false">COUNTIFS('Project Plan'!$O$7:$O$156,$A62,'Project Plan'!$F$7:$F$156,"&lt;="&amp;L$60,'Project Plan'!$H$7:$H$156,"&gt;="&amp;L$60)+0.25*COUNTIFS('Project Plan'!$V$7:$V$156,"*;"&amp;$A62&amp;";*",'Project Plan'!$O$7:$O$156,"&lt;&gt;"&amp;$A62,'Project Plan'!$F$7:$F$156,"&lt;="&amp;L$60,'Project Plan'!$H$7:$H$156,"&gt;="&amp;L$60)</f>
        <v>3.5</v>
      </c>
      <c r="M62" s="32" t="n">
        <f aca="false">COUNTIFS('Project Plan'!$O$7:$O$156,$A62,'Project Plan'!$F$7:$F$156,"&lt;="&amp;M$60,'Project Plan'!$H$7:$H$156,"&gt;="&amp;M$60)+0.25*COUNTIFS('Project Plan'!$V$7:$V$156,"*;"&amp;$A62&amp;";*",'Project Plan'!$O$7:$O$156,"&lt;&gt;"&amp;$A62,'Project Plan'!$F$7:$F$156,"&lt;="&amp;M$60,'Project Plan'!$H$7:$H$156,"&gt;="&amp;M$60)</f>
        <v>2.5</v>
      </c>
      <c r="N62" s="32" t="n">
        <f aca="false">COUNTIFS('Project Plan'!$O$7:$O$156,$A62,'Project Plan'!$F$7:$F$156,"&lt;="&amp;N$60,'Project Plan'!$H$7:$H$156,"&gt;="&amp;N$60)+0.25*COUNTIFS('Project Plan'!$V$7:$V$156,"*;"&amp;$A62&amp;";*",'Project Plan'!$O$7:$O$156,"&lt;&gt;"&amp;$A62,'Project Plan'!$F$7:$F$156,"&lt;="&amp;N$60,'Project Plan'!$H$7:$H$156,"&gt;="&amp;N$60)</f>
        <v>3.75</v>
      </c>
      <c r="O62" s="32" t="n">
        <f aca="false">COUNTIFS('Project Plan'!$O$7:$O$156,$A62,'Project Plan'!$F$7:$F$156,"&lt;="&amp;O$60,'Project Plan'!$H$7:$H$156,"&gt;="&amp;O$60)+0.25*COUNTIFS('Project Plan'!$V$7:$V$156,"*;"&amp;$A62&amp;";*",'Project Plan'!$O$7:$O$156,"&lt;&gt;"&amp;$A62,'Project Plan'!$F$7:$F$156,"&lt;="&amp;O$60,'Project Plan'!$H$7:$H$156,"&gt;="&amp;O$60)</f>
        <v>3.5</v>
      </c>
      <c r="P62" s="32" t="n">
        <f aca="false">COUNTIFS('Project Plan'!$O$7:$O$156,$A62,'Project Plan'!$F$7:$F$156,"&lt;="&amp;P$60,'Project Plan'!$H$7:$H$156,"&gt;="&amp;P$60)+0.25*COUNTIFS('Project Plan'!$V$7:$V$156,"*;"&amp;$A62&amp;";*",'Project Plan'!$O$7:$O$156,"&lt;&gt;"&amp;$A62,'Project Plan'!$F$7:$F$156,"&lt;="&amp;P$60,'Project Plan'!$H$7:$H$156,"&gt;="&amp;P$60)</f>
        <v>3.25</v>
      </c>
      <c r="Q62" s="32" t="n">
        <f aca="false">COUNTIFS('Project Plan'!$O$7:$O$156,$A62,'Project Plan'!$F$7:$F$156,"&lt;="&amp;Q$60,'Project Plan'!$H$7:$H$156,"&gt;="&amp;Q$60)+0.25*COUNTIFS('Project Plan'!$V$7:$V$156,"*;"&amp;$A62&amp;";*",'Project Plan'!$O$7:$O$156,"&lt;&gt;"&amp;$A62,'Project Plan'!$F$7:$F$156,"&lt;="&amp;Q$60,'Project Plan'!$H$7:$H$156,"&gt;="&amp;Q$60)</f>
        <v>3.5</v>
      </c>
      <c r="R62" s="32" t="n">
        <f aca="false">COUNTIFS('Project Plan'!$O$7:$O$156,$A62,'Project Plan'!$F$7:$F$156,"&lt;="&amp;R$60,'Project Plan'!$H$7:$H$156,"&gt;="&amp;R$60)+0.25*COUNTIFS('Project Plan'!$V$7:$V$156,"*;"&amp;$A62&amp;";*",'Project Plan'!$O$7:$O$156,"&lt;&gt;"&amp;$A62,'Project Plan'!$F$7:$F$156,"&lt;="&amp;R$60,'Project Plan'!$H$7:$H$156,"&gt;="&amp;R$60)</f>
        <v>3.75</v>
      </c>
      <c r="S62" s="32" t="n">
        <f aca="false">COUNTIFS('Project Plan'!$O$7:$O$156,$A62,'Project Plan'!$F$7:$F$156,"&lt;="&amp;S$60,'Project Plan'!$H$7:$H$156,"&gt;="&amp;S$60)+0.25*COUNTIFS('Project Plan'!$V$7:$V$156,"*;"&amp;$A62&amp;";*",'Project Plan'!$O$7:$O$156,"&lt;&gt;"&amp;$A62,'Project Plan'!$F$7:$F$156,"&lt;="&amp;S$60,'Project Plan'!$H$7:$H$156,"&gt;="&amp;S$60)</f>
        <v>3.75</v>
      </c>
      <c r="T62" s="32" t="n">
        <f aca="false">COUNTIFS('Project Plan'!$O$7:$O$156,$A62,'Project Plan'!$F$7:$F$156,"&lt;="&amp;T$60,'Project Plan'!$H$7:$H$156,"&gt;="&amp;T$60)+0.25*COUNTIFS('Project Plan'!$V$7:$V$156,"*;"&amp;$A62&amp;";*",'Project Plan'!$O$7:$O$156,"&lt;&gt;"&amp;$A62,'Project Plan'!$F$7:$F$156,"&lt;="&amp;T$60,'Project Plan'!$H$7:$H$156,"&gt;="&amp;T$60)</f>
        <v>3.5</v>
      </c>
      <c r="U62" s="32" t="n">
        <f aca="false">COUNTIFS('Project Plan'!$O$7:$O$156,$A62,'Project Plan'!$F$7:$F$156,"&lt;="&amp;U$60,'Project Plan'!$H$7:$H$156,"&gt;="&amp;U$60)+0.25*COUNTIFS('Project Plan'!$V$7:$V$156,"*;"&amp;$A62&amp;";*",'Project Plan'!$O$7:$O$156,"&lt;&gt;"&amp;$A62,'Project Plan'!$F$7:$F$156,"&lt;="&amp;U$60,'Project Plan'!$H$7:$H$156,"&gt;="&amp;U$60)</f>
        <v>3.25</v>
      </c>
      <c r="V62" s="32" t="n">
        <f aca="false">COUNTIFS('Project Plan'!$O$7:$O$156,$A62,'Project Plan'!$F$7:$F$156,"&lt;="&amp;V$60,'Project Plan'!$H$7:$H$156,"&gt;="&amp;V$60)+0.25*COUNTIFS('Project Plan'!$V$7:$V$156,"*;"&amp;$A62&amp;";*",'Project Plan'!$O$7:$O$156,"&lt;&gt;"&amp;$A62,'Project Plan'!$F$7:$F$156,"&lt;="&amp;V$60,'Project Plan'!$H$7:$H$156,"&gt;="&amp;V$60)</f>
        <v>2.5</v>
      </c>
      <c r="W62" s="32" t="n">
        <f aca="false">COUNTIFS('Project Plan'!$O$7:$O$156,$A62,'Project Plan'!$F$7:$F$156,"&lt;="&amp;W$60,'Project Plan'!$H$7:$H$156,"&gt;="&amp;W$60)+0.25*COUNTIFS('Project Plan'!$V$7:$V$156,"*;"&amp;$A62&amp;";*",'Project Plan'!$O$7:$O$156,"&lt;&gt;"&amp;$A62,'Project Plan'!$F$7:$F$156,"&lt;="&amp;W$60,'Project Plan'!$H$7:$H$156,"&gt;="&amp;W$60)</f>
        <v>2.25</v>
      </c>
      <c r="X62" s="32" t="n">
        <f aca="false">COUNTIFS('Project Plan'!$O$7:$O$156,$A62,'Project Plan'!$F$7:$F$156,"&lt;="&amp;X$60,'Project Plan'!$H$7:$H$156,"&gt;="&amp;X$60)+0.25*COUNTIFS('Project Plan'!$V$7:$V$156,"*;"&amp;$A62&amp;";*",'Project Plan'!$O$7:$O$156,"&lt;&gt;"&amp;$A62,'Project Plan'!$F$7:$F$156,"&lt;="&amp;X$60,'Project Plan'!$H$7:$H$156,"&gt;="&amp;X$60)</f>
        <v>1.5</v>
      </c>
      <c r="Y62" s="32" t="n">
        <f aca="false">COUNTIFS('Project Plan'!$O$7:$O$156,$A62,'Project Plan'!$F$7:$F$156,"&lt;="&amp;Y$60,'Project Plan'!$H$7:$H$156,"&gt;="&amp;Y$60)+0.25*COUNTIFS('Project Plan'!$V$7:$V$156,"*;"&amp;$A62&amp;";*",'Project Plan'!$O$7:$O$156,"&lt;&gt;"&amp;$A62,'Project Plan'!$F$7:$F$156,"&lt;="&amp;Y$60,'Project Plan'!$H$7:$H$156,"&gt;="&amp;Y$60)</f>
        <v>1.25</v>
      </c>
      <c r="Z62" s="32" t="n">
        <f aca="false">COUNTIFS('Project Plan'!$O$7:$O$156,$A62,'Project Plan'!$F$7:$F$156,"&lt;="&amp;Z$60,'Project Plan'!$H$7:$H$156,"&gt;="&amp;Z$60)+0.25*COUNTIFS('Project Plan'!$V$7:$V$156,"*;"&amp;$A62&amp;";*",'Project Plan'!$O$7:$O$156,"&lt;&gt;"&amp;$A62,'Project Plan'!$F$7:$F$156,"&lt;="&amp;Z$60,'Project Plan'!$H$7:$H$156,"&gt;="&amp;Z$60)</f>
        <v>0.25</v>
      </c>
      <c r="AA62" s="32" t="n">
        <f aca="false">COUNTIFS('Project Plan'!$O$7:$O$156,$A62,'Project Plan'!$F$7:$F$156,"&lt;="&amp;AA$60,'Project Plan'!$H$7:$H$156,"&gt;="&amp;AA$60)+0.25*COUNTIFS('Project Plan'!$V$7:$V$156,"*;"&amp;$A62&amp;";*",'Project Plan'!$O$7:$O$156,"&lt;&gt;"&amp;$A62,'Project Plan'!$F$7:$F$156,"&lt;="&amp;AA$60,'Project Plan'!$H$7:$H$156,"&gt;="&amp;AA$60)</f>
        <v>0.25</v>
      </c>
      <c r="AB62" s="32" t="n">
        <f aca="false">COUNTIFS('Project Plan'!$O$7:$O$156,$A62,'Project Plan'!$F$7:$F$156,"&lt;="&amp;AB$60,'Project Plan'!$H$7:$H$156,"&gt;="&amp;AB$60)+0.25*COUNTIFS('Project Plan'!$V$7:$V$156,"*;"&amp;$A62&amp;";*",'Project Plan'!$O$7:$O$156,"&lt;&gt;"&amp;$A62,'Project Plan'!$F$7:$F$156,"&lt;="&amp;AB$60,'Project Plan'!$H$7:$H$156,"&gt;="&amp;AB$60)</f>
        <v>0.25</v>
      </c>
      <c r="AC62" s="32" t="n">
        <f aca="false">COUNTIFS('Project Plan'!$O$7:$O$156,$A62,'Project Plan'!$F$7:$F$156,"&lt;="&amp;AC$60,'Project Plan'!$H$7:$H$156,"&gt;="&amp;AC$60)+0.25*COUNTIFS('Project Plan'!$V$7:$V$156,"*;"&amp;$A62&amp;";*",'Project Plan'!$O$7:$O$156,"&lt;&gt;"&amp;$A62,'Project Plan'!$F$7:$F$156,"&lt;="&amp;AC$60,'Project Plan'!$H$7:$H$156,"&gt;="&amp;AC$60)</f>
        <v>0</v>
      </c>
    </row>
    <row r="63" customFormat="false" ht="15" hidden="false" customHeight="false" outlineLevel="0" collapsed="false">
      <c r="A63" s="0" t="str">
        <f aca="false">A7</f>
        <v>ISE</v>
      </c>
      <c r="B63" s="0" t="n">
        <f aca="false">4*E7</f>
        <v>4</v>
      </c>
      <c r="C63" s="32" t="n">
        <f aca="false">COUNTIFS('Project Plan'!$O$7:$O$156,$A63,'Project Plan'!$F$7:$F$156,"&lt;="&amp;C$60,'Project Plan'!$H$7:$H$156,"&gt;="&amp;C$60)+0.25*COUNTIFS('Project Plan'!$V$7:$V$156,"*;"&amp;$A63&amp;";*",'Project Plan'!$O$7:$O$156,"&lt;&gt;"&amp;$A63,'Project Plan'!$F$7:$F$156,"&lt;="&amp;C$60,'Project Plan'!$H$7:$H$156,"&gt;="&amp;C$60)</f>
        <v>4</v>
      </c>
      <c r="D63" s="32" t="n">
        <f aca="false">COUNTIFS('Project Plan'!$O$7:$O$156,$A63,'Project Plan'!$F$7:$F$156,"&lt;="&amp;D$60,'Project Plan'!$H$7:$H$156,"&gt;="&amp;D$60)+0.25*COUNTIFS('Project Plan'!$V$7:$V$156,"*;"&amp;$A63&amp;";*",'Project Plan'!$O$7:$O$156,"&lt;&gt;"&amp;$A63,'Project Plan'!$F$7:$F$156,"&lt;="&amp;D$60,'Project Plan'!$H$7:$H$156,"&gt;="&amp;D$60)</f>
        <v>3.75</v>
      </c>
      <c r="E63" s="32" t="n">
        <f aca="false">COUNTIFS('Project Plan'!$O$7:$O$156,$A63,'Project Plan'!$F$7:$F$156,"&lt;="&amp;E$60,'Project Plan'!$H$7:$H$156,"&gt;="&amp;E$60)+0.25*COUNTIFS('Project Plan'!$V$7:$V$156,"*;"&amp;$A63&amp;";*",'Project Plan'!$O$7:$O$156,"&lt;&gt;"&amp;$A63,'Project Plan'!$F$7:$F$156,"&lt;="&amp;E$60,'Project Plan'!$H$7:$H$156,"&gt;="&amp;E$60)</f>
        <v>1.25</v>
      </c>
      <c r="F63" s="32" t="n">
        <f aca="false">COUNTIFS('Project Plan'!$O$7:$O$156,$A63,'Project Plan'!$F$7:$F$156,"&lt;="&amp;F$60,'Project Plan'!$H$7:$H$156,"&gt;="&amp;F$60)+0.25*COUNTIFS('Project Plan'!$V$7:$V$156,"*;"&amp;$A63&amp;";*",'Project Plan'!$O$7:$O$156,"&lt;&gt;"&amp;$A63,'Project Plan'!$F$7:$F$156,"&lt;="&amp;F$60,'Project Plan'!$H$7:$H$156,"&gt;="&amp;F$60)</f>
        <v>3.75</v>
      </c>
      <c r="G63" s="32" t="n">
        <f aca="false">COUNTIFS('Project Plan'!$O$7:$O$156,$A63,'Project Plan'!$F$7:$F$156,"&lt;="&amp;G$60,'Project Plan'!$H$7:$H$156,"&gt;="&amp;G$60)+0.25*COUNTIFS('Project Plan'!$V$7:$V$156,"*;"&amp;$A63&amp;";*",'Project Plan'!$O$7:$O$156,"&lt;&gt;"&amp;$A63,'Project Plan'!$F$7:$F$156,"&lt;="&amp;G$60,'Project Plan'!$H$7:$H$156,"&gt;="&amp;G$60)</f>
        <v>4</v>
      </c>
      <c r="H63" s="32" t="n">
        <f aca="false">COUNTIFS('Project Plan'!$O$7:$O$156,$A63,'Project Plan'!$F$7:$F$156,"&lt;="&amp;H$60,'Project Plan'!$H$7:$H$156,"&gt;="&amp;H$60)+0.25*COUNTIFS('Project Plan'!$V$7:$V$156,"*;"&amp;$A63&amp;";*",'Project Plan'!$O$7:$O$156,"&lt;&gt;"&amp;$A63,'Project Plan'!$F$7:$F$156,"&lt;="&amp;H$60,'Project Plan'!$H$7:$H$156,"&gt;="&amp;H$60)</f>
        <v>3.25</v>
      </c>
      <c r="I63" s="32" t="n">
        <f aca="false">COUNTIFS('Project Plan'!$O$7:$O$156,$A63,'Project Plan'!$F$7:$F$156,"&lt;="&amp;I$60,'Project Plan'!$H$7:$H$156,"&gt;="&amp;I$60)+0.25*COUNTIFS('Project Plan'!$V$7:$V$156,"*;"&amp;$A63&amp;";*",'Project Plan'!$O$7:$O$156,"&lt;&gt;"&amp;$A63,'Project Plan'!$F$7:$F$156,"&lt;="&amp;I$60,'Project Plan'!$H$7:$H$156,"&gt;="&amp;I$60)</f>
        <v>4</v>
      </c>
      <c r="J63" s="32" t="n">
        <f aca="false">COUNTIFS('Project Plan'!$O$7:$O$156,$A63,'Project Plan'!$F$7:$F$156,"&lt;="&amp;J$60,'Project Plan'!$H$7:$H$156,"&gt;="&amp;J$60)+0.25*COUNTIFS('Project Plan'!$V$7:$V$156,"*;"&amp;$A63&amp;";*",'Project Plan'!$O$7:$O$156,"&lt;&gt;"&amp;$A63,'Project Plan'!$F$7:$F$156,"&lt;="&amp;J$60,'Project Plan'!$H$7:$H$156,"&gt;="&amp;J$60)</f>
        <v>4</v>
      </c>
      <c r="K63" s="32" t="n">
        <f aca="false">COUNTIFS('Project Plan'!$O$7:$O$156,$A63,'Project Plan'!$F$7:$F$156,"&lt;="&amp;K$60,'Project Plan'!$H$7:$H$156,"&gt;="&amp;K$60)+0.25*COUNTIFS('Project Plan'!$V$7:$V$156,"*;"&amp;$A63&amp;";*",'Project Plan'!$O$7:$O$156,"&lt;&gt;"&amp;$A63,'Project Plan'!$F$7:$F$156,"&lt;="&amp;K$60,'Project Plan'!$H$7:$H$156,"&gt;="&amp;K$60)</f>
        <v>3</v>
      </c>
      <c r="L63" s="32" t="n">
        <f aca="false">COUNTIFS('Project Plan'!$O$7:$O$156,$A63,'Project Plan'!$F$7:$F$156,"&lt;="&amp;L$60,'Project Plan'!$H$7:$H$156,"&gt;="&amp;L$60)+0.25*COUNTIFS('Project Plan'!$V$7:$V$156,"*;"&amp;$A63&amp;";*",'Project Plan'!$O$7:$O$156,"&lt;&gt;"&amp;$A63,'Project Plan'!$F$7:$F$156,"&lt;="&amp;L$60,'Project Plan'!$H$7:$H$156,"&gt;="&amp;L$60)</f>
        <v>3</v>
      </c>
      <c r="M63" s="32" t="n">
        <f aca="false">COUNTIFS('Project Plan'!$O$7:$O$156,$A63,'Project Plan'!$F$7:$F$156,"&lt;="&amp;M$60,'Project Plan'!$H$7:$H$156,"&gt;="&amp;M$60)+0.25*COUNTIFS('Project Plan'!$V$7:$V$156,"*;"&amp;$A63&amp;";*",'Project Plan'!$O$7:$O$156,"&lt;&gt;"&amp;$A63,'Project Plan'!$F$7:$F$156,"&lt;="&amp;M$60,'Project Plan'!$H$7:$H$156,"&gt;="&amp;M$60)</f>
        <v>3</v>
      </c>
      <c r="N63" s="32" t="n">
        <f aca="false">COUNTIFS('Project Plan'!$O$7:$O$156,$A63,'Project Plan'!$F$7:$F$156,"&lt;="&amp;N$60,'Project Plan'!$H$7:$H$156,"&gt;="&amp;N$60)+0.25*COUNTIFS('Project Plan'!$V$7:$V$156,"*;"&amp;$A63&amp;";*",'Project Plan'!$O$7:$O$156,"&lt;&gt;"&amp;$A63,'Project Plan'!$F$7:$F$156,"&lt;="&amp;N$60,'Project Plan'!$H$7:$H$156,"&gt;="&amp;N$60)</f>
        <v>3.75</v>
      </c>
      <c r="O63" s="32" t="n">
        <f aca="false">COUNTIFS('Project Plan'!$O$7:$O$156,$A63,'Project Plan'!$F$7:$F$156,"&lt;="&amp;O$60,'Project Plan'!$H$7:$H$156,"&gt;="&amp;O$60)+0.25*COUNTIFS('Project Plan'!$V$7:$V$156,"*;"&amp;$A63&amp;";*",'Project Plan'!$O$7:$O$156,"&lt;&gt;"&amp;$A63,'Project Plan'!$F$7:$F$156,"&lt;="&amp;O$60,'Project Plan'!$H$7:$H$156,"&gt;="&amp;O$60)</f>
        <v>3.75</v>
      </c>
      <c r="P63" s="32" t="n">
        <f aca="false">COUNTIFS('Project Plan'!$O$7:$O$156,$A63,'Project Plan'!$F$7:$F$156,"&lt;="&amp;P$60,'Project Plan'!$H$7:$H$156,"&gt;="&amp;P$60)+0.25*COUNTIFS('Project Plan'!$V$7:$V$156,"*;"&amp;$A63&amp;";*",'Project Plan'!$O$7:$O$156,"&lt;&gt;"&amp;$A63,'Project Plan'!$F$7:$F$156,"&lt;="&amp;P$60,'Project Plan'!$H$7:$H$156,"&gt;="&amp;P$60)</f>
        <v>4</v>
      </c>
      <c r="Q63" s="32" t="n">
        <f aca="false">COUNTIFS('Project Plan'!$O$7:$O$156,$A63,'Project Plan'!$F$7:$F$156,"&lt;="&amp;Q$60,'Project Plan'!$H$7:$H$156,"&gt;="&amp;Q$60)+0.25*COUNTIFS('Project Plan'!$V$7:$V$156,"*;"&amp;$A63&amp;";*",'Project Plan'!$O$7:$O$156,"&lt;&gt;"&amp;$A63,'Project Plan'!$F$7:$F$156,"&lt;="&amp;Q$60,'Project Plan'!$H$7:$H$156,"&gt;="&amp;Q$60)</f>
        <v>3.5</v>
      </c>
      <c r="R63" s="32" t="n">
        <f aca="false">COUNTIFS('Project Plan'!$O$7:$O$156,$A63,'Project Plan'!$F$7:$F$156,"&lt;="&amp;R$60,'Project Plan'!$H$7:$H$156,"&gt;="&amp;R$60)+0.25*COUNTIFS('Project Plan'!$V$7:$V$156,"*;"&amp;$A63&amp;";*",'Project Plan'!$O$7:$O$156,"&lt;&gt;"&amp;$A63,'Project Plan'!$F$7:$F$156,"&lt;="&amp;R$60,'Project Plan'!$H$7:$H$156,"&gt;="&amp;R$60)</f>
        <v>2.75</v>
      </c>
      <c r="S63" s="32" t="n">
        <f aca="false">COUNTIFS('Project Plan'!$O$7:$O$156,$A63,'Project Plan'!$F$7:$F$156,"&lt;="&amp;S$60,'Project Plan'!$H$7:$H$156,"&gt;="&amp;S$60)+0.25*COUNTIFS('Project Plan'!$V$7:$V$156,"*;"&amp;$A63&amp;";*",'Project Plan'!$O$7:$O$156,"&lt;&gt;"&amp;$A63,'Project Plan'!$F$7:$F$156,"&lt;="&amp;S$60,'Project Plan'!$H$7:$H$156,"&gt;="&amp;S$60)</f>
        <v>2.5</v>
      </c>
      <c r="T63" s="32" t="n">
        <f aca="false">COUNTIFS('Project Plan'!$O$7:$O$156,$A63,'Project Plan'!$F$7:$F$156,"&lt;="&amp;T$60,'Project Plan'!$H$7:$H$156,"&gt;="&amp;T$60)+0.25*COUNTIFS('Project Plan'!$V$7:$V$156,"*;"&amp;$A63&amp;";*",'Project Plan'!$O$7:$O$156,"&lt;&gt;"&amp;$A63,'Project Plan'!$F$7:$F$156,"&lt;="&amp;T$60,'Project Plan'!$H$7:$H$156,"&gt;="&amp;T$60)</f>
        <v>1.75</v>
      </c>
      <c r="U63" s="32" t="n">
        <f aca="false">COUNTIFS('Project Plan'!$O$7:$O$156,$A63,'Project Plan'!$F$7:$F$156,"&lt;="&amp;U$60,'Project Plan'!$H$7:$H$156,"&gt;="&amp;U$60)+0.25*COUNTIFS('Project Plan'!$V$7:$V$156,"*;"&amp;$A63&amp;";*",'Project Plan'!$O$7:$O$156,"&lt;&gt;"&amp;$A63,'Project Plan'!$F$7:$F$156,"&lt;="&amp;U$60,'Project Plan'!$H$7:$H$156,"&gt;="&amp;U$60)</f>
        <v>1</v>
      </c>
      <c r="V63" s="32" t="n">
        <f aca="false">COUNTIFS('Project Plan'!$O$7:$O$156,$A63,'Project Plan'!$F$7:$F$156,"&lt;="&amp;V$60,'Project Plan'!$H$7:$H$156,"&gt;="&amp;V$60)+0.25*COUNTIFS('Project Plan'!$V$7:$V$156,"*;"&amp;$A63&amp;";*",'Project Plan'!$O$7:$O$156,"&lt;&gt;"&amp;$A63,'Project Plan'!$F$7:$F$156,"&lt;="&amp;V$60,'Project Plan'!$H$7:$H$156,"&gt;="&amp;V$60)</f>
        <v>1.5</v>
      </c>
      <c r="W63" s="32" t="n">
        <f aca="false">COUNTIFS('Project Plan'!$O$7:$O$156,$A63,'Project Plan'!$F$7:$F$156,"&lt;="&amp;W$60,'Project Plan'!$H$7:$H$156,"&gt;="&amp;W$60)+0.25*COUNTIFS('Project Plan'!$V$7:$V$156,"*;"&amp;$A63&amp;";*",'Project Plan'!$O$7:$O$156,"&lt;&gt;"&amp;$A63,'Project Plan'!$F$7:$F$156,"&lt;="&amp;W$60,'Project Plan'!$H$7:$H$156,"&gt;="&amp;W$60)</f>
        <v>1.25</v>
      </c>
      <c r="X63" s="32" t="n">
        <f aca="false">COUNTIFS('Project Plan'!$O$7:$O$156,$A63,'Project Plan'!$F$7:$F$156,"&lt;="&amp;X$60,'Project Plan'!$H$7:$H$156,"&gt;="&amp;X$60)+0.25*COUNTIFS('Project Plan'!$V$7:$V$156,"*;"&amp;$A63&amp;";*",'Project Plan'!$O$7:$O$156,"&lt;&gt;"&amp;$A63,'Project Plan'!$F$7:$F$156,"&lt;="&amp;X$60,'Project Plan'!$H$7:$H$156,"&gt;="&amp;X$60)</f>
        <v>0.5</v>
      </c>
      <c r="Y63" s="32" t="n">
        <f aca="false">COUNTIFS('Project Plan'!$O$7:$O$156,$A63,'Project Plan'!$F$7:$F$156,"&lt;="&amp;Y$60,'Project Plan'!$H$7:$H$156,"&gt;="&amp;Y$60)+0.25*COUNTIFS('Project Plan'!$V$7:$V$156,"*;"&amp;$A63&amp;";*",'Project Plan'!$O$7:$O$156,"&lt;&gt;"&amp;$A63,'Project Plan'!$F$7:$F$156,"&lt;="&amp;Y$60,'Project Plan'!$H$7:$H$156,"&gt;="&amp;Y$60)</f>
        <v>0.25</v>
      </c>
      <c r="Z63" s="32" t="n">
        <f aca="false">COUNTIFS('Project Plan'!$O$7:$O$156,$A63,'Project Plan'!$F$7:$F$156,"&lt;="&amp;Z$60,'Project Plan'!$H$7:$H$156,"&gt;="&amp;Z$60)+0.25*COUNTIFS('Project Plan'!$V$7:$V$156,"*;"&amp;$A63&amp;";*",'Project Plan'!$O$7:$O$156,"&lt;&gt;"&amp;$A63,'Project Plan'!$F$7:$F$156,"&lt;="&amp;Z$60,'Project Plan'!$H$7:$H$156,"&gt;="&amp;Z$60)</f>
        <v>0.25</v>
      </c>
      <c r="AA63" s="32" t="n">
        <f aca="false">COUNTIFS('Project Plan'!$O$7:$O$156,$A63,'Project Plan'!$F$7:$F$156,"&lt;="&amp;AA$60,'Project Plan'!$H$7:$H$156,"&gt;="&amp;AA$60)+0.25*COUNTIFS('Project Plan'!$V$7:$V$156,"*;"&amp;$A63&amp;";*",'Project Plan'!$O$7:$O$156,"&lt;&gt;"&amp;$A63,'Project Plan'!$F$7:$F$156,"&lt;="&amp;AA$60,'Project Plan'!$H$7:$H$156,"&gt;="&amp;AA$60)</f>
        <v>0.25</v>
      </c>
      <c r="AB63" s="32" t="n">
        <f aca="false">COUNTIFS('Project Plan'!$O$7:$O$156,$A63,'Project Plan'!$F$7:$F$156,"&lt;="&amp;AB$60,'Project Plan'!$H$7:$H$156,"&gt;="&amp;AB$60)+0.25*COUNTIFS('Project Plan'!$V$7:$V$156,"*;"&amp;$A63&amp;";*",'Project Plan'!$O$7:$O$156,"&lt;&gt;"&amp;$A63,'Project Plan'!$F$7:$F$156,"&lt;="&amp;AB$60,'Project Plan'!$H$7:$H$156,"&gt;="&amp;AB$60)</f>
        <v>0.25</v>
      </c>
      <c r="AC63" s="32" t="n">
        <f aca="false">COUNTIFS('Project Plan'!$O$7:$O$156,$A63,'Project Plan'!$F$7:$F$156,"&lt;="&amp;AC$60,'Project Plan'!$H$7:$H$156,"&gt;="&amp;AC$60)+0.25*COUNTIFS('Project Plan'!$V$7:$V$156,"*;"&amp;$A63&amp;";*",'Project Plan'!$O$7:$O$156,"&lt;&gt;"&amp;$A63,'Project Plan'!$F$7:$F$156,"&lt;="&amp;AC$60,'Project Plan'!$H$7:$H$156,"&gt;="&amp;AC$60)</f>
        <v>0</v>
      </c>
    </row>
    <row r="64" customFormat="false" ht="15" hidden="false" customHeight="false" outlineLevel="0" collapsed="false">
      <c r="A64" s="0" t="str">
        <f aca="false">A8</f>
        <v>GRC</v>
      </c>
      <c r="B64" s="0" t="n">
        <f aca="false">4*E8</f>
        <v>4</v>
      </c>
      <c r="C64" s="32" t="n">
        <f aca="false">COUNTIFS('Project Plan'!$O$7:$O$156,$A64,'Project Plan'!$F$7:$F$156,"&lt;="&amp;C$60,'Project Plan'!$H$7:$H$156,"&gt;="&amp;C$60)+0.25*COUNTIFS('Project Plan'!$V$7:$V$156,"*;"&amp;$A64&amp;";*",'Project Plan'!$O$7:$O$156,"&lt;&gt;"&amp;$A64,'Project Plan'!$F$7:$F$156,"&lt;="&amp;C$60,'Project Plan'!$H$7:$H$156,"&gt;="&amp;C$60)</f>
        <v>1.25</v>
      </c>
      <c r="D64" s="32" t="n">
        <f aca="false">COUNTIFS('Project Plan'!$O$7:$O$156,$A64,'Project Plan'!$F$7:$F$156,"&lt;="&amp;D$60,'Project Plan'!$H$7:$H$156,"&gt;="&amp;D$60)+0.25*COUNTIFS('Project Plan'!$V$7:$V$156,"*;"&amp;$A64&amp;";*",'Project Plan'!$O$7:$O$156,"&lt;&gt;"&amp;$A64,'Project Plan'!$F$7:$F$156,"&lt;="&amp;D$60,'Project Plan'!$H$7:$H$156,"&gt;="&amp;D$60)</f>
        <v>1.5</v>
      </c>
      <c r="E64" s="32" t="n">
        <f aca="false">COUNTIFS('Project Plan'!$O$7:$O$156,$A64,'Project Plan'!$F$7:$F$156,"&lt;="&amp;E$60,'Project Plan'!$H$7:$H$156,"&gt;="&amp;E$60)+0.25*COUNTIFS('Project Plan'!$V$7:$V$156,"*;"&amp;$A64&amp;";*",'Project Plan'!$O$7:$O$156,"&lt;&gt;"&amp;$A64,'Project Plan'!$F$7:$F$156,"&lt;="&amp;E$60,'Project Plan'!$H$7:$H$156,"&gt;="&amp;E$60)</f>
        <v>1.5</v>
      </c>
      <c r="F64" s="32" t="n">
        <f aca="false">COUNTIFS('Project Plan'!$O$7:$O$156,$A64,'Project Plan'!$F$7:$F$156,"&lt;="&amp;F$60,'Project Plan'!$H$7:$H$156,"&gt;="&amp;F$60)+0.25*COUNTIFS('Project Plan'!$V$7:$V$156,"*;"&amp;$A64&amp;";*",'Project Plan'!$O$7:$O$156,"&lt;&gt;"&amp;$A64,'Project Plan'!$F$7:$F$156,"&lt;="&amp;F$60,'Project Plan'!$H$7:$H$156,"&gt;="&amp;F$60)</f>
        <v>2.75</v>
      </c>
      <c r="G64" s="32" t="n">
        <f aca="false">COUNTIFS('Project Plan'!$O$7:$O$156,$A64,'Project Plan'!$F$7:$F$156,"&lt;="&amp;G$60,'Project Plan'!$H$7:$H$156,"&gt;="&amp;G$60)+0.25*COUNTIFS('Project Plan'!$V$7:$V$156,"*;"&amp;$A64&amp;";*",'Project Plan'!$O$7:$O$156,"&lt;&gt;"&amp;$A64,'Project Plan'!$F$7:$F$156,"&lt;="&amp;G$60,'Project Plan'!$H$7:$H$156,"&gt;="&amp;G$60)</f>
        <v>3.5</v>
      </c>
      <c r="H64" s="32" t="n">
        <f aca="false">COUNTIFS('Project Plan'!$O$7:$O$156,$A64,'Project Plan'!$F$7:$F$156,"&lt;="&amp;H$60,'Project Plan'!$H$7:$H$156,"&gt;="&amp;H$60)+0.25*COUNTIFS('Project Plan'!$V$7:$V$156,"*;"&amp;$A64&amp;";*",'Project Plan'!$O$7:$O$156,"&lt;&gt;"&amp;$A64,'Project Plan'!$F$7:$F$156,"&lt;="&amp;H$60,'Project Plan'!$H$7:$H$156,"&gt;="&amp;H$60)</f>
        <v>3.75</v>
      </c>
      <c r="I64" s="32" t="n">
        <f aca="false">COUNTIFS('Project Plan'!$O$7:$O$156,$A64,'Project Plan'!$F$7:$F$156,"&lt;="&amp;I$60,'Project Plan'!$H$7:$H$156,"&gt;="&amp;I$60)+0.25*COUNTIFS('Project Plan'!$V$7:$V$156,"*;"&amp;$A64&amp;";*",'Project Plan'!$O$7:$O$156,"&lt;&gt;"&amp;$A64,'Project Plan'!$F$7:$F$156,"&lt;="&amp;I$60,'Project Plan'!$H$7:$H$156,"&gt;="&amp;I$60)</f>
        <v>4</v>
      </c>
      <c r="J64" s="32" t="n">
        <f aca="false">COUNTIFS('Project Plan'!$O$7:$O$156,$A64,'Project Plan'!$F$7:$F$156,"&lt;="&amp;J$60,'Project Plan'!$H$7:$H$156,"&gt;="&amp;J$60)+0.25*COUNTIFS('Project Plan'!$V$7:$V$156,"*;"&amp;$A64&amp;";*",'Project Plan'!$O$7:$O$156,"&lt;&gt;"&amp;$A64,'Project Plan'!$F$7:$F$156,"&lt;="&amp;J$60,'Project Plan'!$H$7:$H$156,"&gt;="&amp;J$60)</f>
        <v>3.75</v>
      </c>
      <c r="K64" s="32" t="n">
        <f aca="false">COUNTIFS('Project Plan'!$O$7:$O$156,$A64,'Project Plan'!$F$7:$F$156,"&lt;="&amp;K$60,'Project Plan'!$H$7:$H$156,"&gt;="&amp;K$60)+0.25*COUNTIFS('Project Plan'!$V$7:$V$156,"*;"&amp;$A64&amp;";*",'Project Plan'!$O$7:$O$156,"&lt;&gt;"&amp;$A64,'Project Plan'!$F$7:$F$156,"&lt;="&amp;K$60,'Project Plan'!$H$7:$H$156,"&gt;="&amp;K$60)</f>
        <v>4</v>
      </c>
      <c r="L64" s="32" t="n">
        <f aca="false">COUNTIFS('Project Plan'!$O$7:$O$156,$A64,'Project Plan'!$F$7:$F$156,"&lt;="&amp;L$60,'Project Plan'!$H$7:$H$156,"&gt;="&amp;L$60)+0.25*COUNTIFS('Project Plan'!$V$7:$V$156,"*;"&amp;$A64&amp;";*",'Project Plan'!$O$7:$O$156,"&lt;&gt;"&amp;$A64,'Project Plan'!$F$7:$F$156,"&lt;="&amp;L$60,'Project Plan'!$H$7:$H$156,"&gt;="&amp;L$60)</f>
        <v>3.25</v>
      </c>
      <c r="M64" s="32" t="n">
        <f aca="false">COUNTIFS('Project Plan'!$O$7:$O$156,$A64,'Project Plan'!$F$7:$F$156,"&lt;="&amp;M$60,'Project Plan'!$H$7:$H$156,"&gt;="&amp;M$60)+0.25*COUNTIFS('Project Plan'!$V$7:$V$156,"*;"&amp;$A64&amp;";*",'Project Plan'!$O$7:$O$156,"&lt;&gt;"&amp;$A64,'Project Plan'!$F$7:$F$156,"&lt;="&amp;M$60,'Project Plan'!$H$7:$H$156,"&gt;="&amp;M$60)</f>
        <v>2.25</v>
      </c>
      <c r="N64" s="32" t="n">
        <f aca="false">COUNTIFS('Project Plan'!$O$7:$O$156,$A64,'Project Plan'!$F$7:$F$156,"&lt;="&amp;N$60,'Project Plan'!$H$7:$H$156,"&gt;="&amp;N$60)+0.25*COUNTIFS('Project Plan'!$V$7:$V$156,"*;"&amp;$A64&amp;";*",'Project Plan'!$O$7:$O$156,"&lt;&gt;"&amp;$A64,'Project Plan'!$F$7:$F$156,"&lt;="&amp;N$60,'Project Plan'!$H$7:$H$156,"&gt;="&amp;N$60)</f>
        <v>2.75</v>
      </c>
      <c r="O64" s="32" t="n">
        <f aca="false">COUNTIFS('Project Plan'!$O$7:$O$156,$A64,'Project Plan'!$F$7:$F$156,"&lt;="&amp;O$60,'Project Plan'!$H$7:$H$156,"&gt;="&amp;O$60)+0.25*COUNTIFS('Project Plan'!$V$7:$V$156,"*;"&amp;$A64&amp;";*",'Project Plan'!$O$7:$O$156,"&lt;&gt;"&amp;$A64,'Project Plan'!$F$7:$F$156,"&lt;="&amp;O$60,'Project Plan'!$H$7:$H$156,"&gt;="&amp;O$60)</f>
        <v>3</v>
      </c>
      <c r="P64" s="32" t="n">
        <f aca="false">COUNTIFS('Project Plan'!$O$7:$O$156,$A64,'Project Plan'!$F$7:$F$156,"&lt;="&amp;P$60,'Project Plan'!$H$7:$H$156,"&gt;="&amp;P$60)+0.25*COUNTIFS('Project Plan'!$V$7:$V$156,"*;"&amp;$A64&amp;";*",'Project Plan'!$O$7:$O$156,"&lt;&gt;"&amp;$A64,'Project Plan'!$F$7:$F$156,"&lt;="&amp;P$60,'Project Plan'!$H$7:$H$156,"&gt;="&amp;P$60)</f>
        <v>3</v>
      </c>
      <c r="Q64" s="32" t="n">
        <f aca="false">COUNTIFS('Project Plan'!$O$7:$O$156,$A64,'Project Plan'!$F$7:$F$156,"&lt;="&amp;Q$60,'Project Plan'!$H$7:$H$156,"&gt;="&amp;Q$60)+0.25*COUNTIFS('Project Plan'!$V$7:$V$156,"*;"&amp;$A64&amp;";*",'Project Plan'!$O$7:$O$156,"&lt;&gt;"&amp;$A64,'Project Plan'!$F$7:$F$156,"&lt;="&amp;Q$60,'Project Plan'!$H$7:$H$156,"&gt;="&amp;Q$60)</f>
        <v>2.75</v>
      </c>
      <c r="R64" s="32" t="n">
        <f aca="false">COUNTIFS('Project Plan'!$O$7:$O$156,$A64,'Project Plan'!$F$7:$F$156,"&lt;="&amp;R$60,'Project Plan'!$H$7:$H$156,"&gt;="&amp;R$60)+0.25*COUNTIFS('Project Plan'!$V$7:$V$156,"*;"&amp;$A64&amp;";*",'Project Plan'!$O$7:$O$156,"&lt;&gt;"&amp;$A64,'Project Plan'!$F$7:$F$156,"&lt;="&amp;R$60,'Project Plan'!$H$7:$H$156,"&gt;="&amp;R$60)</f>
        <v>2.25</v>
      </c>
      <c r="S64" s="32" t="n">
        <f aca="false">COUNTIFS('Project Plan'!$O$7:$O$156,$A64,'Project Plan'!$F$7:$F$156,"&lt;="&amp;S$60,'Project Plan'!$H$7:$H$156,"&gt;="&amp;S$60)+0.25*COUNTIFS('Project Plan'!$V$7:$V$156,"*;"&amp;$A64&amp;";*",'Project Plan'!$O$7:$O$156,"&lt;&gt;"&amp;$A64,'Project Plan'!$F$7:$F$156,"&lt;="&amp;S$60,'Project Plan'!$H$7:$H$156,"&gt;="&amp;S$60)</f>
        <v>3</v>
      </c>
      <c r="T64" s="32" t="n">
        <f aca="false">COUNTIFS('Project Plan'!$O$7:$O$156,$A64,'Project Plan'!$F$7:$F$156,"&lt;="&amp;T$60,'Project Plan'!$H$7:$H$156,"&gt;="&amp;T$60)+0.25*COUNTIFS('Project Plan'!$V$7:$V$156,"*;"&amp;$A64&amp;";*",'Project Plan'!$O$7:$O$156,"&lt;&gt;"&amp;$A64,'Project Plan'!$F$7:$F$156,"&lt;="&amp;T$60,'Project Plan'!$H$7:$H$156,"&gt;="&amp;T$60)</f>
        <v>1.25</v>
      </c>
      <c r="U64" s="32" t="n">
        <f aca="false">COUNTIFS('Project Plan'!$O$7:$O$156,$A64,'Project Plan'!$F$7:$F$156,"&lt;="&amp;U$60,'Project Plan'!$H$7:$H$156,"&gt;="&amp;U$60)+0.25*COUNTIFS('Project Plan'!$V$7:$V$156,"*;"&amp;$A64&amp;";*",'Project Plan'!$O$7:$O$156,"&lt;&gt;"&amp;$A64,'Project Plan'!$F$7:$F$156,"&lt;="&amp;U$60,'Project Plan'!$H$7:$H$156,"&gt;="&amp;U$60)</f>
        <v>0.25</v>
      </c>
      <c r="V64" s="32" t="n">
        <f aca="false">COUNTIFS('Project Plan'!$O$7:$O$156,$A64,'Project Plan'!$F$7:$F$156,"&lt;="&amp;V$60,'Project Plan'!$H$7:$H$156,"&gt;="&amp;V$60)+0.25*COUNTIFS('Project Plan'!$V$7:$V$156,"*;"&amp;$A64&amp;";*",'Project Plan'!$O$7:$O$156,"&lt;&gt;"&amp;$A64,'Project Plan'!$F$7:$F$156,"&lt;="&amp;V$60,'Project Plan'!$H$7:$H$156,"&gt;="&amp;V$60)</f>
        <v>1</v>
      </c>
      <c r="W64" s="32" t="n">
        <f aca="false">COUNTIFS('Project Plan'!$O$7:$O$156,$A64,'Project Plan'!$F$7:$F$156,"&lt;="&amp;W$60,'Project Plan'!$H$7:$H$156,"&gt;="&amp;W$60)+0.25*COUNTIFS('Project Plan'!$V$7:$V$156,"*;"&amp;$A64&amp;";*",'Project Plan'!$O$7:$O$156,"&lt;&gt;"&amp;$A64,'Project Plan'!$F$7:$F$156,"&lt;="&amp;W$60,'Project Plan'!$H$7:$H$156,"&gt;="&amp;W$60)</f>
        <v>1</v>
      </c>
      <c r="X64" s="32" t="n">
        <f aca="false">COUNTIFS('Project Plan'!$O$7:$O$156,$A64,'Project Plan'!$F$7:$F$156,"&lt;="&amp;X$60,'Project Plan'!$H$7:$H$156,"&gt;="&amp;X$60)+0.25*COUNTIFS('Project Plan'!$V$7:$V$156,"*;"&amp;$A64&amp;";*",'Project Plan'!$O$7:$O$156,"&lt;&gt;"&amp;$A64,'Project Plan'!$F$7:$F$156,"&lt;="&amp;X$60,'Project Plan'!$H$7:$H$156,"&gt;="&amp;X$60)</f>
        <v>1.5</v>
      </c>
      <c r="Y64" s="32" t="n">
        <f aca="false">COUNTIFS('Project Plan'!$O$7:$O$156,$A64,'Project Plan'!$F$7:$F$156,"&lt;="&amp;Y$60,'Project Plan'!$H$7:$H$156,"&gt;="&amp;Y$60)+0.25*COUNTIFS('Project Plan'!$V$7:$V$156,"*;"&amp;$A64&amp;";*",'Project Plan'!$O$7:$O$156,"&lt;&gt;"&amp;$A64,'Project Plan'!$F$7:$F$156,"&lt;="&amp;Y$60,'Project Plan'!$H$7:$H$156,"&gt;="&amp;Y$60)</f>
        <v>1</v>
      </c>
      <c r="Z64" s="32" t="n">
        <f aca="false">COUNTIFS('Project Plan'!$O$7:$O$156,$A64,'Project Plan'!$F$7:$F$156,"&lt;="&amp;Z$60,'Project Plan'!$H$7:$H$156,"&gt;="&amp;Z$60)+0.25*COUNTIFS('Project Plan'!$V$7:$V$156,"*;"&amp;$A64&amp;";*",'Project Plan'!$O$7:$O$156,"&lt;&gt;"&amp;$A64,'Project Plan'!$F$7:$F$156,"&lt;="&amp;Z$60,'Project Plan'!$H$7:$H$156,"&gt;="&amp;Z$60)</f>
        <v>0.75</v>
      </c>
      <c r="AA64" s="32" t="n">
        <f aca="false">COUNTIFS('Project Plan'!$O$7:$O$156,$A64,'Project Plan'!$F$7:$F$156,"&lt;="&amp;AA$60,'Project Plan'!$H$7:$H$156,"&gt;="&amp;AA$60)+0.25*COUNTIFS('Project Plan'!$V$7:$V$156,"*;"&amp;$A64&amp;";*",'Project Plan'!$O$7:$O$156,"&lt;&gt;"&amp;$A64,'Project Plan'!$F$7:$F$156,"&lt;="&amp;AA$60,'Project Plan'!$H$7:$H$156,"&gt;="&amp;AA$60)</f>
        <v>0.75</v>
      </c>
      <c r="AB64" s="32" t="n">
        <f aca="false">COUNTIFS('Project Plan'!$O$7:$O$156,$A64,'Project Plan'!$F$7:$F$156,"&lt;="&amp;AB$60,'Project Plan'!$H$7:$H$156,"&gt;="&amp;AB$60)+0.25*COUNTIFS('Project Plan'!$V$7:$V$156,"*;"&amp;$A64&amp;";*",'Project Plan'!$O$7:$O$156,"&lt;&gt;"&amp;$A64,'Project Plan'!$F$7:$F$156,"&lt;="&amp;AB$60,'Project Plan'!$H$7:$H$156,"&gt;="&amp;AB$60)</f>
        <v>0.5</v>
      </c>
      <c r="AC64" s="32" t="n">
        <f aca="false">COUNTIFS('Project Plan'!$O$7:$O$156,$A64,'Project Plan'!$F$7:$F$156,"&lt;="&amp;AC$60,'Project Plan'!$H$7:$H$156,"&gt;="&amp;AC$60)+0.25*COUNTIFS('Project Plan'!$V$7:$V$156,"*;"&amp;$A64&amp;";*",'Project Plan'!$O$7:$O$156,"&lt;&gt;"&amp;$A64,'Project Plan'!$F$7:$F$156,"&lt;="&amp;AC$60,'Project Plan'!$H$7:$H$156,"&gt;="&amp;AC$60)</f>
        <v>0</v>
      </c>
    </row>
    <row r="65" customFormat="false" ht="15" hidden="false" customHeight="false" outlineLevel="0" collapsed="false">
      <c r="A65" s="0" t="str">
        <f aca="false">A9</f>
        <v>BSE</v>
      </c>
      <c r="B65" s="0" t="n">
        <f aca="false">4*E9</f>
        <v>4</v>
      </c>
      <c r="C65" s="32" t="n">
        <f aca="false">COUNTIFS('Project Plan'!$O$7:$O$156,$A65,'Project Plan'!$F$7:$F$156,"&lt;="&amp;C$60,'Project Plan'!$H$7:$H$156,"&gt;="&amp;C$60)+0.25*COUNTIFS('Project Plan'!$V$7:$V$156,"*;"&amp;$A65&amp;";*",'Project Plan'!$O$7:$O$156,"&lt;&gt;"&amp;$A65,'Project Plan'!$F$7:$F$156,"&lt;="&amp;C$60,'Project Plan'!$H$7:$H$156,"&gt;="&amp;C$60)</f>
        <v>3.75</v>
      </c>
      <c r="D65" s="32" t="n">
        <f aca="false">COUNTIFS('Project Plan'!$O$7:$O$156,$A65,'Project Plan'!$F$7:$F$156,"&lt;="&amp;D$60,'Project Plan'!$H$7:$H$156,"&gt;="&amp;D$60)+0.25*COUNTIFS('Project Plan'!$V$7:$V$156,"*;"&amp;$A65&amp;";*",'Project Plan'!$O$7:$O$156,"&lt;&gt;"&amp;$A65,'Project Plan'!$F$7:$F$156,"&lt;="&amp;D$60,'Project Plan'!$H$7:$H$156,"&gt;="&amp;D$60)</f>
        <v>3.5</v>
      </c>
      <c r="E65" s="32" t="n">
        <f aca="false">COUNTIFS('Project Plan'!$O$7:$O$156,$A65,'Project Plan'!$F$7:$F$156,"&lt;="&amp;E$60,'Project Plan'!$H$7:$H$156,"&gt;="&amp;E$60)+0.25*COUNTIFS('Project Plan'!$V$7:$V$156,"*;"&amp;$A65&amp;";*",'Project Plan'!$O$7:$O$156,"&lt;&gt;"&amp;$A65,'Project Plan'!$F$7:$F$156,"&lt;="&amp;E$60,'Project Plan'!$H$7:$H$156,"&gt;="&amp;E$60)</f>
        <v>3.5</v>
      </c>
      <c r="F65" s="32" t="n">
        <f aca="false">COUNTIFS('Project Plan'!$O$7:$O$156,$A65,'Project Plan'!$F$7:$F$156,"&lt;="&amp;F$60,'Project Plan'!$H$7:$H$156,"&gt;="&amp;F$60)+0.25*COUNTIFS('Project Plan'!$V$7:$V$156,"*;"&amp;$A65&amp;";*",'Project Plan'!$O$7:$O$156,"&lt;&gt;"&amp;$A65,'Project Plan'!$F$7:$F$156,"&lt;="&amp;F$60,'Project Plan'!$H$7:$H$156,"&gt;="&amp;F$60)</f>
        <v>3.5</v>
      </c>
      <c r="G65" s="32" t="n">
        <f aca="false">COUNTIFS('Project Plan'!$O$7:$O$156,$A65,'Project Plan'!$F$7:$F$156,"&lt;="&amp;G$60,'Project Plan'!$H$7:$H$156,"&gt;="&amp;G$60)+0.25*COUNTIFS('Project Plan'!$V$7:$V$156,"*;"&amp;$A65&amp;";*",'Project Plan'!$O$7:$O$156,"&lt;&gt;"&amp;$A65,'Project Plan'!$F$7:$F$156,"&lt;="&amp;G$60,'Project Plan'!$H$7:$H$156,"&gt;="&amp;G$60)</f>
        <v>3.5</v>
      </c>
      <c r="H65" s="32" t="n">
        <f aca="false">COUNTIFS('Project Plan'!$O$7:$O$156,$A65,'Project Plan'!$F$7:$F$156,"&lt;="&amp;H$60,'Project Plan'!$H$7:$H$156,"&gt;="&amp;H$60)+0.25*COUNTIFS('Project Plan'!$V$7:$V$156,"*;"&amp;$A65&amp;";*",'Project Plan'!$O$7:$O$156,"&lt;&gt;"&amp;$A65,'Project Plan'!$F$7:$F$156,"&lt;="&amp;H$60,'Project Plan'!$H$7:$H$156,"&gt;="&amp;H$60)</f>
        <v>4</v>
      </c>
      <c r="I65" s="32" t="n">
        <f aca="false">COUNTIFS('Project Plan'!$O$7:$O$156,$A65,'Project Plan'!$F$7:$F$156,"&lt;="&amp;I$60,'Project Plan'!$H$7:$H$156,"&gt;="&amp;I$60)+0.25*COUNTIFS('Project Plan'!$V$7:$V$156,"*;"&amp;$A65&amp;";*",'Project Plan'!$O$7:$O$156,"&lt;&gt;"&amp;$A65,'Project Plan'!$F$7:$F$156,"&lt;="&amp;I$60,'Project Plan'!$H$7:$H$156,"&gt;="&amp;I$60)</f>
        <v>3.25</v>
      </c>
      <c r="J65" s="32" t="n">
        <f aca="false">COUNTIFS('Project Plan'!$O$7:$O$156,$A65,'Project Plan'!$F$7:$F$156,"&lt;="&amp;J$60,'Project Plan'!$H$7:$H$156,"&gt;="&amp;J$60)+0.25*COUNTIFS('Project Plan'!$V$7:$V$156,"*;"&amp;$A65&amp;";*",'Project Plan'!$O$7:$O$156,"&lt;&gt;"&amp;$A65,'Project Plan'!$F$7:$F$156,"&lt;="&amp;J$60,'Project Plan'!$H$7:$H$156,"&gt;="&amp;J$60)</f>
        <v>3.25</v>
      </c>
      <c r="K65" s="32" t="n">
        <f aca="false">COUNTIFS('Project Plan'!$O$7:$O$156,$A65,'Project Plan'!$F$7:$F$156,"&lt;="&amp;K$60,'Project Plan'!$H$7:$H$156,"&gt;="&amp;K$60)+0.25*COUNTIFS('Project Plan'!$V$7:$V$156,"*;"&amp;$A65&amp;";*",'Project Plan'!$O$7:$O$156,"&lt;&gt;"&amp;$A65,'Project Plan'!$F$7:$F$156,"&lt;="&amp;K$60,'Project Plan'!$H$7:$H$156,"&gt;="&amp;K$60)</f>
        <v>3.75</v>
      </c>
      <c r="L65" s="32" t="n">
        <f aca="false">COUNTIFS('Project Plan'!$O$7:$O$156,$A65,'Project Plan'!$F$7:$F$156,"&lt;="&amp;L$60,'Project Plan'!$H$7:$H$156,"&gt;="&amp;L$60)+0.25*COUNTIFS('Project Plan'!$V$7:$V$156,"*;"&amp;$A65&amp;";*",'Project Plan'!$O$7:$O$156,"&lt;&gt;"&amp;$A65,'Project Plan'!$F$7:$F$156,"&lt;="&amp;L$60,'Project Plan'!$H$7:$H$156,"&gt;="&amp;L$60)</f>
        <v>3.25</v>
      </c>
      <c r="M65" s="32" t="n">
        <f aca="false">COUNTIFS('Project Plan'!$O$7:$O$156,$A65,'Project Plan'!$F$7:$F$156,"&lt;="&amp;M$60,'Project Plan'!$H$7:$H$156,"&gt;="&amp;M$60)+0.25*COUNTIFS('Project Plan'!$V$7:$V$156,"*;"&amp;$A65&amp;";*",'Project Plan'!$O$7:$O$156,"&lt;&gt;"&amp;$A65,'Project Plan'!$F$7:$F$156,"&lt;="&amp;M$60,'Project Plan'!$H$7:$H$156,"&gt;="&amp;M$60)</f>
        <v>1.25</v>
      </c>
      <c r="N65" s="32" t="n">
        <f aca="false">COUNTIFS('Project Plan'!$O$7:$O$156,$A65,'Project Plan'!$F$7:$F$156,"&lt;="&amp;N$60,'Project Plan'!$H$7:$H$156,"&gt;="&amp;N$60)+0.25*COUNTIFS('Project Plan'!$V$7:$V$156,"*;"&amp;$A65&amp;";*",'Project Plan'!$O$7:$O$156,"&lt;&gt;"&amp;$A65,'Project Plan'!$F$7:$F$156,"&lt;="&amp;N$60,'Project Plan'!$H$7:$H$156,"&gt;="&amp;N$60)</f>
        <v>3.75</v>
      </c>
      <c r="O65" s="32" t="n">
        <f aca="false">COUNTIFS('Project Plan'!$O$7:$O$156,$A65,'Project Plan'!$F$7:$F$156,"&lt;="&amp;O$60,'Project Plan'!$H$7:$H$156,"&gt;="&amp;O$60)+0.25*COUNTIFS('Project Plan'!$V$7:$V$156,"*;"&amp;$A65&amp;";*",'Project Plan'!$O$7:$O$156,"&lt;&gt;"&amp;$A65,'Project Plan'!$F$7:$F$156,"&lt;="&amp;O$60,'Project Plan'!$H$7:$H$156,"&gt;="&amp;O$60)</f>
        <v>3</v>
      </c>
      <c r="P65" s="32" t="n">
        <f aca="false">COUNTIFS('Project Plan'!$O$7:$O$156,$A65,'Project Plan'!$F$7:$F$156,"&lt;="&amp;P$60,'Project Plan'!$H$7:$H$156,"&gt;="&amp;P$60)+0.25*COUNTIFS('Project Plan'!$V$7:$V$156,"*;"&amp;$A65&amp;";*",'Project Plan'!$O$7:$O$156,"&lt;&gt;"&amp;$A65,'Project Plan'!$F$7:$F$156,"&lt;="&amp;P$60,'Project Plan'!$H$7:$H$156,"&gt;="&amp;P$60)</f>
        <v>4</v>
      </c>
      <c r="Q65" s="32" t="n">
        <f aca="false">COUNTIFS('Project Plan'!$O$7:$O$156,$A65,'Project Plan'!$F$7:$F$156,"&lt;="&amp;Q$60,'Project Plan'!$H$7:$H$156,"&gt;="&amp;Q$60)+0.25*COUNTIFS('Project Plan'!$V$7:$V$156,"*;"&amp;$A65&amp;";*",'Project Plan'!$O$7:$O$156,"&lt;&gt;"&amp;$A65,'Project Plan'!$F$7:$F$156,"&lt;="&amp;Q$60,'Project Plan'!$H$7:$H$156,"&gt;="&amp;Q$60)</f>
        <v>2.75</v>
      </c>
      <c r="R65" s="32" t="n">
        <f aca="false">COUNTIFS('Project Plan'!$O$7:$O$156,$A65,'Project Plan'!$F$7:$F$156,"&lt;="&amp;R$60,'Project Plan'!$H$7:$H$156,"&gt;="&amp;R$60)+0.25*COUNTIFS('Project Plan'!$V$7:$V$156,"*;"&amp;$A65&amp;";*",'Project Plan'!$O$7:$O$156,"&lt;&gt;"&amp;$A65,'Project Plan'!$F$7:$F$156,"&lt;="&amp;R$60,'Project Plan'!$H$7:$H$156,"&gt;="&amp;R$60)</f>
        <v>3.5</v>
      </c>
      <c r="S65" s="32" t="n">
        <f aca="false">COUNTIFS('Project Plan'!$O$7:$O$156,$A65,'Project Plan'!$F$7:$F$156,"&lt;="&amp;S$60,'Project Plan'!$H$7:$H$156,"&gt;="&amp;S$60)+0.25*COUNTIFS('Project Plan'!$V$7:$V$156,"*;"&amp;$A65&amp;";*",'Project Plan'!$O$7:$O$156,"&lt;&gt;"&amp;$A65,'Project Plan'!$F$7:$F$156,"&lt;="&amp;S$60,'Project Plan'!$H$7:$H$156,"&gt;="&amp;S$60)</f>
        <v>3</v>
      </c>
      <c r="T65" s="32" t="n">
        <f aca="false">COUNTIFS('Project Plan'!$O$7:$O$156,$A65,'Project Plan'!$F$7:$F$156,"&lt;="&amp;T$60,'Project Plan'!$H$7:$H$156,"&gt;="&amp;T$60)+0.25*COUNTIFS('Project Plan'!$V$7:$V$156,"*;"&amp;$A65&amp;";*",'Project Plan'!$O$7:$O$156,"&lt;&gt;"&amp;$A65,'Project Plan'!$F$7:$F$156,"&lt;="&amp;T$60,'Project Plan'!$H$7:$H$156,"&gt;="&amp;T$60)</f>
        <v>2</v>
      </c>
      <c r="U65" s="32" t="n">
        <f aca="false">COUNTIFS('Project Plan'!$O$7:$O$156,$A65,'Project Plan'!$F$7:$F$156,"&lt;="&amp;U$60,'Project Plan'!$H$7:$H$156,"&gt;="&amp;U$60)+0.25*COUNTIFS('Project Plan'!$V$7:$V$156,"*;"&amp;$A65&amp;";*",'Project Plan'!$O$7:$O$156,"&lt;&gt;"&amp;$A65,'Project Plan'!$F$7:$F$156,"&lt;="&amp;U$60,'Project Plan'!$H$7:$H$156,"&gt;="&amp;U$60)</f>
        <v>0.75</v>
      </c>
      <c r="V65" s="32" t="n">
        <f aca="false">COUNTIFS('Project Plan'!$O$7:$O$156,$A65,'Project Plan'!$F$7:$F$156,"&lt;="&amp;V$60,'Project Plan'!$H$7:$H$156,"&gt;="&amp;V$60)+0.25*COUNTIFS('Project Plan'!$V$7:$V$156,"*;"&amp;$A65&amp;";*",'Project Plan'!$O$7:$O$156,"&lt;&gt;"&amp;$A65,'Project Plan'!$F$7:$F$156,"&lt;="&amp;V$60,'Project Plan'!$H$7:$H$156,"&gt;="&amp;V$60)</f>
        <v>1</v>
      </c>
      <c r="W65" s="32" t="n">
        <f aca="false">COUNTIFS('Project Plan'!$O$7:$O$156,$A65,'Project Plan'!$F$7:$F$156,"&lt;="&amp;W$60,'Project Plan'!$H$7:$H$156,"&gt;="&amp;W$60)+0.25*COUNTIFS('Project Plan'!$V$7:$V$156,"*;"&amp;$A65&amp;";*",'Project Plan'!$O$7:$O$156,"&lt;&gt;"&amp;$A65,'Project Plan'!$F$7:$F$156,"&lt;="&amp;W$60,'Project Plan'!$H$7:$H$156,"&gt;="&amp;W$60)</f>
        <v>1.5</v>
      </c>
      <c r="X65" s="32" t="n">
        <f aca="false">COUNTIFS('Project Plan'!$O$7:$O$156,$A65,'Project Plan'!$F$7:$F$156,"&lt;="&amp;X$60,'Project Plan'!$H$7:$H$156,"&gt;="&amp;X$60)+0.25*COUNTIFS('Project Plan'!$V$7:$V$156,"*;"&amp;$A65&amp;";*",'Project Plan'!$O$7:$O$156,"&lt;&gt;"&amp;$A65,'Project Plan'!$F$7:$F$156,"&lt;="&amp;X$60,'Project Plan'!$H$7:$H$156,"&gt;="&amp;X$60)</f>
        <v>1.5</v>
      </c>
      <c r="Y65" s="32" t="n">
        <f aca="false">COUNTIFS('Project Plan'!$O$7:$O$156,$A65,'Project Plan'!$F$7:$F$156,"&lt;="&amp;Y$60,'Project Plan'!$H$7:$H$156,"&gt;="&amp;Y$60)+0.25*COUNTIFS('Project Plan'!$V$7:$V$156,"*;"&amp;$A65&amp;";*",'Project Plan'!$O$7:$O$156,"&lt;&gt;"&amp;$A65,'Project Plan'!$F$7:$F$156,"&lt;="&amp;Y$60,'Project Plan'!$H$7:$H$156,"&gt;="&amp;Y$60)</f>
        <v>1.25</v>
      </c>
      <c r="Z65" s="32" t="n">
        <f aca="false">COUNTIFS('Project Plan'!$O$7:$O$156,$A65,'Project Plan'!$F$7:$F$156,"&lt;="&amp;Z$60,'Project Plan'!$H$7:$H$156,"&gt;="&amp;Z$60)+0.25*COUNTIFS('Project Plan'!$V$7:$V$156,"*;"&amp;$A65&amp;";*",'Project Plan'!$O$7:$O$156,"&lt;&gt;"&amp;$A65,'Project Plan'!$F$7:$F$156,"&lt;="&amp;Z$60,'Project Plan'!$H$7:$H$156,"&gt;="&amp;Z$60)</f>
        <v>1.25</v>
      </c>
      <c r="AA65" s="32" t="n">
        <f aca="false">COUNTIFS('Project Plan'!$O$7:$O$156,$A65,'Project Plan'!$F$7:$F$156,"&lt;="&amp;AA$60,'Project Plan'!$H$7:$H$156,"&gt;="&amp;AA$60)+0.25*COUNTIFS('Project Plan'!$V$7:$V$156,"*;"&amp;$A65&amp;";*",'Project Plan'!$O$7:$O$156,"&lt;&gt;"&amp;$A65,'Project Plan'!$F$7:$F$156,"&lt;="&amp;AA$60,'Project Plan'!$H$7:$H$156,"&gt;="&amp;AA$60)</f>
        <v>1.25</v>
      </c>
      <c r="AB65" s="32" t="n">
        <f aca="false">COUNTIFS('Project Plan'!$O$7:$O$156,$A65,'Project Plan'!$F$7:$F$156,"&lt;="&amp;AB$60,'Project Plan'!$H$7:$H$156,"&gt;="&amp;AB$60)+0.25*COUNTIFS('Project Plan'!$V$7:$V$156,"*;"&amp;$A65&amp;";*",'Project Plan'!$O$7:$O$156,"&lt;&gt;"&amp;$A65,'Project Plan'!$F$7:$F$156,"&lt;="&amp;AB$60,'Project Plan'!$H$7:$H$156,"&gt;="&amp;AB$60)</f>
        <v>0.25</v>
      </c>
      <c r="AC65" s="32" t="n">
        <f aca="false">COUNTIFS('Project Plan'!$O$7:$O$156,$A65,'Project Plan'!$F$7:$F$156,"&lt;="&amp;AC$60,'Project Plan'!$H$7:$H$156,"&gt;="&amp;AC$60)+0.25*COUNTIFS('Project Plan'!$V$7:$V$156,"*;"&amp;$A65&amp;";*",'Project Plan'!$O$7:$O$156,"&lt;&gt;"&amp;$A65,'Project Plan'!$F$7:$F$156,"&lt;="&amp;AC$60,'Project Plan'!$H$7:$H$156,"&gt;="&amp;AC$60)</f>
        <v>0</v>
      </c>
    </row>
    <row r="66" customFormat="false" ht="15" hidden="false" customHeight="false" outlineLevel="0" collapsed="false">
      <c r="A66" s="0" t="str">
        <f aca="false">A10</f>
        <v>KHE</v>
      </c>
      <c r="B66" s="0" t="n">
        <f aca="false">4*E10</f>
        <v>4</v>
      </c>
      <c r="C66" s="32" t="n">
        <f aca="false">COUNTIFS('Project Plan'!$O$7:$O$156,$A66,'Project Plan'!$F$7:$F$156,"&lt;="&amp;C$60,'Project Plan'!$H$7:$H$156,"&gt;="&amp;C$60)+0.25*COUNTIFS('Project Plan'!$V$7:$V$156,"*;"&amp;$A66&amp;";*",'Project Plan'!$O$7:$O$156,"&lt;&gt;"&amp;$A66,'Project Plan'!$F$7:$F$156,"&lt;="&amp;C$60,'Project Plan'!$H$7:$H$156,"&gt;="&amp;C$60)</f>
        <v>0</v>
      </c>
      <c r="D66" s="32" t="n">
        <f aca="false">COUNTIFS('Project Plan'!$O$7:$O$156,$A66,'Project Plan'!$F$7:$F$156,"&lt;="&amp;D$60,'Project Plan'!$H$7:$H$156,"&gt;="&amp;D$60)+0.25*COUNTIFS('Project Plan'!$V$7:$V$156,"*;"&amp;$A66&amp;";*",'Project Plan'!$O$7:$O$156,"&lt;&gt;"&amp;$A66,'Project Plan'!$F$7:$F$156,"&lt;="&amp;D$60,'Project Plan'!$H$7:$H$156,"&gt;="&amp;D$60)</f>
        <v>0</v>
      </c>
      <c r="E66" s="32" t="n">
        <f aca="false">COUNTIFS('Project Plan'!$O$7:$O$156,$A66,'Project Plan'!$F$7:$F$156,"&lt;="&amp;E$60,'Project Plan'!$H$7:$H$156,"&gt;="&amp;E$60)+0.25*COUNTIFS('Project Plan'!$V$7:$V$156,"*;"&amp;$A66&amp;";*",'Project Plan'!$O$7:$O$156,"&lt;&gt;"&amp;$A66,'Project Plan'!$F$7:$F$156,"&lt;="&amp;E$60,'Project Plan'!$H$7:$H$156,"&gt;="&amp;E$60)</f>
        <v>3.25</v>
      </c>
      <c r="F66" s="32" t="n">
        <f aca="false">COUNTIFS('Project Plan'!$O$7:$O$156,$A66,'Project Plan'!$F$7:$F$156,"&lt;="&amp;F$60,'Project Plan'!$H$7:$H$156,"&gt;="&amp;F$60)+0.25*COUNTIFS('Project Plan'!$V$7:$V$156,"*;"&amp;$A66&amp;";*",'Project Plan'!$O$7:$O$156,"&lt;&gt;"&amp;$A66,'Project Plan'!$F$7:$F$156,"&lt;="&amp;F$60,'Project Plan'!$H$7:$H$156,"&gt;="&amp;F$60)</f>
        <v>3.5</v>
      </c>
      <c r="G66" s="32" t="n">
        <f aca="false">COUNTIFS('Project Plan'!$O$7:$O$156,$A66,'Project Plan'!$F$7:$F$156,"&lt;="&amp;G$60,'Project Plan'!$H$7:$H$156,"&gt;="&amp;G$60)+0.25*COUNTIFS('Project Plan'!$V$7:$V$156,"*;"&amp;$A66&amp;";*",'Project Plan'!$O$7:$O$156,"&lt;&gt;"&amp;$A66,'Project Plan'!$F$7:$F$156,"&lt;="&amp;G$60,'Project Plan'!$H$7:$H$156,"&gt;="&amp;G$60)</f>
        <v>3.5</v>
      </c>
      <c r="H66" s="32" t="n">
        <f aca="false">COUNTIFS('Project Plan'!$O$7:$O$156,$A66,'Project Plan'!$F$7:$F$156,"&lt;="&amp;H$60,'Project Plan'!$H$7:$H$156,"&gt;="&amp;H$60)+0.25*COUNTIFS('Project Plan'!$V$7:$V$156,"*;"&amp;$A66&amp;";*",'Project Plan'!$O$7:$O$156,"&lt;&gt;"&amp;$A66,'Project Plan'!$F$7:$F$156,"&lt;="&amp;H$60,'Project Plan'!$H$7:$H$156,"&gt;="&amp;H$60)</f>
        <v>1.75</v>
      </c>
      <c r="I66" s="32" t="n">
        <f aca="false">COUNTIFS('Project Plan'!$O$7:$O$156,$A66,'Project Plan'!$F$7:$F$156,"&lt;="&amp;I$60,'Project Plan'!$H$7:$H$156,"&gt;="&amp;I$60)+0.25*COUNTIFS('Project Plan'!$V$7:$V$156,"*;"&amp;$A66&amp;";*",'Project Plan'!$O$7:$O$156,"&lt;&gt;"&amp;$A66,'Project Plan'!$F$7:$F$156,"&lt;="&amp;I$60,'Project Plan'!$H$7:$H$156,"&gt;="&amp;I$60)</f>
        <v>3.5</v>
      </c>
      <c r="J66" s="32" t="n">
        <f aca="false">COUNTIFS('Project Plan'!$O$7:$O$156,$A66,'Project Plan'!$F$7:$F$156,"&lt;="&amp;J$60,'Project Plan'!$H$7:$H$156,"&gt;="&amp;J$60)+0.25*COUNTIFS('Project Plan'!$V$7:$V$156,"*;"&amp;$A66&amp;";*",'Project Plan'!$O$7:$O$156,"&lt;&gt;"&amp;$A66,'Project Plan'!$F$7:$F$156,"&lt;="&amp;J$60,'Project Plan'!$H$7:$H$156,"&gt;="&amp;J$60)</f>
        <v>3.5</v>
      </c>
      <c r="K66" s="32" t="n">
        <f aca="false">COUNTIFS('Project Plan'!$O$7:$O$156,$A66,'Project Plan'!$F$7:$F$156,"&lt;="&amp;K$60,'Project Plan'!$H$7:$H$156,"&gt;="&amp;K$60)+0.25*COUNTIFS('Project Plan'!$V$7:$V$156,"*;"&amp;$A66&amp;";*",'Project Plan'!$O$7:$O$156,"&lt;&gt;"&amp;$A66,'Project Plan'!$F$7:$F$156,"&lt;="&amp;K$60,'Project Plan'!$H$7:$H$156,"&gt;="&amp;K$60)</f>
        <v>3.5</v>
      </c>
      <c r="L66" s="32" t="n">
        <f aca="false">COUNTIFS('Project Plan'!$O$7:$O$156,$A66,'Project Plan'!$F$7:$F$156,"&lt;="&amp;L$60,'Project Plan'!$H$7:$H$156,"&gt;="&amp;L$60)+0.25*COUNTIFS('Project Plan'!$V$7:$V$156,"*;"&amp;$A66&amp;";*",'Project Plan'!$O$7:$O$156,"&lt;&gt;"&amp;$A66,'Project Plan'!$F$7:$F$156,"&lt;="&amp;L$60,'Project Plan'!$H$7:$H$156,"&gt;="&amp;L$60)</f>
        <v>3.75</v>
      </c>
      <c r="M66" s="32" t="n">
        <f aca="false">COUNTIFS('Project Plan'!$O$7:$O$156,$A66,'Project Plan'!$F$7:$F$156,"&lt;="&amp;M$60,'Project Plan'!$H$7:$H$156,"&gt;="&amp;M$60)+0.25*COUNTIFS('Project Plan'!$V$7:$V$156,"*;"&amp;$A66&amp;";*",'Project Plan'!$O$7:$O$156,"&lt;&gt;"&amp;$A66,'Project Plan'!$F$7:$F$156,"&lt;="&amp;M$60,'Project Plan'!$H$7:$H$156,"&gt;="&amp;M$60)</f>
        <v>3.5</v>
      </c>
      <c r="N66" s="32" t="n">
        <f aca="false">COUNTIFS('Project Plan'!$O$7:$O$156,$A66,'Project Plan'!$F$7:$F$156,"&lt;="&amp;N$60,'Project Plan'!$H$7:$H$156,"&gt;="&amp;N$60)+0.25*COUNTIFS('Project Plan'!$V$7:$V$156,"*;"&amp;$A66&amp;";*",'Project Plan'!$O$7:$O$156,"&lt;&gt;"&amp;$A66,'Project Plan'!$F$7:$F$156,"&lt;="&amp;N$60,'Project Plan'!$H$7:$H$156,"&gt;="&amp;N$60)</f>
        <v>3.75</v>
      </c>
      <c r="O66" s="32" t="n">
        <f aca="false">COUNTIFS('Project Plan'!$O$7:$O$156,$A66,'Project Plan'!$F$7:$F$156,"&lt;="&amp;O$60,'Project Plan'!$H$7:$H$156,"&gt;="&amp;O$60)+0.25*COUNTIFS('Project Plan'!$V$7:$V$156,"*;"&amp;$A66&amp;";*",'Project Plan'!$O$7:$O$156,"&lt;&gt;"&amp;$A66,'Project Plan'!$F$7:$F$156,"&lt;="&amp;O$60,'Project Plan'!$H$7:$H$156,"&gt;="&amp;O$60)</f>
        <v>2.75</v>
      </c>
      <c r="P66" s="32" t="n">
        <f aca="false">COUNTIFS('Project Plan'!$O$7:$O$156,$A66,'Project Plan'!$F$7:$F$156,"&lt;="&amp;P$60,'Project Plan'!$H$7:$H$156,"&gt;="&amp;P$60)+0.25*COUNTIFS('Project Plan'!$V$7:$V$156,"*;"&amp;$A66&amp;";*",'Project Plan'!$O$7:$O$156,"&lt;&gt;"&amp;$A66,'Project Plan'!$F$7:$F$156,"&lt;="&amp;P$60,'Project Plan'!$H$7:$H$156,"&gt;="&amp;P$60)</f>
        <v>2.75</v>
      </c>
      <c r="Q66" s="32" t="n">
        <f aca="false">COUNTIFS('Project Plan'!$O$7:$O$156,$A66,'Project Plan'!$F$7:$F$156,"&lt;="&amp;Q$60,'Project Plan'!$H$7:$H$156,"&gt;="&amp;Q$60)+0.25*COUNTIFS('Project Plan'!$V$7:$V$156,"*;"&amp;$A66&amp;";*",'Project Plan'!$O$7:$O$156,"&lt;&gt;"&amp;$A66,'Project Plan'!$F$7:$F$156,"&lt;="&amp;Q$60,'Project Plan'!$H$7:$H$156,"&gt;="&amp;Q$60)</f>
        <v>2.75</v>
      </c>
      <c r="R66" s="32" t="n">
        <f aca="false">COUNTIFS('Project Plan'!$O$7:$O$156,$A66,'Project Plan'!$F$7:$F$156,"&lt;="&amp;R$60,'Project Plan'!$H$7:$H$156,"&gt;="&amp;R$60)+0.25*COUNTIFS('Project Plan'!$V$7:$V$156,"*;"&amp;$A66&amp;";*",'Project Plan'!$O$7:$O$156,"&lt;&gt;"&amp;$A66,'Project Plan'!$F$7:$F$156,"&lt;="&amp;R$60,'Project Plan'!$H$7:$H$156,"&gt;="&amp;R$60)</f>
        <v>2.75</v>
      </c>
      <c r="S66" s="32" t="n">
        <f aca="false">COUNTIFS('Project Plan'!$O$7:$O$156,$A66,'Project Plan'!$F$7:$F$156,"&lt;="&amp;S$60,'Project Plan'!$H$7:$H$156,"&gt;="&amp;S$60)+0.25*COUNTIFS('Project Plan'!$V$7:$V$156,"*;"&amp;$A66&amp;";*",'Project Plan'!$O$7:$O$156,"&lt;&gt;"&amp;$A66,'Project Plan'!$F$7:$F$156,"&lt;="&amp;S$60,'Project Plan'!$H$7:$H$156,"&gt;="&amp;S$60)</f>
        <v>3.75</v>
      </c>
      <c r="T66" s="32" t="n">
        <f aca="false">COUNTIFS('Project Plan'!$O$7:$O$156,$A66,'Project Plan'!$F$7:$F$156,"&lt;="&amp;T$60,'Project Plan'!$H$7:$H$156,"&gt;="&amp;T$60)+0.25*COUNTIFS('Project Plan'!$V$7:$V$156,"*;"&amp;$A66&amp;";*",'Project Plan'!$O$7:$O$156,"&lt;&gt;"&amp;$A66,'Project Plan'!$F$7:$F$156,"&lt;="&amp;T$60,'Project Plan'!$H$7:$H$156,"&gt;="&amp;T$60)</f>
        <v>3.5</v>
      </c>
      <c r="U66" s="32" t="n">
        <f aca="false">COUNTIFS('Project Plan'!$O$7:$O$156,$A66,'Project Plan'!$F$7:$F$156,"&lt;="&amp;U$60,'Project Plan'!$H$7:$H$156,"&gt;="&amp;U$60)+0.25*COUNTIFS('Project Plan'!$V$7:$V$156,"*;"&amp;$A66&amp;";*",'Project Plan'!$O$7:$O$156,"&lt;&gt;"&amp;$A66,'Project Plan'!$F$7:$F$156,"&lt;="&amp;U$60,'Project Plan'!$H$7:$H$156,"&gt;="&amp;U$60)</f>
        <v>2.5</v>
      </c>
      <c r="V66" s="32" t="n">
        <f aca="false">COUNTIFS('Project Plan'!$O$7:$O$156,$A66,'Project Plan'!$F$7:$F$156,"&lt;="&amp;V$60,'Project Plan'!$H$7:$H$156,"&gt;="&amp;V$60)+0.25*COUNTIFS('Project Plan'!$V$7:$V$156,"*;"&amp;$A66&amp;";*",'Project Plan'!$O$7:$O$156,"&lt;&gt;"&amp;$A66,'Project Plan'!$F$7:$F$156,"&lt;="&amp;V$60,'Project Plan'!$H$7:$H$156,"&gt;="&amp;V$60)</f>
        <v>1.25</v>
      </c>
      <c r="W66" s="32" t="n">
        <f aca="false">COUNTIFS('Project Plan'!$O$7:$O$156,$A66,'Project Plan'!$F$7:$F$156,"&lt;="&amp;W$60,'Project Plan'!$H$7:$H$156,"&gt;="&amp;W$60)+0.25*COUNTIFS('Project Plan'!$V$7:$V$156,"*;"&amp;$A66&amp;";*",'Project Plan'!$O$7:$O$156,"&lt;&gt;"&amp;$A66,'Project Plan'!$F$7:$F$156,"&lt;="&amp;W$60,'Project Plan'!$H$7:$H$156,"&gt;="&amp;W$60)</f>
        <v>0</v>
      </c>
      <c r="X66" s="32" t="n">
        <f aca="false">COUNTIFS('Project Plan'!$O$7:$O$156,$A66,'Project Plan'!$F$7:$F$156,"&lt;="&amp;X$60,'Project Plan'!$H$7:$H$156,"&gt;="&amp;X$60)+0.25*COUNTIFS('Project Plan'!$V$7:$V$156,"*;"&amp;$A66&amp;";*",'Project Plan'!$O$7:$O$156,"&lt;&gt;"&amp;$A66,'Project Plan'!$F$7:$F$156,"&lt;="&amp;X$60,'Project Plan'!$H$7:$H$156,"&gt;="&amp;X$60)</f>
        <v>0</v>
      </c>
      <c r="Y66" s="32" t="n">
        <f aca="false">COUNTIFS('Project Plan'!$O$7:$O$156,$A66,'Project Plan'!$F$7:$F$156,"&lt;="&amp;Y$60,'Project Plan'!$H$7:$H$156,"&gt;="&amp;Y$60)+0.25*COUNTIFS('Project Plan'!$V$7:$V$156,"*;"&amp;$A66&amp;";*",'Project Plan'!$O$7:$O$156,"&lt;&gt;"&amp;$A66,'Project Plan'!$F$7:$F$156,"&lt;="&amp;Y$60,'Project Plan'!$H$7:$H$156,"&gt;="&amp;Y$60)</f>
        <v>0</v>
      </c>
      <c r="Z66" s="32" t="n">
        <f aca="false">COUNTIFS('Project Plan'!$O$7:$O$156,$A66,'Project Plan'!$F$7:$F$156,"&lt;="&amp;Z$60,'Project Plan'!$H$7:$H$156,"&gt;="&amp;Z$60)+0.25*COUNTIFS('Project Plan'!$V$7:$V$156,"*;"&amp;$A66&amp;";*",'Project Plan'!$O$7:$O$156,"&lt;&gt;"&amp;$A66,'Project Plan'!$F$7:$F$156,"&lt;="&amp;Z$60,'Project Plan'!$H$7:$H$156,"&gt;="&amp;Z$60)</f>
        <v>0</v>
      </c>
      <c r="AA66" s="32" t="n">
        <f aca="false">COUNTIFS('Project Plan'!$O$7:$O$156,$A66,'Project Plan'!$F$7:$F$156,"&lt;="&amp;AA$60,'Project Plan'!$H$7:$H$156,"&gt;="&amp;AA$60)+0.25*COUNTIFS('Project Plan'!$V$7:$V$156,"*;"&amp;$A66&amp;";*",'Project Plan'!$O$7:$O$156,"&lt;&gt;"&amp;$A66,'Project Plan'!$F$7:$F$156,"&lt;="&amp;AA$60,'Project Plan'!$H$7:$H$156,"&gt;="&amp;AA$60)</f>
        <v>0</v>
      </c>
      <c r="AB66" s="32" t="n">
        <f aca="false">COUNTIFS('Project Plan'!$O$7:$O$156,$A66,'Project Plan'!$F$7:$F$156,"&lt;="&amp;AB$60,'Project Plan'!$H$7:$H$156,"&gt;="&amp;AB$60)+0.25*COUNTIFS('Project Plan'!$V$7:$V$156,"*;"&amp;$A66&amp;";*",'Project Plan'!$O$7:$O$156,"&lt;&gt;"&amp;$A66,'Project Plan'!$F$7:$F$156,"&lt;="&amp;AB$60,'Project Plan'!$H$7:$H$156,"&gt;="&amp;AB$60)</f>
        <v>0</v>
      </c>
      <c r="AC66" s="32" t="n">
        <f aca="false">COUNTIFS('Project Plan'!$O$7:$O$156,$A66,'Project Plan'!$F$7:$F$156,"&lt;="&amp;AC$60,'Project Plan'!$H$7:$H$156,"&gt;="&amp;AC$60)+0.25*COUNTIFS('Project Plan'!$V$7:$V$156,"*;"&amp;$A66&amp;";*",'Project Plan'!$O$7:$O$156,"&lt;&gt;"&amp;$A66,'Project Plan'!$F$7:$F$156,"&lt;="&amp;AC$60,'Project Plan'!$H$7:$H$156,"&gt;="&amp;AC$60)</f>
        <v>0</v>
      </c>
    </row>
    <row r="67" customFormat="false" ht="15" hidden="false" customHeight="false" outlineLevel="0" collapsed="false">
      <c r="A67" s="0" t="str">
        <f aca="false">A11</f>
        <v>CPE</v>
      </c>
      <c r="B67" s="0" t="n">
        <f aca="false">4*E11</f>
        <v>4</v>
      </c>
      <c r="C67" s="32" t="n">
        <f aca="false">COUNTIFS('Project Plan'!$O$7:$O$156,$A67,'Project Plan'!$F$7:$F$156,"&lt;="&amp;C$60,'Project Plan'!$H$7:$H$156,"&gt;="&amp;C$60)+0.25*COUNTIFS('Project Plan'!$V$7:$V$156,"*;"&amp;$A67&amp;";*",'Project Plan'!$O$7:$O$156,"&lt;&gt;"&amp;$A67,'Project Plan'!$F$7:$F$156,"&lt;="&amp;C$60,'Project Plan'!$H$7:$H$156,"&gt;="&amp;C$60)</f>
        <v>0</v>
      </c>
      <c r="D67" s="32" t="n">
        <f aca="false">COUNTIFS('Project Plan'!$O$7:$O$156,$A67,'Project Plan'!$F$7:$F$156,"&lt;="&amp;D$60,'Project Plan'!$H$7:$H$156,"&gt;="&amp;D$60)+0.25*COUNTIFS('Project Plan'!$V$7:$V$156,"*;"&amp;$A67&amp;";*",'Project Plan'!$O$7:$O$156,"&lt;&gt;"&amp;$A67,'Project Plan'!$F$7:$F$156,"&lt;="&amp;D$60,'Project Plan'!$H$7:$H$156,"&gt;="&amp;D$60)</f>
        <v>0</v>
      </c>
      <c r="E67" s="32" t="n">
        <f aca="false">COUNTIFS('Project Plan'!$O$7:$O$156,$A67,'Project Plan'!$F$7:$F$156,"&lt;="&amp;E$60,'Project Plan'!$H$7:$H$156,"&gt;="&amp;E$60)+0.25*COUNTIFS('Project Plan'!$V$7:$V$156,"*;"&amp;$A67&amp;";*",'Project Plan'!$O$7:$O$156,"&lt;&gt;"&amp;$A67,'Project Plan'!$F$7:$F$156,"&lt;="&amp;E$60,'Project Plan'!$H$7:$H$156,"&gt;="&amp;E$60)</f>
        <v>0</v>
      </c>
      <c r="F67" s="32" t="n">
        <f aca="false">COUNTIFS('Project Plan'!$O$7:$O$156,$A67,'Project Plan'!$F$7:$F$156,"&lt;="&amp;F$60,'Project Plan'!$H$7:$H$156,"&gt;="&amp;F$60)+0.25*COUNTIFS('Project Plan'!$V$7:$V$156,"*;"&amp;$A67&amp;";*",'Project Plan'!$O$7:$O$156,"&lt;&gt;"&amp;$A67,'Project Plan'!$F$7:$F$156,"&lt;="&amp;F$60,'Project Plan'!$H$7:$H$156,"&gt;="&amp;F$60)</f>
        <v>1</v>
      </c>
      <c r="G67" s="32" t="n">
        <f aca="false">COUNTIFS('Project Plan'!$O$7:$O$156,$A67,'Project Plan'!$F$7:$F$156,"&lt;="&amp;G$60,'Project Plan'!$H$7:$H$156,"&gt;="&amp;G$60)+0.25*COUNTIFS('Project Plan'!$V$7:$V$156,"*;"&amp;$A67&amp;";*",'Project Plan'!$O$7:$O$156,"&lt;&gt;"&amp;$A67,'Project Plan'!$F$7:$F$156,"&lt;="&amp;G$60,'Project Plan'!$H$7:$H$156,"&gt;="&amp;G$60)</f>
        <v>2</v>
      </c>
      <c r="H67" s="32" t="n">
        <f aca="false">COUNTIFS('Project Plan'!$O$7:$O$156,$A67,'Project Plan'!$F$7:$F$156,"&lt;="&amp;H$60,'Project Plan'!$H$7:$H$156,"&gt;="&amp;H$60)+0.25*COUNTIFS('Project Plan'!$V$7:$V$156,"*;"&amp;$A67&amp;";*",'Project Plan'!$O$7:$O$156,"&lt;&gt;"&amp;$A67,'Project Plan'!$F$7:$F$156,"&lt;="&amp;H$60,'Project Plan'!$H$7:$H$156,"&gt;="&amp;H$60)</f>
        <v>2</v>
      </c>
      <c r="I67" s="32" t="n">
        <f aca="false">COUNTIFS('Project Plan'!$O$7:$O$156,$A67,'Project Plan'!$F$7:$F$156,"&lt;="&amp;I$60,'Project Plan'!$H$7:$H$156,"&gt;="&amp;I$60)+0.25*COUNTIFS('Project Plan'!$V$7:$V$156,"*;"&amp;$A67&amp;";*",'Project Plan'!$O$7:$O$156,"&lt;&gt;"&amp;$A67,'Project Plan'!$F$7:$F$156,"&lt;="&amp;I$60,'Project Plan'!$H$7:$H$156,"&gt;="&amp;I$60)</f>
        <v>2</v>
      </c>
      <c r="J67" s="32" t="n">
        <f aca="false">COUNTIFS('Project Plan'!$O$7:$O$156,$A67,'Project Plan'!$F$7:$F$156,"&lt;="&amp;J$60,'Project Plan'!$H$7:$H$156,"&gt;="&amp;J$60)+0.25*COUNTIFS('Project Plan'!$V$7:$V$156,"*;"&amp;$A67&amp;";*",'Project Plan'!$O$7:$O$156,"&lt;&gt;"&amp;$A67,'Project Plan'!$F$7:$F$156,"&lt;="&amp;J$60,'Project Plan'!$H$7:$H$156,"&gt;="&amp;J$60)</f>
        <v>3</v>
      </c>
      <c r="K67" s="32" t="n">
        <f aca="false">COUNTIFS('Project Plan'!$O$7:$O$156,$A67,'Project Plan'!$F$7:$F$156,"&lt;="&amp;K$60,'Project Plan'!$H$7:$H$156,"&gt;="&amp;K$60)+0.25*COUNTIFS('Project Plan'!$V$7:$V$156,"*;"&amp;$A67&amp;";*",'Project Plan'!$O$7:$O$156,"&lt;&gt;"&amp;$A67,'Project Plan'!$F$7:$F$156,"&lt;="&amp;K$60,'Project Plan'!$H$7:$H$156,"&gt;="&amp;K$60)</f>
        <v>3</v>
      </c>
      <c r="L67" s="32" t="n">
        <f aca="false">COUNTIFS('Project Plan'!$O$7:$O$156,$A67,'Project Plan'!$F$7:$F$156,"&lt;="&amp;L$60,'Project Plan'!$H$7:$H$156,"&gt;="&amp;L$60)+0.25*COUNTIFS('Project Plan'!$V$7:$V$156,"*;"&amp;$A67&amp;";*",'Project Plan'!$O$7:$O$156,"&lt;&gt;"&amp;$A67,'Project Plan'!$F$7:$F$156,"&lt;="&amp;L$60,'Project Plan'!$H$7:$H$156,"&gt;="&amp;L$60)</f>
        <v>2</v>
      </c>
      <c r="M67" s="32" t="n">
        <f aca="false">COUNTIFS('Project Plan'!$O$7:$O$156,$A67,'Project Plan'!$F$7:$F$156,"&lt;="&amp;M$60,'Project Plan'!$H$7:$H$156,"&gt;="&amp;M$60)+0.25*COUNTIFS('Project Plan'!$V$7:$V$156,"*;"&amp;$A67&amp;";*",'Project Plan'!$O$7:$O$156,"&lt;&gt;"&amp;$A67,'Project Plan'!$F$7:$F$156,"&lt;="&amp;M$60,'Project Plan'!$H$7:$H$156,"&gt;="&amp;M$60)</f>
        <v>1</v>
      </c>
      <c r="N67" s="32" t="n">
        <f aca="false">COUNTIFS('Project Plan'!$O$7:$O$156,$A67,'Project Plan'!$F$7:$F$156,"&lt;="&amp;N$60,'Project Plan'!$H$7:$H$156,"&gt;="&amp;N$60)+0.25*COUNTIFS('Project Plan'!$V$7:$V$156,"*;"&amp;$A67&amp;";*",'Project Plan'!$O$7:$O$156,"&lt;&gt;"&amp;$A67,'Project Plan'!$F$7:$F$156,"&lt;="&amp;N$60,'Project Plan'!$H$7:$H$156,"&gt;="&amp;N$60)</f>
        <v>1</v>
      </c>
      <c r="O67" s="32" t="n">
        <f aca="false">COUNTIFS('Project Plan'!$O$7:$O$156,$A67,'Project Plan'!$F$7:$F$156,"&lt;="&amp;O$60,'Project Plan'!$H$7:$H$156,"&gt;="&amp;O$60)+0.25*COUNTIFS('Project Plan'!$V$7:$V$156,"*;"&amp;$A67&amp;";*",'Project Plan'!$O$7:$O$156,"&lt;&gt;"&amp;$A67,'Project Plan'!$F$7:$F$156,"&lt;="&amp;O$60,'Project Plan'!$H$7:$H$156,"&gt;="&amp;O$60)</f>
        <v>3</v>
      </c>
      <c r="P67" s="32" t="n">
        <f aca="false">COUNTIFS('Project Plan'!$O$7:$O$156,$A67,'Project Plan'!$F$7:$F$156,"&lt;="&amp;P$60,'Project Plan'!$H$7:$H$156,"&gt;="&amp;P$60)+0.25*COUNTIFS('Project Plan'!$V$7:$V$156,"*;"&amp;$A67&amp;";*",'Project Plan'!$O$7:$O$156,"&lt;&gt;"&amp;$A67,'Project Plan'!$F$7:$F$156,"&lt;="&amp;P$60,'Project Plan'!$H$7:$H$156,"&gt;="&amp;P$60)</f>
        <v>3</v>
      </c>
      <c r="Q67" s="32" t="n">
        <f aca="false">COUNTIFS('Project Plan'!$O$7:$O$156,$A67,'Project Plan'!$F$7:$F$156,"&lt;="&amp;Q$60,'Project Plan'!$H$7:$H$156,"&gt;="&amp;Q$60)+0.25*COUNTIFS('Project Plan'!$V$7:$V$156,"*;"&amp;$A67&amp;";*",'Project Plan'!$O$7:$O$156,"&lt;&gt;"&amp;$A67,'Project Plan'!$F$7:$F$156,"&lt;="&amp;Q$60,'Project Plan'!$H$7:$H$156,"&gt;="&amp;Q$60)</f>
        <v>3</v>
      </c>
      <c r="R67" s="32" t="n">
        <f aca="false">COUNTIFS('Project Plan'!$O$7:$O$156,$A67,'Project Plan'!$F$7:$F$156,"&lt;="&amp;R$60,'Project Plan'!$H$7:$H$156,"&gt;="&amp;R$60)+0.25*COUNTIFS('Project Plan'!$V$7:$V$156,"*;"&amp;$A67&amp;";*",'Project Plan'!$O$7:$O$156,"&lt;&gt;"&amp;$A67,'Project Plan'!$F$7:$F$156,"&lt;="&amp;R$60,'Project Plan'!$H$7:$H$156,"&gt;="&amp;R$60)</f>
        <v>3</v>
      </c>
      <c r="S67" s="32" t="n">
        <f aca="false">COUNTIFS('Project Plan'!$O$7:$O$156,$A67,'Project Plan'!$F$7:$F$156,"&lt;="&amp;S$60,'Project Plan'!$H$7:$H$156,"&gt;="&amp;S$60)+0.25*COUNTIFS('Project Plan'!$V$7:$V$156,"*;"&amp;$A67&amp;";*",'Project Plan'!$O$7:$O$156,"&lt;&gt;"&amp;$A67,'Project Plan'!$F$7:$F$156,"&lt;="&amp;S$60,'Project Plan'!$H$7:$H$156,"&gt;="&amp;S$60)</f>
        <v>2</v>
      </c>
      <c r="T67" s="32" t="n">
        <f aca="false">COUNTIFS('Project Plan'!$O$7:$O$156,$A67,'Project Plan'!$F$7:$F$156,"&lt;="&amp;T$60,'Project Plan'!$H$7:$H$156,"&gt;="&amp;T$60)+0.25*COUNTIFS('Project Plan'!$V$7:$V$156,"*;"&amp;$A67&amp;";*",'Project Plan'!$O$7:$O$156,"&lt;&gt;"&amp;$A67,'Project Plan'!$F$7:$F$156,"&lt;="&amp;T$60,'Project Plan'!$H$7:$H$156,"&gt;="&amp;T$60)</f>
        <v>1</v>
      </c>
      <c r="U67" s="32" t="n">
        <f aca="false">COUNTIFS('Project Plan'!$O$7:$O$156,$A67,'Project Plan'!$F$7:$F$156,"&lt;="&amp;U$60,'Project Plan'!$H$7:$H$156,"&gt;="&amp;U$60)+0.25*COUNTIFS('Project Plan'!$V$7:$V$156,"*;"&amp;$A67&amp;";*",'Project Plan'!$O$7:$O$156,"&lt;&gt;"&amp;$A67,'Project Plan'!$F$7:$F$156,"&lt;="&amp;U$60,'Project Plan'!$H$7:$H$156,"&gt;="&amp;U$60)</f>
        <v>0</v>
      </c>
      <c r="V67" s="32" t="n">
        <f aca="false">COUNTIFS('Project Plan'!$O$7:$O$156,$A67,'Project Plan'!$F$7:$F$156,"&lt;="&amp;V$60,'Project Plan'!$H$7:$H$156,"&gt;="&amp;V$60)+0.25*COUNTIFS('Project Plan'!$V$7:$V$156,"*;"&amp;$A67&amp;";*",'Project Plan'!$O$7:$O$156,"&lt;&gt;"&amp;$A67,'Project Plan'!$F$7:$F$156,"&lt;="&amp;V$60,'Project Plan'!$H$7:$H$156,"&gt;="&amp;V$60)</f>
        <v>0</v>
      </c>
      <c r="W67" s="32" t="n">
        <f aca="false">COUNTIFS('Project Plan'!$O$7:$O$156,$A67,'Project Plan'!$F$7:$F$156,"&lt;="&amp;W$60,'Project Plan'!$H$7:$H$156,"&gt;="&amp;W$60)+0.25*COUNTIFS('Project Plan'!$V$7:$V$156,"*;"&amp;$A67&amp;";*",'Project Plan'!$O$7:$O$156,"&lt;&gt;"&amp;$A67,'Project Plan'!$F$7:$F$156,"&lt;="&amp;W$60,'Project Plan'!$H$7:$H$156,"&gt;="&amp;W$60)</f>
        <v>0</v>
      </c>
      <c r="X67" s="32" t="n">
        <f aca="false">COUNTIFS('Project Plan'!$O$7:$O$156,$A67,'Project Plan'!$F$7:$F$156,"&lt;="&amp;X$60,'Project Plan'!$H$7:$H$156,"&gt;="&amp;X$60)+0.25*COUNTIFS('Project Plan'!$V$7:$V$156,"*;"&amp;$A67&amp;";*",'Project Plan'!$O$7:$O$156,"&lt;&gt;"&amp;$A67,'Project Plan'!$F$7:$F$156,"&lt;="&amp;X$60,'Project Plan'!$H$7:$H$156,"&gt;="&amp;X$60)</f>
        <v>0</v>
      </c>
      <c r="Y67" s="32" t="n">
        <f aca="false">COUNTIFS('Project Plan'!$O$7:$O$156,$A67,'Project Plan'!$F$7:$F$156,"&lt;="&amp;Y$60,'Project Plan'!$H$7:$H$156,"&gt;="&amp;Y$60)+0.25*COUNTIFS('Project Plan'!$V$7:$V$156,"*;"&amp;$A67&amp;";*",'Project Plan'!$O$7:$O$156,"&lt;&gt;"&amp;$A67,'Project Plan'!$F$7:$F$156,"&lt;="&amp;Y$60,'Project Plan'!$H$7:$H$156,"&gt;="&amp;Y$60)</f>
        <v>0</v>
      </c>
      <c r="Z67" s="32" t="n">
        <f aca="false">COUNTIFS('Project Plan'!$O$7:$O$156,$A67,'Project Plan'!$F$7:$F$156,"&lt;="&amp;Z$60,'Project Plan'!$H$7:$H$156,"&gt;="&amp;Z$60)+0.25*COUNTIFS('Project Plan'!$V$7:$V$156,"*;"&amp;$A67&amp;";*",'Project Plan'!$O$7:$O$156,"&lt;&gt;"&amp;$A67,'Project Plan'!$F$7:$F$156,"&lt;="&amp;Z$60,'Project Plan'!$H$7:$H$156,"&gt;="&amp;Z$60)</f>
        <v>0</v>
      </c>
      <c r="AA67" s="32" t="n">
        <f aca="false">COUNTIFS('Project Plan'!$O$7:$O$156,$A67,'Project Plan'!$F$7:$F$156,"&lt;="&amp;AA$60,'Project Plan'!$H$7:$H$156,"&gt;="&amp;AA$60)+0.25*COUNTIFS('Project Plan'!$V$7:$V$156,"*;"&amp;$A67&amp;";*",'Project Plan'!$O$7:$O$156,"&lt;&gt;"&amp;$A67,'Project Plan'!$F$7:$F$156,"&lt;="&amp;AA$60,'Project Plan'!$H$7:$H$156,"&gt;="&amp;AA$60)</f>
        <v>0</v>
      </c>
      <c r="AB67" s="32" t="n">
        <f aca="false">COUNTIFS('Project Plan'!$O$7:$O$156,$A67,'Project Plan'!$F$7:$F$156,"&lt;="&amp;AB$60,'Project Plan'!$H$7:$H$156,"&gt;="&amp;AB$60)+0.25*COUNTIFS('Project Plan'!$V$7:$V$156,"*;"&amp;$A67&amp;";*",'Project Plan'!$O$7:$O$156,"&lt;&gt;"&amp;$A67,'Project Plan'!$F$7:$F$156,"&lt;="&amp;AB$60,'Project Plan'!$H$7:$H$156,"&gt;="&amp;AB$60)</f>
        <v>0</v>
      </c>
      <c r="AC67" s="32" t="n">
        <f aca="false">COUNTIFS('Project Plan'!$O$7:$O$156,$A67,'Project Plan'!$F$7:$F$156,"&lt;="&amp;AC$60,'Project Plan'!$H$7:$H$156,"&gt;="&amp;AC$60)+0.25*COUNTIFS('Project Plan'!$V$7:$V$156,"*;"&amp;$A67&amp;";*",'Project Plan'!$O$7:$O$156,"&lt;&gt;"&amp;$A67,'Project Plan'!$F$7:$F$156,"&lt;="&amp;AC$60,'Project Plan'!$H$7:$H$156,"&gt;="&amp;AC$60)</f>
        <v>0</v>
      </c>
    </row>
    <row r="68" customFormat="false" ht="15" hidden="false" customHeight="false" outlineLevel="0" collapsed="false">
      <c r="A68" s="0" t="str">
        <f aca="false">A12</f>
        <v>DET</v>
      </c>
      <c r="B68" s="0" t="n">
        <f aca="false">4*E12</f>
        <v>4</v>
      </c>
      <c r="C68" s="32" t="n">
        <f aca="false">COUNTIFS('Project Plan'!$O$7:$O$156,$A68,'Project Plan'!$F$7:$F$156,"&lt;="&amp;C$60,'Project Plan'!$H$7:$H$156,"&gt;="&amp;C$60)+0.25*COUNTIFS('Project Plan'!$V$7:$V$156,"*;"&amp;$A68&amp;";*",'Project Plan'!$O$7:$O$156,"&lt;&gt;"&amp;$A68,'Project Plan'!$F$7:$F$156,"&lt;="&amp;C$60,'Project Plan'!$H$7:$H$156,"&gt;="&amp;C$60)</f>
        <v>0</v>
      </c>
      <c r="D68" s="32" t="n">
        <f aca="false">COUNTIFS('Project Plan'!$O$7:$O$156,$A68,'Project Plan'!$F$7:$F$156,"&lt;="&amp;D$60,'Project Plan'!$H$7:$H$156,"&gt;="&amp;D$60)+0.25*COUNTIFS('Project Plan'!$V$7:$V$156,"*;"&amp;$A68&amp;";*",'Project Plan'!$O$7:$O$156,"&lt;&gt;"&amp;$A68,'Project Plan'!$F$7:$F$156,"&lt;="&amp;D$60,'Project Plan'!$H$7:$H$156,"&gt;="&amp;D$60)</f>
        <v>0</v>
      </c>
      <c r="E68" s="32" t="n">
        <f aca="false">COUNTIFS('Project Plan'!$O$7:$O$156,$A68,'Project Plan'!$F$7:$F$156,"&lt;="&amp;E$60,'Project Plan'!$H$7:$H$156,"&gt;="&amp;E$60)+0.25*COUNTIFS('Project Plan'!$V$7:$V$156,"*;"&amp;$A68&amp;";*",'Project Plan'!$O$7:$O$156,"&lt;&gt;"&amp;$A68,'Project Plan'!$F$7:$F$156,"&lt;="&amp;E$60,'Project Plan'!$H$7:$H$156,"&gt;="&amp;E$60)</f>
        <v>0</v>
      </c>
      <c r="F68" s="32" t="n">
        <f aca="false">COUNTIFS('Project Plan'!$O$7:$O$156,$A68,'Project Plan'!$F$7:$F$156,"&lt;="&amp;F$60,'Project Plan'!$H$7:$H$156,"&gt;="&amp;F$60)+0.25*COUNTIFS('Project Plan'!$V$7:$V$156,"*;"&amp;$A68&amp;";*",'Project Plan'!$O$7:$O$156,"&lt;&gt;"&amp;$A68,'Project Plan'!$F$7:$F$156,"&lt;="&amp;F$60,'Project Plan'!$H$7:$H$156,"&gt;="&amp;F$60)</f>
        <v>0.25</v>
      </c>
      <c r="G68" s="32" t="n">
        <f aca="false">COUNTIFS('Project Plan'!$O$7:$O$156,$A68,'Project Plan'!$F$7:$F$156,"&lt;="&amp;G$60,'Project Plan'!$H$7:$H$156,"&gt;="&amp;G$60)+0.25*COUNTIFS('Project Plan'!$V$7:$V$156,"*;"&amp;$A68&amp;";*",'Project Plan'!$O$7:$O$156,"&lt;&gt;"&amp;$A68,'Project Plan'!$F$7:$F$156,"&lt;="&amp;G$60,'Project Plan'!$H$7:$H$156,"&gt;="&amp;G$60)</f>
        <v>0.25</v>
      </c>
      <c r="H68" s="32" t="n">
        <f aca="false">COUNTIFS('Project Plan'!$O$7:$O$156,$A68,'Project Plan'!$F$7:$F$156,"&lt;="&amp;H$60,'Project Plan'!$H$7:$H$156,"&gt;="&amp;H$60)+0.25*COUNTIFS('Project Plan'!$V$7:$V$156,"*;"&amp;$A68&amp;";*",'Project Plan'!$O$7:$O$156,"&lt;&gt;"&amp;$A68,'Project Plan'!$F$7:$F$156,"&lt;="&amp;H$60,'Project Plan'!$H$7:$H$156,"&gt;="&amp;H$60)</f>
        <v>0.5</v>
      </c>
      <c r="I68" s="32" t="n">
        <f aca="false">COUNTIFS('Project Plan'!$O$7:$O$156,$A68,'Project Plan'!$F$7:$F$156,"&lt;="&amp;I$60,'Project Plan'!$H$7:$H$156,"&gt;="&amp;I$60)+0.25*COUNTIFS('Project Plan'!$V$7:$V$156,"*;"&amp;$A68&amp;";*",'Project Plan'!$O$7:$O$156,"&lt;&gt;"&amp;$A68,'Project Plan'!$F$7:$F$156,"&lt;="&amp;I$60,'Project Plan'!$H$7:$H$156,"&gt;="&amp;I$60)</f>
        <v>1.25</v>
      </c>
      <c r="J68" s="32" t="n">
        <f aca="false">COUNTIFS('Project Plan'!$O$7:$O$156,$A68,'Project Plan'!$F$7:$F$156,"&lt;="&amp;J$60,'Project Plan'!$H$7:$H$156,"&gt;="&amp;J$60)+0.25*COUNTIFS('Project Plan'!$V$7:$V$156,"*;"&amp;$A68&amp;";*",'Project Plan'!$O$7:$O$156,"&lt;&gt;"&amp;$A68,'Project Plan'!$F$7:$F$156,"&lt;="&amp;J$60,'Project Plan'!$H$7:$H$156,"&gt;="&amp;J$60)</f>
        <v>2.25</v>
      </c>
      <c r="K68" s="32" t="n">
        <f aca="false">COUNTIFS('Project Plan'!$O$7:$O$156,$A68,'Project Plan'!$F$7:$F$156,"&lt;="&amp;K$60,'Project Plan'!$H$7:$H$156,"&gt;="&amp;K$60)+0.25*COUNTIFS('Project Plan'!$V$7:$V$156,"*;"&amp;$A68&amp;";*",'Project Plan'!$O$7:$O$156,"&lt;&gt;"&amp;$A68,'Project Plan'!$F$7:$F$156,"&lt;="&amp;K$60,'Project Plan'!$H$7:$H$156,"&gt;="&amp;K$60)</f>
        <v>2.25</v>
      </c>
      <c r="L68" s="32" t="n">
        <f aca="false">COUNTIFS('Project Plan'!$O$7:$O$156,$A68,'Project Plan'!$F$7:$F$156,"&lt;="&amp;L$60,'Project Plan'!$H$7:$H$156,"&gt;="&amp;L$60)+0.25*COUNTIFS('Project Plan'!$V$7:$V$156,"*;"&amp;$A68&amp;";*",'Project Plan'!$O$7:$O$156,"&lt;&gt;"&amp;$A68,'Project Plan'!$F$7:$F$156,"&lt;="&amp;L$60,'Project Plan'!$H$7:$H$156,"&gt;="&amp;L$60)</f>
        <v>2.25</v>
      </c>
      <c r="M68" s="32" t="n">
        <f aca="false">COUNTIFS('Project Plan'!$O$7:$O$156,$A68,'Project Plan'!$F$7:$F$156,"&lt;="&amp;M$60,'Project Plan'!$H$7:$H$156,"&gt;="&amp;M$60)+0.25*COUNTIFS('Project Plan'!$V$7:$V$156,"*;"&amp;$A68&amp;";*",'Project Plan'!$O$7:$O$156,"&lt;&gt;"&amp;$A68,'Project Plan'!$F$7:$F$156,"&lt;="&amp;M$60,'Project Plan'!$H$7:$H$156,"&gt;="&amp;M$60)</f>
        <v>3</v>
      </c>
      <c r="N68" s="32" t="n">
        <f aca="false">COUNTIFS('Project Plan'!$O$7:$O$156,$A68,'Project Plan'!$F$7:$F$156,"&lt;="&amp;N$60,'Project Plan'!$H$7:$H$156,"&gt;="&amp;N$60)+0.25*COUNTIFS('Project Plan'!$V$7:$V$156,"*;"&amp;$A68&amp;";*",'Project Plan'!$O$7:$O$156,"&lt;&gt;"&amp;$A68,'Project Plan'!$F$7:$F$156,"&lt;="&amp;N$60,'Project Plan'!$H$7:$H$156,"&gt;="&amp;N$60)</f>
        <v>3</v>
      </c>
      <c r="O68" s="32" t="n">
        <f aca="false">COUNTIFS('Project Plan'!$O$7:$O$156,$A68,'Project Plan'!$F$7:$F$156,"&lt;="&amp;O$60,'Project Plan'!$H$7:$H$156,"&gt;="&amp;O$60)+0.25*COUNTIFS('Project Plan'!$V$7:$V$156,"*;"&amp;$A68&amp;";*",'Project Plan'!$O$7:$O$156,"&lt;&gt;"&amp;$A68,'Project Plan'!$F$7:$F$156,"&lt;="&amp;O$60,'Project Plan'!$H$7:$H$156,"&gt;="&amp;O$60)</f>
        <v>2</v>
      </c>
      <c r="P68" s="32" t="n">
        <f aca="false">COUNTIFS('Project Plan'!$O$7:$O$156,$A68,'Project Plan'!$F$7:$F$156,"&lt;="&amp;P$60,'Project Plan'!$H$7:$H$156,"&gt;="&amp;P$60)+0.25*COUNTIFS('Project Plan'!$V$7:$V$156,"*;"&amp;$A68&amp;";*",'Project Plan'!$O$7:$O$156,"&lt;&gt;"&amp;$A68,'Project Plan'!$F$7:$F$156,"&lt;="&amp;P$60,'Project Plan'!$H$7:$H$156,"&gt;="&amp;P$60)</f>
        <v>2</v>
      </c>
      <c r="Q68" s="32" t="n">
        <f aca="false">COUNTIFS('Project Plan'!$O$7:$O$156,$A68,'Project Plan'!$F$7:$F$156,"&lt;="&amp;Q$60,'Project Plan'!$H$7:$H$156,"&gt;="&amp;Q$60)+0.25*COUNTIFS('Project Plan'!$V$7:$V$156,"*;"&amp;$A68&amp;";*",'Project Plan'!$O$7:$O$156,"&lt;&gt;"&amp;$A68,'Project Plan'!$F$7:$F$156,"&lt;="&amp;Q$60,'Project Plan'!$H$7:$H$156,"&gt;="&amp;Q$60)</f>
        <v>2</v>
      </c>
      <c r="R68" s="32" t="n">
        <f aca="false">COUNTIFS('Project Plan'!$O$7:$O$156,$A68,'Project Plan'!$F$7:$F$156,"&lt;="&amp;R$60,'Project Plan'!$H$7:$H$156,"&gt;="&amp;R$60)+0.25*COUNTIFS('Project Plan'!$V$7:$V$156,"*;"&amp;$A68&amp;";*",'Project Plan'!$O$7:$O$156,"&lt;&gt;"&amp;$A68,'Project Plan'!$F$7:$F$156,"&lt;="&amp;R$60,'Project Plan'!$H$7:$H$156,"&gt;="&amp;R$60)</f>
        <v>2</v>
      </c>
      <c r="S68" s="32" t="n">
        <f aca="false">COUNTIFS('Project Plan'!$O$7:$O$156,$A68,'Project Plan'!$F$7:$F$156,"&lt;="&amp;S$60,'Project Plan'!$H$7:$H$156,"&gt;="&amp;S$60)+0.25*COUNTIFS('Project Plan'!$V$7:$V$156,"*;"&amp;$A68&amp;";*",'Project Plan'!$O$7:$O$156,"&lt;&gt;"&amp;$A68,'Project Plan'!$F$7:$F$156,"&lt;="&amp;S$60,'Project Plan'!$H$7:$H$156,"&gt;="&amp;S$60)</f>
        <v>2</v>
      </c>
      <c r="T68" s="32" t="n">
        <f aca="false">COUNTIFS('Project Plan'!$O$7:$O$156,$A68,'Project Plan'!$F$7:$F$156,"&lt;="&amp;T$60,'Project Plan'!$H$7:$H$156,"&gt;="&amp;T$60)+0.25*COUNTIFS('Project Plan'!$V$7:$V$156,"*;"&amp;$A68&amp;";*",'Project Plan'!$O$7:$O$156,"&lt;&gt;"&amp;$A68,'Project Plan'!$F$7:$F$156,"&lt;="&amp;T$60,'Project Plan'!$H$7:$H$156,"&gt;="&amp;T$60)</f>
        <v>1</v>
      </c>
      <c r="U68" s="32" t="n">
        <f aca="false">COUNTIFS('Project Plan'!$O$7:$O$156,$A68,'Project Plan'!$F$7:$F$156,"&lt;="&amp;U$60,'Project Plan'!$H$7:$H$156,"&gt;="&amp;U$60)+0.25*COUNTIFS('Project Plan'!$V$7:$V$156,"*;"&amp;$A68&amp;";*",'Project Plan'!$O$7:$O$156,"&lt;&gt;"&amp;$A68,'Project Plan'!$F$7:$F$156,"&lt;="&amp;U$60,'Project Plan'!$H$7:$H$156,"&gt;="&amp;U$60)</f>
        <v>1</v>
      </c>
      <c r="V68" s="32" t="n">
        <f aca="false">COUNTIFS('Project Plan'!$O$7:$O$156,$A68,'Project Plan'!$F$7:$F$156,"&lt;="&amp;V$60,'Project Plan'!$H$7:$H$156,"&gt;="&amp;V$60)+0.25*COUNTIFS('Project Plan'!$V$7:$V$156,"*;"&amp;$A68&amp;";*",'Project Plan'!$O$7:$O$156,"&lt;&gt;"&amp;$A68,'Project Plan'!$F$7:$F$156,"&lt;="&amp;V$60,'Project Plan'!$H$7:$H$156,"&gt;="&amp;V$60)</f>
        <v>0</v>
      </c>
      <c r="W68" s="32" t="n">
        <f aca="false">COUNTIFS('Project Plan'!$O$7:$O$156,$A68,'Project Plan'!$F$7:$F$156,"&lt;="&amp;W$60,'Project Plan'!$H$7:$H$156,"&gt;="&amp;W$60)+0.25*COUNTIFS('Project Plan'!$V$7:$V$156,"*;"&amp;$A68&amp;";*",'Project Plan'!$O$7:$O$156,"&lt;&gt;"&amp;$A68,'Project Plan'!$F$7:$F$156,"&lt;="&amp;W$60,'Project Plan'!$H$7:$H$156,"&gt;="&amp;W$60)</f>
        <v>0</v>
      </c>
      <c r="X68" s="32" t="n">
        <f aca="false">COUNTIFS('Project Plan'!$O$7:$O$156,$A68,'Project Plan'!$F$7:$F$156,"&lt;="&amp;X$60,'Project Plan'!$H$7:$H$156,"&gt;="&amp;X$60)+0.25*COUNTIFS('Project Plan'!$V$7:$V$156,"*;"&amp;$A68&amp;";*",'Project Plan'!$O$7:$O$156,"&lt;&gt;"&amp;$A68,'Project Plan'!$F$7:$F$156,"&lt;="&amp;X$60,'Project Plan'!$H$7:$H$156,"&gt;="&amp;X$60)</f>
        <v>0.25</v>
      </c>
      <c r="Y68" s="32" t="n">
        <f aca="false">COUNTIFS('Project Plan'!$O$7:$O$156,$A68,'Project Plan'!$F$7:$F$156,"&lt;="&amp;Y$60,'Project Plan'!$H$7:$H$156,"&gt;="&amp;Y$60)+0.25*COUNTIFS('Project Plan'!$V$7:$V$156,"*;"&amp;$A68&amp;";*",'Project Plan'!$O$7:$O$156,"&lt;&gt;"&amp;$A68,'Project Plan'!$F$7:$F$156,"&lt;="&amp;Y$60,'Project Plan'!$H$7:$H$156,"&gt;="&amp;Y$60)</f>
        <v>0.25</v>
      </c>
      <c r="Z68" s="32" t="n">
        <f aca="false">COUNTIFS('Project Plan'!$O$7:$O$156,$A68,'Project Plan'!$F$7:$F$156,"&lt;="&amp;Z$60,'Project Plan'!$H$7:$H$156,"&gt;="&amp;Z$60)+0.25*COUNTIFS('Project Plan'!$V$7:$V$156,"*;"&amp;$A68&amp;";*",'Project Plan'!$O$7:$O$156,"&lt;&gt;"&amp;$A68,'Project Plan'!$F$7:$F$156,"&lt;="&amp;Z$60,'Project Plan'!$H$7:$H$156,"&gt;="&amp;Z$60)</f>
        <v>0</v>
      </c>
      <c r="AA68" s="32" t="n">
        <f aca="false">COUNTIFS('Project Plan'!$O$7:$O$156,$A68,'Project Plan'!$F$7:$F$156,"&lt;="&amp;AA$60,'Project Plan'!$H$7:$H$156,"&gt;="&amp;AA$60)+0.25*COUNTIFS('Project Plan'!$V$7:$V$156,"*;"&amp;$A68&amp;";*",'Project Plan'!$O$7:$O$156,"&lt;&gt;"&amp;$A68,'Project Plan'!$F$7:$F$156,"&lt;="&amp;AA$60,'Project Plan'!$H$7:$H$156,"&gt;="&amp;AA$60)</f>
        <v>0</v>
      </c>
      <c r="AB68" s="32" t="n">
        <f aca="false">COUNTIFS('Project Plan'!$O$7:$O$156,$A68,'Project Plan'!$F$7:$F$156,"&lt;="&amp;AB$60,'Project Plan'!$H$7:$H$156,"&gt;="&amp;AB$60)+0.25*COUNTIFS('Project Plan'!$V$7:$V$156,"*;"&amp;$A68&amp;";*",'Project Plan'!$O$7:$O$156,"&lt;&gt;"&amp;$A68,'Project Plan'!$F$7:$F$156,"&lt;="&amp;AB$60,'Project Plan'!$H$7:$H$156,"&gt;="&amp;AB$60)</f>
        <v>0</v>
      </c>
      <c r="AC68" s="32" t="n">
        <f aca="false">COUNTIFS('Project Plan'!$O$7:$O$156,$A68,'Project Plan'!$F$7:$F$156,"&lt;="&amp;AC$60,'Project Plan'!$H$7:$H$156,"&gt;="&amp;AC$60)+0.25*COUNTIFS('Project Plan'!$V$7:$V$156,"*;"&amp;$A68&amp;";*",'Project Plan'!$O$7:$O$156,"&lt;&gt;"&amp;$A68,'Project Plan'!$F$7:$F$156,"&lt;="&amp;AC$60,'Project Plan'!$H$7:$H$156,"&gt;="&amp;AC$60)</f>
        <v>0</v>
      </c>
    </row>
    <row r="69" customFormat="false" ht="15" hidden="false" customHeight="false" outlineLevel="0" collapsed="false">
      <c r="A69" s="0" t="str">
        <f aca="false">A13</f>
        <v>IDC</v>
      </c>
      <c r="B69" s="0" t="n">
        <f aca="false">4*E13</f>
        <v>2</v>
      </c>
      <c r="C69" s="32" t="n">
        <f aca="false">COUNTIFS('Project Plan'!$O$7:$O$156,$A69,'Project Plan'!$F$7:$F$156,"&lt;="&amp;C$60,'Project Plan'!$H$7:$H$156,"&gt;="&amp;C$60)+0.25*COUNTIFS('Project Plan'!$V$7:$V$156,"*;"&amp;$A69&amp;";*",'Project Plan'!$O$7:$O$156,"&lt;&gt;"&amp;$A69,'Project Plan'!$F$7:$F$156,"&lt;="&amp;C$60,'Project Plan'!$H$7:$H$156,"&gt;="&amp;C$60)</f>
        <v>0</v>
      </c>
      <c r="D69" s="32" t="n">
        <f aca="false">COUNTIFS('Project Plan'!$O$7:$O$156,$A69,'Project Plan'!$F$7:$F$156,"&lt;="&amp;D$60,'Project Plan'!$H$7:$H$156,"&gt;="&amp;D$60)+0.25*COUNTIFS('Project Plan'!$V$7:$V$156,"*;"&amp;$A69&amp;";*",'Project Plan'!$O$7:$O$156,"&lt;&gt;"&amp;$A69,'Project Plan'!$F$7:$F$156,"&lt;="&amp;D$60,'Project Plan'!$H$7:$H$156,"&gt;="&amp;D$60)</f>
        <v>0</v>
      </c>
      <c r="E69" s="32" t="n">
        <f aca="false">COUNTIFS('Project Plan'!$O$7:$O$156,$A69,'Project Plan'!$F$7:$F$156,"&lt;="&amp;E$60,'Project Plan'!$H$7:$H$156,"&gt;="&amp;E$60)+0.25*COUNTIFS('Project Plan'!$V$7:$V$156,"*;"&amp;$A69&amp;";*",'Project Plan'!$O$7:$O$156,"&lt;&gt;"&amp;$A69,'Project Plan'!$F$7:$F$156,"&lt;="&amp;E$60,'Project Plan'!$H$7:$H$156,"&gt;="&amp;E$60)</f>
        <v>0</v>
      </c>
      <c r="F69" s="32" t="n">
        <f aca="false">COUNTIFS('Project Plan'!$O$7:$O$156,$A69,'Project Plan'!$F$7:$F$156,"&lt;="&amp;F$60,'Project Plan'!$H$7:$H$156,"&gt;="&amp;F$60)+0.25*COUNTIFS('Project Plan'!$V$7:$V$156,"*;"&amp;$A69&amp;";*",'Project Plan'!$O$7:$O$156,"&lt;&gt;"&amp;$A69,'Project Plan'!$F$7:$F$156,"&lt;="&amp;F$60,'Project Plan'!$H$7:$H$156,"&gt;="&amp;F$60)</f>
        <v>1</v>
      </c>
      <c r="G69" s="32" t="n">
        <f aca="false">COUNTIFS('Project Plan'!$O$7:$O$156,$A69,'Project Plan'!$F$7:$F$156,"&lt;="&amp;G$60,'Project Plan'!$H$7:$H$156,"&gt;="&amp;G$60)+0.25*COUNTIFS('Project Plan'!$V$7:$V$156,"*;"&amp;$A69&amp;";*",'Project Plan'!$O$7:$O$156,"&lt;&gt;"&amp;$A69,'Project Plan'!$F$7:$F$156,"&lt;="&amp;G$60,'Project Plan'!$H$7:$H$156,"&gt;="&amp;G$60)</f>
        <v>2</v>
      </c>
      <c r="H69" s="32" t="n">
        <f aca="false">COUNTIFS('Project Plan'!$O$7:$O$156,$A69,'Project Plan'!$F$7:$F$156,"&lt;="&amp;H$60,'Project Plan'!$H$7:$H$156,"&gt;="&amp;H$60)+0.25*COUNTIFS('Project Plan'!$V$7:$V$156,"*;"&amp;$A69&amp;";*",'Project Plan'!$O$7:$O$156,"&lt;&gt;"&amp;$A69,'Project Plan'!$F$7:$F$156,"&lt;="&amp;H$60,'Project Plan'!$H$7:$H$156,"&gt;="&amp;H$60)</f>
        <v>2</v>
      </c>
      <c r="I69" s="32" t="n">
        <f aca="false">COUNTIFS('Project Plan'!$O$7:$O$156,$A69,'Project Plan'!$F$7:$F$156,"&lt;="&amp;I$60,'Project Plan'!$H$7:$H$156,"&gt;="&amp;I$60)+0.25*COUNTIFS('Project Plan'!$V$7:$V$156,"*;"&amp;$A69&amp;";*",'Project Plan'!$O$7:$O$156,"&lt;&gt;"&amp;$A69,'Project Plan'!$F$7:$F$156,"&lt;="&amp;I$60,'Project Plan'!$H$7:$H$156,"&gt;="&amp;I$60)</f>
        <v>1</v>
      </c>
      <c r="J69" s="32" t="n">
        <f aca="false">COUNTIFS('Project Plan'!$O$7:$O$156,$A69,'Project Plan'!$F$7:$F$156,"&lt;="&amp;J$60,'Project Plan'!$H$7:$H$156,"&gt;="&amp;J$60)+0.25*COUNTIFS('Project Plan'!$V$7:$V$156,"*;"&amp;$A69&amp;";*",'Project Plan'!$O$7:$O$156,"&lt;&gt;"&amp;$A69,'Project Plan'!$F$7:$F$156,"&lt;="&amp;J$60,'Project Plan'!$H$7:$H$156,"&gt;="&amp;J$60)</f>
        <v>2</v>
      </c>
      <c r="K69" s="32" t="n">
        <f aca="false">COUNTIFS('Project Plan'!$O$7:$O$156,$A69,'Project Plan'!$F$7:$F$156,"&lt;="&amp;K$60,'Project Plan'!$H$7:$H$156,"&gt;="&amp;K$60)+0.25*COUNTIFS('Project Plan'!$V$7:$V$156,"*;"&amp;$A69&amp;";*",'Project Plan'!$O$7:$O$156,"&lt;&gt;"&amp;$A69,'Project Plan'!$F$7:$F$156,"&lt;="&amp;K$60,'Project Plan'!$H$7:$H$156,"&gt;="&amp;K$60)</f>
        <v>1</v>
      </c>
      <c r="L69" s="32" t="n">
        <f aca="false">COUNTIFS('Project Plan'!$O$7:$O$156,$A69,'Project Plan'!$F$7:$F$156,"&lt;="&amp;L$60,'Project Plan'!$H$7:$H$156,"&gt;="&amp;L$60)+0.25*COUNTIFS('Project Plan'!$V$7:$V$156,"*;"&amp;$A69&amp;";*",'Project Plan'!$O$7:$O$156,"&lt;&gt;"&amp;$A69,'Project Plan'!$F$7:$F$156,"&lt;="&amp;L$60,'Project Plan'!$H$7:$H$156,"&gt;="&amp;L$60)</f>
        <v>2</v>
      </c>
      <c r="M69" s="32" t="n">
        <f aca="false">COUNTIFS('Project Plan'!$O$7:$O$156,$A69,'Project Plan'!$F$7:$F$156,"&lt;="&amp;M$60,'Project Plan'!$H$7:$H$156,"&gt;="&amp;M$60)+0.25*COUNTIFS('Project Plan'!$V$7:$V$156,"*;"&amp;$A69&amp;";*",'Project Plan'!$O$7:$O$156,"&lt;&gt;"&amp;$A69,'Project Plan'!$F$7:$F$156,"&lt;="&amp;M$60,'Project Plan'!$H$7:$H$156,"&gt;="&amp;M$60)</f>
        <v>2</v>
      </c>
      <c r="N69" s="32" t="n">
        <f aca="false">COUNTIFS('Project Plan'!$O$7:$O$156,$A69,'Project Plan'!$F$7:$F$156,"&lt;="&amp;N$60,'Project Plan'!$H$7:$H$156,"&gt;="&amp;N$60)+0.25*COUNTIFS('Project Plan'!$V$7:$V$156,"*;"&amp;$A69&amp;";*",'Project Plan'!$O$7:$O$156,"&lt;&gt;"&amp;$A69,'Project Plan'!$F$7:$F$156,"&lt;="&amp;N$60,'Project Plan'!$H$7:$H$156,"&gt;="&amp;N$60)</f>
        <v>2</v>
      </c>
      <c r="O69" s="32" t="n">
        <f aca="false">COUNTIFS('Project Plan'!$O$7:$O$156,$A69,'Project Plan'!$F$7:$F$156,"&lt;="&amp;O$60,'Project Plan'!$H$7:$H$156,"&gt;="&amp;O$60)+0.25*COUNTIFS('Project Plan'!$V$7:$V$156,"*;"&amp;$A69&amp;";*",'Project Plan'!$O$7:$O$156,"&lt;&gt;"&amp;$A69,'Project Plan'!$F$7:$F$156,"&lt;="&amp;O$60,'Project Plan'!$H$7:$H$156,"&gt;="&amp;O$60)</f>
        <v>2</v>
      </c>
      <c r="P69" s="32" t="n">
        <f aca="false">COUNTIFS('Project Plan'!$O$7:$O$156,$A69,'Project Plan'!$F$7:$F$156,"&lt;="&amp;P$60,'Project Plan'!$H$7:$H$156,"&gt;="&amp;P$60)+0.25*COUNTIFS('Project Plan'!$V$7:$V$156,"*;"&amp;$A69&amp;";*",'Project Plan'!$O$7:$O$156,"&lt;&gt;"&amp;$A69,'Project Plan'!$F$7:$F$156,"&lt;="&amp;P$60,'Project Plan'!$H$7:$H$156,"&gt;="&amp;P$60)</f>
        <v>2</v>
      </c>
      <c r="Q69" s="32" t="n">
        <f aca="false">COUNTIFS('Project Plan'!$O$7:$O$156,$A69,'Project Plan'!$F$7:$F$156,"&lt;="&amp;Q$60,'Project Plan'!$H$7:$H$156,"&gt;="&amp;Q$60)+0.25*COUNTIFS('Project Plan'!$V$7:$V$156,"*;"&amp;$A69&amp;";*",'Project Plan'!$O$7:$O$156,"&lt;&gt;"&amp;$A69,'Project Plan'!$F$7:$F$156,"&lt;="&amp;Q$60,'Project Plan'!$H$7:$H$156,"&gt;="&amp;Q$60)</f>
        <v>2</v>
      </c>
      <c r="R69" s="32" t="n">
        <f aca="false">COUNTIFS('Project Plan'!$O$7:$O$156,$A69,'Project Plan'!$F$7:$F$156,"&lt;="&amp;R$60,'Project Plan'!$H$7:$H$156,"&gt;="&amp;R$60)+0.25*COUNTIFS('Project Plan'!$V$7:$V$156,"*;"&amp;$A69&amp;";*",'Project Plan'!$O$7:$O$156,"&lt;&gt;"&amp;$A69,'Project Plan'!$F$7:$F$156,"&lt;="&amp;R$60,'Project Plan'!$H$7:$H$156,"&gt;="&amp;R$60)</f>
        <v>2</v>
      </c>
      <c r="S69" s="32" t="n">
        <f aca="false">COUNTIFS('Project Plan'!$O$7:$O$156,$A69,'Project Plan'!$F$7:$F$156,"&lt;="&amp;S$60,'Project Plan'!$H$7:$H$156,"&gt;="&amp;S$60)+0.25*COUNTIFS('Project Plan'!$V$7:$V$156,"*;"&amp;$A69&amp;";*",'Project Plan'!$O$7:$O$156,"&lt;&gt;"&amp;$A69,'Project Plan'!$F$7:$F$156,"&lt;="&amp;S$60,'Project Plan'!$H$7:$H$156,"&gt;="&amp;S$60)</f>
        <v>2</v>
      </c>
      <c r="T69" s="32" t="n">
        <f aca="false">COUNTIFS('Project Plan'!$O$7:$O$156,$A69,'Project Plan'!$F$7:$F$156,"&lt;="&amp;T$60,'Project Plan'!$H$7:$H$156,"&gt;="&amp;T$60)+0.25*COUNTIFS('Project Plan'!$V$7:$V$156,"*;"&amp;$A69&amp;";*",'Project Plan'!$O$7:$O$156,"&lt;&gt;"&amp;$A69,'Project Plan'!$F$7:$F$156,"&lt;="&amp;T$60,'Project Plan'!$H$7:$H$156,"&gt;="&amp;T$60)</f>
        <v>2</v>
      </c>
      <c r="U69" s="32" t="n">
        <f aca="false">COUNTIFS('Project Plan'!$O$7:$O$156,$A69,'Project Plan'!$F$7:$F$156,"&lt;="&amp;U$60,'Project Plan'!$H$7:$H$156,"&gt;="&amp;U$60)+0.25*COUNTIFS('Project Plan'!$V$7:$V$156,"*;"&amp;$A69&amp;";*",'Project Plan'!$O$7:$O$156,"&lt;&gt;"&amp;$A69,'Project Plan'!$F$7:$F$156,"&lt;="&amp;U$60,'Project Plan'!$H$7:$H$156,"&gt;="&amp;U$60)</f>
        <v>2</v>
      </c>
      <c r="V69" s="32" t="n">
        <f aca="false">COUNTIFS('Project Plan'!$O$7:$O$156,$A69,'Project Plan'!$F$7:$F$156,"&lt;="&amp;V$60,'Project Plan'!$H$7:$H$156,"&gt;="&amp;V$60)+0.25*COUNTIFS('Project Plan'!$V$7:$V$156,"*;"&amp;$A69&amp;";*",'Project Plan'!$O$7:$O$156,"&lt;&gt;"&amp;$A69,'Project Plan'!$F$7:$F$156,"&lt;="&amp;V$60,'Project Plan'!$H$7:$H$156,"&gt;="&amp;V$60)</f>
        <v>0</v>
      </c>
      <c r="W69" s="32" t="n">
        <f aca="false">COUNTIFS('Project Plan'!$O$7:$O$156,$A69,'Project Plan'!$F$7:$F$156,"&lt;="&amp;W$60,'Project Plan'!$H$7:$H$156,"&gt;="&amp;W$60)+0.25*COUNTIFS('Project Plan'!$V$7:$V$156,"*;"&amp;$A69&amp;";*",'Project Plan'!$O$7:$O$156,"&lt;&gt;"&amp;$A69,'Project Plan'!$F$7:$F$156,"&lt;="&amp;W$60,'Project Plan'!$H$7:$H$156,"&gt;="&amp;W$60)</f>
        <v>0</v>
      </c>
      <c r="X69" s="32" t="n">
        <f aca="false">COUNTIFS('Project Plan'!$O$7:$O$156,$A69,'Project Plan'!$F$7:$F$156,"&lt;="&amp;X$60,'Project Plan'!$H$7:$H$156,"&gt;="&amp;X$60)+0.25*COUNTIFS('Project Plan'!$V$7:$V$156,"*;"&amp;$A69&amp;";*",'Project Plan'!$O$7:$O$156,"&lt;&gt;"&amp;$A69,'Project Plan'!$F$7:$F$156,"&lt;="&amp;X$60,'Project Plan'!$H$7:$H$156,"&gt;="&amp;X$60)</f>
        <v>0</v>
      </c>
      <c r="Y69" s="32" t="n">
        <f aca="false">COUNTIFS('Project Plan'!$O$7:$O$156,$A69,'Project Plan'!$F$7:$F$156,"&lt;="&amp;Y$60,'Project Plan'!$H$7:$H$156,"&gt;="&amp;Y$60)+0.25*COUNTIFS('Project Plan'!$V$7:$V$156,"*;"&amp;$A69&amp;";*",'Project Plan'!$O$7:$O$156,"&lt;&gt;"&amp;$A69,'Project Plan'!$F$7:$F$156,"&lt;="&amp;Y$60,'Project Plan'!$H$7:$H$156,"&gt;="&amp;Y$60)</f>
        <v>0</v>
      </c>
      <c r="Z69" s="32" t="n">
        <f aca="false">COUNTIFS('Project Plan'!$O$7:$O$156,$A69,'Project Plan'!$F$7:$F$156,"&lt;="&amp;Z$60,'Project Plan'!$H$7:$H$156,"&gt;="&amp;Z$60)+0.25*COUNTIFS('Project Plan'!$V$7:$V$156,"*;"&amp;$A69&amp;";*",'Project Plan'!$O$7:$O$156,"&lt;&gt;"&amp;$A69,'Project Plan'!$F$7:$F$156,"&lt;="&amp;Z$60,'Project Plan'!$H$7:$H$156,"&gt;="&amp;Z$60)</f>
        <v>0</v>
      </c>
      <c r="AA69" s="32" t="n">
        <f aca="false">COUNTIFS('Project Plan'!$O$7:$O$156,$A69,'Project Plan'!$F$7:$F$156,"&lt;="&amp;AA$60,'Project Plan'!$H$7:$H$156,"&gt;="&amp;AA$60)+0.25*COUNTIFS('Project Plan'!$V$7:$V$156,"*;"&amp;$A69&amp;";*",'Project Plan'!$O$7:$O$156,"&lt;&gt;"&amp;$A69,'Project Plan'!$F$7:$F$156,"&lt;="&amp;AA$60,'Project Plan'!$H$7:$H$156,"&gt;="&amp;AA$60)</f>
        <v>0</v>
      </c>
      <c r="AB69" s="32" t="n">
        <f aca="false">COUNTIFS('Project Plan'!$O$7:$O$156,$A69,'Project Plan'!$F$7:$F$156,"&lt;="&amp;AB$60,'Project Plan'!$H$7:$H$156,"&gt;="&amp;AB$60)+0.25*COUNTIFS('Project Plan'!$V$7:$V$156,"*;"&amp;$A69&amp;";*",'Project Plan'!$O$7:$O$156,"&lt;&gt;"&amp;$A69,'Project Plan'!$F$7:$F$156,"&lt;="&amp;AB$60,'Project Plan'!$H$7:$H$156,"&gt;="&amp;AB$60)</f>
        <v>0</v>
      </c>
      <c r="AC69" s="32" t="n">
        <f aca="false">COUNTIFS('Project Plan'!$O$7:$O$156,$A69,'Project Plan'!$F$7:$F$156,"&lt;="&amp;AC$60,'Project Plan'!$H$7:$H$156,"&gt;="&amp;AC$60)+0.25*COUNTIFS('Project Plan'!$V$7:$V$156,"*;"&amp;$A69&amp;";*",'Project Plan'!$O$7:$O$156,"&lt;&gt;"&amp;$A69,'Project Plan'!$F$7:$F$156,"&lt;="&amp;AC$60,'Project Plan'!$H$7:$H$156,"&gt;="&amp;AC$60)</f>
        <v>0</v>
      </c>
    </row>
    <row r="70" customFormat="false" ht="15" hidden="false" customHeight="false" outlineLevel="0" collapsed="false">
      <c r="A70" s="0" t="str">
        <f aca="false">A14</f>
        <v>CSO</v>
      </c>
      <c r="B70" s="0" t="n">
        <f aca="false">4*E14</f>
        <v>4</v>
      </c>
      <c r="C70" s="32" t="n">
        <f aca="false">COUNTIFS('Project Plan'!$O$7:$O$156,$A70,'Project Plan'!$F$7:$F$156,"&lt;="&amp;C$60,'Project Plan'!$H$7:$H$156,"&gt;="&amp;C$60)+0.25*COUNTIFS('Project Plan'!$V$7:$V$156,"*;"&amp;$A70&amp;";*",'Project Plan'!$O$7:$O$156,"&lt;&gt;"&amp;$A70,'Project Plan'!$F$7:$F$156,"&lt;="&amp;C$60,'Project Plan'!$H$7:$H$156,"&gt;="&amp;C$60)</f>
        <v>0.5</v>
      </c>
      <c r="D70" s="32" t="n">
        <f aca="false">COUNTIFS('Project Plan'!$O$7:$O$156,$A70,'Project Plan'!$F$7:$F$156,"&lt;="&amp;D$60,'Project Plan'!$H$7:$H$156,"&gt;="&amp;D$60)+0.25*COUNTIFS('Project Plan'!$V$7:$V$156,"*;"&amp;$A70&amp;";*",'Project Plan'!$O$7:$O$156,"&lt;&gt;"&amp;$A70,'Project Plan'!$F$7:$F$156,"&lt;="&amp;D$60,'Project Plan'!$H$7:$H$156,"&gt;="&amp;D$60)</f>
        <v>0.5</v>
      </c>
      <c r="E70" s="32" t="n">
        <f aca="false">COUNTIFS('Project Plan'!$O$7:$O$156,$A70,'Project Plan'!$F$7:$F$156,"&lt;="&amp;E$60,'Project Plan'!$H$7:$H$156,"&gt;="&amp;E$60)+0.25*COUNTIFS('Project Plan'!$V$7:$V$156,"*;"&amp;$A70&amp;";*",'Project Plan'!$O$7:$O$156,"&lt;&gt;"&amp;$A70,'Project Plan'!$F$7:$F$156,"&lt;="&amp;E$60,'Project Plan'!$H$7:$H$156,"&gt;="&amp;E$60)</f>
        <v>0.25</v>
      </c>
      <c r="F70" s="32" t="n">
        <f aca="false">COUNTIFS('Project Plan'!$O$7:$O$156,$A70,'Project Plan'!$F$7:$F$156,"&lt;="&amp;F$60,'Project Plan'!$H$7:$H$156,"&gt;="&amp;F$60)+0.25*COUNTIFS('Project Plan'!$V$7:$V$156,"*;"&amp;$A70&amp;";*",'Project Plan'!$O$7:$O$156,"&lt;&gt;"&amp;$A70,'Project Plan'!$F$7:$F$156,"&lt;="&amp;F$60,'Project Plan'!$H$7:$H$156,"&gt;="&amp;F$60)</f>
        <v>0</v>
      </c>
      <c r="G70" s="32" t="n">
        <f aca="false">COUNTIFS('Project Plan'!$O$7:$O$156,$A70,'Project Plan'!$F$7:$F$156,"&lt;="&amp;G$60,'Project Plan'!$H$7:$H$156,"&gt;="&amp;G$60)+0.25*COUNTIFS('Project Plan'!$V$7:$V$156,"*;"&amp;$A70&amp;";*",'Project Plan'!$O$7:$O$156,"&lt;&gt;"&amp;$A70,'Project Plan'!$F$7:$F$156,"&lt;="&amp;G$60,'Project Plan'!$H$7:$H$156,"&gt;="&amp;G$60)</f>
        <v>0</v>
      </c>
      <c r="H70" s="32" t="n">
        <f aca="false">COUNTIFS('Project Plan'!$O$7:$O$156,$A70,'Project Plan'!$F$7:$F$156,"&lt;="&amp;H$60,'Project Plan'!$H$7:$H$156,"&gt;="&amp;H$60)+0.25*COUNTIFS('Project Plan'!$V$7:$V$156,"*;"&amp;$A70&amp;";*",'Project Plan'!$O$7:$O$156,"&lt;&gt;"&amp;$A70,'Project Plan'!$F$7:$F$156,"&lt;="&amp;H$60,'Project Plan'!$H$7:$H$156,"&gt;="&amp;H$60)</f>
        <v>1</v>
      </c>
      <c r="I70" s="32" t="n">
        <f aca="false">COUNTIFS('Project Plan'!$O$7:$O$156,$A70,'Project Plan'!$F$7:$F$156,"&lt;="&amp;I$60,'Project Plan'!$H$7:$H$156,"&gt;="&amp;I$60)+0.25*COUNTIFS('Project Plan'!$V$7:$V$156,"*;"&amp;$A70&amp;";*",'Project Plan'!$O$7:$O$156,"&lt;&gt;"&amp;$A70,'Project Plan'!$F$7:$F$156,"&lt;="&amp;I$60,'Project Plan'!$H$7:$H$156,"&gt;="&amp;I$60)</f>
        <v>2.5</v>
      </c>
      <c r="J70" s="32" t="n">
        <f aca="false">COUNTIFS('Project Plan'!$O$7:$O$156,$A70,'Project Plan'!$F$7:$F$156,"&lt;="&amp;J$60,'Project Plan'!$H$7:$H$156,"&gt;="&amp;J$60)+0.25*COUNTIFS('Project Plan'!$V$7:$V$156,"*;"&amp;$A70&amp;";*",'Project Plan'!$O$7:$O$156,"&lt;&gt;"&amp;$A70,'Project Plan'!$F$7:$F$156,"&lt;="&amp;J$60,'Project Plan'!$H$7:$H$156,"&gt;="&amp;J$60)</f>
        <v>2.5</v>
      </c>
      <c r="K70" s="32" t="n">
        <f aca="false">COUNTIFS('Project Plan'!$O$7:$O$156,$A70,'Project Plan'!$F$7:$F$156,"&lt;="&amp;K$60,'Project Plan'!$H$7:$H$156,"&gt;="&amp;K$60)+0.25*COUNTIFS('Project Plan'!$V$7:$V$156,"*;"&amp;$A70&amp;";*",'Project Plan'!$O$7:$O$156,"&lt;&gt;"&amp;$A70,'Project Plan'!$F$7:$F$156,"&lt;="&amp;K$60,'Project Plan'!$H$7:$H$156,"&gt;="&amp;K$60)</f>
        <v>2.5</v>
      </c>
      <c r="L70" s="32" t="n">
        <f aca="false">COUNTIFS('Project Plan'!$O$7:$O$156,$A70,'Project Plan'!$F$7:$F$156,"&lt;="&amp;L$60,'Project Plan'!$H$7:$H$156,"&gt;="&amp;L$60)+0.25*COUNTIFS('Project Plan'!$V$7:$V$156,"*;"&amp;$A70&amp;";*",'Project Plan'!$O$7:$O$156,"&lt;&gt;"&amp;$A70,'Project Plan'!$F$7:$F$156,"&lt;="&amp;L$60,'Project Plan'!$H$7:$H$156,"&gt;="&amp;L$60)</f>
        <v>1.5</v>
      </c>
      <c r="M70" s="32" t="n">
        <f aca="false">COUNTIFS('Project Plan'!$O$7:$O$156,$A70,'Project Plan'!$F$7:$F$156,"&lt;="&amp;M$60,'Project Plan'!$H$7:$H$156,"&gt;="&amp;M$60)+0.25*COUNTIFS('Project Plan'!$V$7:$V$156,"*;"&amp;$A70&amp;";*",'Project Plan'!$O$7:$O$156,"&lt;&gt;"&amp;$A70,'Project Plan'!$F$7:$F$156,"&lt;="&amp;M$60,'Project Plan'!$H$7:$H$156,"&gt;="&amp;M$60)</f>
        <v>1.25</v>
      </c>
      <c r="N70" s="32" t="n">
        <f aca="false">COUNTIFS('Project Plan'!$O$7:$O$156,$A70,'Project Plan'!$F$7:$F$156,"&lt;="&amp;N$60,'Project Plan'!$H$7:$H$156,"&gt;="&amp;N$60)+0.25*COUNTIFS('Project Plan'!$V$7:$V$156,"*;"&amp;$A70&amp;";*",'Project Plan'!$O$7:$O$156,"&lt;&gt;"&amp;$A70,'Project Plan'!$F$7:$F$156,"&lt;="&amp;N$60,'Project Plan'!$H$7:$H$156,"&gt;="&amp;N$60)</f>
        <v>2.5</v>
      </c>
      <c r="O70" s="32" t="n">
        <f aca="false">COUNTIFS('Project Plan'!$O$7:$O$156,$A70,'Project Plan'!$F$7:$F$156,"&lt;="&amp;O$60,'Project Plan'!$H$7:$H$156,"&gt;="&amp;O$60)+0.25*COUNTIFS('Project Plan'!$V$7:$V$156,"*;"&amp;$A70&amp;";*",'Project Plan'!$O$7:$O$156,"&lt;&gt;"&amp;$A70,'Project Plan'!$F$7:$F$156,"&lt;="&amp;O$60,'Project Plan'!$H$7:$H$156,"&gt;="&amp;O$60)</f>
        <v>3.25</v>
      </c>
      <c r="P70" s="32" t="n">
        <f aca="false">COUNTIFS('Project Plan'!$O$7:$O$156,$A70,'Project Plan'!$F$7:$F$156,"&lt;="&amp;P$60,'Project Plan'!$H$7:$H$156,"&gt;="&amp;P$60)+0.25*COUNTIFS('Project Plan'!$V$7:$V$156,"*;"&amp;$A70&amp;";*",'Project Plan'!$O$7:$O$156,"&lt;&gt;"&amp;$A70,'Project Plan'!$F$7:$F$156,"&lt;="&amp;P$60,'Project Plan'!$H$7:$H$156,"&gt;="&amp;P$60)</f>
        <v>3.25</v>
      </c>
      <c r="Q70" s="32" t="n">
        <f aca="false">COUNTIFS('Project Plan'!$O$7:$O$156,$A70,'Project Plan'!$F$7:$F$156,"&lt;="&amp;Q$60,'Project Plan'!$H$7:$H$156,"&gt;="&amp;Q$60)+0.25*COUNTIFS('Project Plan'!$V$7:$V$156,"*;"&amp;$A70&amp;";*",'Project Plan'!$O$7:$O$156,"&lt;&gt;"&amp;$A70,'Project Plan'!$F$7:$F$156,"&lt;="&amp;Q$60,'Project Plan'!$H$7:$H$156,"&gt;="&amp;Q$60)</f>
        <v>2.25</v>
      </c>
      <c r="R70" s="32" t="n">
        <f aca="false">COUNTIFS('Project Plan'!$O$7:$O$156,$A70,'Project Plan'!$F$7:$F$156,"&lt;="&amp;R$60,'Project Plan'!$H$7:$H$156,"&gt;="&amp;R$60)+0.25*COUNTIFS('Project Plan'!$V$7:$V$156,"*;"&amp;$A70&amp;";*",'Project Plan'!$O$7:$O$156,"&lt;&gt;"&amp;$A70,'Project Plan'!$F$7:$F$156,"&lt;="&amp;R$60,'Project Plan'!$H$7:$H$156,"&gt;="&amp;R$60)</f>
        <v>1</v>
      </c>
      <c r="S70" s="32" t="n">
        <f aca="false">COUNTIFS('Project Plan'!$O$7:$O$156,$A70,'Project Plan'!$F$7:$F$156,"&lt;="&amp;S$60,'Project Plan'!$H$7:$H$156,"&gt;="&amp;S$60)+0.25*COUNTIFS('Project Plan'!$V$7:$V$156,"*;"&amp;$A70&amp;";*",'Project Plan'!$O$7:$O$156,"&lt;&gt;"&amp;$A70,'Project Plan'!$F$7:$F$156,"&lt;="&amp;S$60,'Project Plan'!$H$7:$H$156,"&gt;="&amp;S$60)</f>
        <v>1</v>
      </c>
      <c r="T70" s="32" t="n">
        <f aca="false">COUNTIFS('Project Plan'!$O$7:$O$156,$A70,'Project Plan'!$F$7:$F$156,"&lt;="&amp;T$60,'Project Plan'!$H$7:$H$156,"&gt;="&amp;T$60)+0.25*COUNTIFS('Project Plan'!$V$7:$V$156,"*;"&amp;$A70&amp;";*",'Project Plan'!$O$7:$O$156,"&lt;&gt;"&amp;$A70,'Project Plan'!$F$7:$F$156,"&lt;="&amp;T$60,'Project Plan'!$H$7:$H$156,"&gt;="&amp;T$60)</f>
        <v>1</v>
      </c>
      <c r="U70" s="32" t="n">
        <f aca="false">COUNTIFS('Project Plan'!$O$7:$O$156,$A70,'Project Plan'!$F$7:$F$156,"&lt;="&amp;U$60,'Project Plan'!$H$7:$H$156,"&gt;="&amp;U$60)+0.25*COUNTIFS('Project Plan'!$V$7:$V$156,"*;"&amp;$A70&amp;";*",'Project Plan'!$O$7:$O$156,"&lt;&gt;"&amp;$A70,'Project Plan'!$F$7:$F$156,"&lt;="&amp;U$60,'Project Plan'!$H$7:$H$156,"&gt;="&amp;U$60)</f>
        <v>1</v>
      </c>
      <c r="V70" s="32" t="n">
        <f aca="false">COUNTIFS('Project Plan'!$O$7:$O$156,$A70,'Project Plan'!$F$7:$F$156,"&lt;="&amp;V$60,'Project Plan'!$H$7:$H$156,"&gt;="&amp;V$60)+0.25*COUNTIFS('Project Plan'!$V$7:$V$156,"*;"&amp;$A70&amp;";*",'Project Plan'!$O$7:$O$156,"&lt;&gt;"&amp;$A70,'Project Plan'!$F$7:$F$156,"&lt;="&amp;V$60,'Project Plan'!$H$7:$H$156,"&gt;="&amp;V$60)</f>
        <v>1</v>
      </c>
      <c r="W70" s="32" t="n">
        <f aca="false">COUNTIFS('Project Plan'!$O$7:$O$156,$A70,'Project Plan'!$F$7:$F$156,"&lt;="&amp;W$60,'Project Plan'!$H$7:$H$156,"&gt;="&amp;W$60)+0.25*COUNTIFS('Project Plan'!$V$7:$V$156,"*;"&amp;$A70&amp;";*",'Project Plan'!$O$7:$O$156,"&lt;&gt;"&amp;$A70,'Project Plan'!$F$7:$F$156,"&lt;="&amp;W$60,'Project Plan'!$H$7:$H$156,"&gt;="&amp;W$60)</f>
        <v>0</v>
      </c>
      <c r="X70" s="32" t="n">
        <f aca="false">COUNTIFS('Project Plan'!$O$7:$O$156,$A70,'Project Plan'!$F$7:$F$156,"&lt;="&amp;X$60,'Project Plan'!$H$7:$H$156,"&gt;="&amp;X$60)+0.25*COUNTIFS('Project Plan'!$V$7:$V$156,"*;"&amp;$A70&amp;";*",'Project Plan'!$O$7:$O$156,"&lt;&gt;"&amp;$A70,'Project Plan'!$F$7:$F$156,"&lt;="&amp;X$60,'Project Plan'!$H$7:$H$156,"&gt;="&amp;X$60)</f>
        <v>0</v>
      </c>
      <c r="Y70" s="32" t="n">
        <f aca="false">COUNTIFS('Project Plan'!$O$7:$O$156,$A70,'Project Plan'!$F$7:$F$156,"&lt;="&amp;Y$60,'Project Plan'!$H$7:$H$156,"&gt;="&amp;Y$60)+0.25*COUNTIFS('Project Plan'!$V$7:$V$156,"*;"&amp;$A70&amp;";*",'Project Plan'!$O$7:$O$156,"&lt;&gt;"&amp;$A70,'Project Plan'!$F$7:$F$156,"&lt;="&amp;Y$60,'Project Plan'!$H$7:$H$156,"&gt;="&amp;Y$60)</f>
        <v>0</v>
      </c>
      <c r="Z70" s="32" t="n">
        <f aca="false">COUNTIFS('Project Plan'!$O$7:$O$156,$A70,'Project Plan'!$F$7:$F$156,"&lt;="&amp;Z$60,'Project Plan'!$H$7:$H$156,"&gt;="&amp;Z$60)+0.25*COUNTIFS('Project Plan'!$V$7:$V$156,"*;"&amp;$A70&amp;";*",'Project Plan'!$O$7:$O$156,"&lt;&gt;"&amp;$A70,'Project Plan'!$F$7:$F$156,"&lt;="&amp;Z$60,'Project Plan'!$H$7:$H$156,"&gt;="&amp;Z$60)</f>
        <v>0</v>
      </c>
      <c r="AA70" s="32" t="n">
        <f aca="false">COUNTIFS('Project Plan'!$O$7:$O$156,$A70,'Project Plan'!$F$7:$F$156,"&lt;="&amp;AA$60,'Project Plan'!$H$7:$H$156,"&gt;="&amp;AA$60)+0.25*COUNTIFS('Project Plan'!$V$7:$V$156,"*;"&amp;$A70&amp;";*",'Project Plan'!$O$7:$O$156,"&lt;&gt;"&amp;$A70,'Project Plan'!$F$7:$F$156,"&lt;="&amp;AA$60,'Project Plan'!$H$7:$H$156,"&gt;="&amp;AA$60)</f>
        <v>0</v>
      </c>
      <c r="AB70" s="32" t="n">
        <f aca="false">COUNTIFS('Project Plan'!$O$7:$O$156,$A70,'Project Plan'!$F$7:$F$156,"&lt;="&amp;AB$60,'Project Plan'!$H$7:$H$156,"&gt;="&amp;AB$60)+0.25*COUNTIFS('Project Plan'!$V$7:$V$156,"*;"&amp;$A70&amp;";*",'Project Plan'!$O$7:$O$156,"&lt;&gt;"&amp;$A70,'Project Plan'!$F$7:$F$156,"&lt;="&amp;AB$60,'Project Plan'!$H$7:$H$156,"&gt;="&amp;AB$60)</f>
        <v>0</v>
      </c>
      <c r="AC70" s="32" t="n">
        <f aca="false">COUNTIFS('Project Plan'!$O$7:$O$156,$A70,'Project Plan'!$F$7:$F$156,"&lt;="&amp;AC$60,'Project Plan'!$H$7:$H$156,"&gt;="&amp;AC$60)+0.25*COUNTIFS('Project Plan'!$V$7:$V$156,"*;"&amp;$A70&amp;";*",'Project Plan'!$O$7:$O$156,"&lt;&gt;"&amp;$A70,'Project Plan'!$F$7:$F$156,"&lt;="&amp;AC$60,'Project Plan'!$H$7:$H$156,"&gt;="&amp;AC$60)</f>
        <v>0</v>
      </c>
    </row>
    <row r="71" customFormat="false" ht="15" hidden="false" customHeight="false" outlineLevel="0" collapsed="false">
      <c r="A71" s="0" t="str">
        <f aca="false">A15</f>
        <v>BSC</v>
      </c>
      <c r="B71" s="0" t="n">
        <f aca="false">4*E15</f>
        <v>2</v>
      </c>
      <c r="C71" s="32" t="n">
        <f aca="false">COUNTIFS('Project Plan'!$O$7:$O$156,$A71,'Project Plan'!$F$7:$F$156,"&lt;="&amp;C$60,'Project Plan'!$H$7:$H$156,"&gt;="&amp;C$60)+0.25*COUNTIFS('Project Plan'!$V$7:$V$156,"*;"&amp;$A71&amp;";*",'Project Plan'!$O$7:$O$156,"&lt;&gt;"&amp;$A71,'Project Plan'!$F$7:$F$156,"&lt;="&amp;C$60,'Project Plan'!$H$7:$H$156,"&gt;="&amp;C$60)</f>
        <v>0</v>
      </c>
      <c r="D71" s="32" t="n">
        <f aca="false">COUNTIFS('Project Plan'!$O$7:$O$156,$A71,'Project Plan'!$F$7:$F$156,"&lt;="&amp;D$60,'Project Plan'!$H$7:$H$156,"&gt;="&amp;D$60)+0.25*COUNTIFS('Project Plan'!$V$7:$V$156,"*;"&amp;$A71&amp;";*",'Project Plan'!$O$7:$O$156,"&lt;&gt;"&amp;$A71,'Project Plan'!$F$7:$F$156,"&lt;="&amp;D$60,'Project Plan'!$H$7:$H$156,"&gt;="&amp;D$60)</f>
        <v>0</v>
      </c>
      <c r="E71" s="32" t="n">
        <f aca="false">COUNTIFS('Project Plan'!$O$7:$O$156,$A71,'Project Plan'!$F$7:$F$156,"&lt;="&amp;E$60,'Project Plan'!$H$7:$H$156,"&gt;="&amp;E$60)+0.25*COUNTIFS('Project Plan'!$V$7:$V$156,"*;"&amp;$A71&amp;";*",'Project Plan'!$O$7:$O$156,"&lt;&gt;"&amp;$A71,'Project Plan'!$F$7:$F$156,"&lt;="&amp;E$60,'Project Plan'!$H$7:$H$156,"&gt;="&amp;E$60)</f>
        <v>0</v>
      </c>
      <c r="F71" s="32" t="n">
        <f aca="false">COUNTIFS('Project Plan'!$O$7:$O$156,$A71,'Project Plan'!$F$7:$F$156,"&lt;="&amp;F$60,'Project Plan'!$H$7:$H$156,"&gt;="&amp;F$60)+0.25*COUNTIFS('Project Plan'!$V$7:$V$156,"*;"&amp;$A71&amp;";*",'Project Plan'!$O$7:$O$156,"&lt;&gt;"&amp;$A71,'Project Plan'!$F$7:$F$156,"&lt;="&amp;F$60,'Project Plan'!$H$7:$H$156,"&gt;="&amp;F$60)</f>
        <v>0.25</v>
      </c>
      <c r="G71" s="32" t="n">
        <f aca="false">COUNTIFS('Project Plan'!$O$7:$O$156,$A71,'Project Plan'!$F$7:$F$156,"&lt;="&amp;G$60,'Project Plan'!$H$7:$H$156,"&gt;="&amp;G$60)+0.25*COUNTIFS('Project Plan'!$V$7:$V$156,"*;"&amp;$A71&amp;";*",'Project Plan'!$O$7:$O$156,"&lt;&gt;"&amp;$A71,'Project Plan'!$F$7:$F$156,"&lt;="&amp;G$60,'Project Plan'!$H$7:$H$156,"&gt;="&amp;G$60)</f>
        <v>0.25</v>
      </c>
      <c r="H71" s="32" t="n">
        <f aca="false">COUNTIFS('Project Plan'!$O$7:$O$156,$A71,'Project Plan'!$F$7:$F$156,"&lt;="&amp;H$60,'Project Plan'!$H$7:$H$156,"&gt;="&amp;H$60)+0.25*COUNTIFS('Project Plan'!$V$7:$V$156,"*;"&amp;$A71&amp;";*",'Project Plan'!$O$7:$O$156,"&lt;&gt;"&amp;$A71,'Project Plan'!$F$7:$F$156,"&lt;="&amp;H$60,'Project Plan'!$H$7:$H$156,"&gt;="&amp;H$60)</f>
        <v>1.25</v>
      </c>
      <c r="I71" s="32" t="n">
        <f aca="false">COUNTIFS('Project Plan'!$O$7:$O$156,$A71,'Project Plan'!$F$7:$F$156,"&lt;="&amp;I$60,'Project Plan'!$H$7:$H$156,"&gt;="&amp;I$60)+0.25*COUNTIFS('Project Plan'!$V$7:$V$156,"*;"&amp;$A71&amp;";*",'Project Plan'!$O$7:$O$156,"&lt;&gt;"&amp;$A71,'Project Plan'!$F$7:$F$156,"&lt;="&amp;I$60,'Project Plan'!$H$7:$H$156,"&gt;="&amp;I$60)</f>
        <v>2</v>
      </c>
      <c r="J71" s="32" t="n">
        <f aca="false">COUNTIFS('Project Plan'!$O$7:$O$156,$A71,'Project Plan'!$F$7:$F$156,"&lt;="&amp;J$60,'Project Plan'!$H$7:$H$156,"&gt;="&amp;J$60)+0.25*COUNTIFS('Project Plan'!$V$7:$V$156,"*;"&amp;$A71&amp;";*",'Project Plan'!$O$7:$O$156,"&lt;&gt;"&amp;$A71,'Project Plan'!$F$7:$F$156,"&lt;="&amp;J$60,'Project Plan'!$H$7:$H$156,"&gt;="&amp;J$60)</f>
        <v>2</v>
      </c>
      <c r="K71" s="32" t="n">
        <f aca="false">COUNTIFS('Project Plan'!$O$7:$O$156,$A71,'Project Plan'!$F$7:$F$156,"&lt;="&amp;K$60,'Project Plan'!$H$7:$H$156,"&gt;="&amp;K$60)+0.25*COUNTIFS('Project Plan'!$V$7:$V$156,"*;"&amp;$A71&amp;";*",'Project Plan'!$O$7:$O$156,"&lt;&gt;"&amp;$A71,'Project Plan'!$F$7:$F$156,"&lt;="&amp;K$60,'Project Plan'!$H$7:$H$156,"&gt;="&amp;K$60)</f>
        <v>1.25</v>
      </c>
      <c r="L71" s="32" t="n">
        <f aca="false">COUNTIFS('Project Plan'!$O$7:$O$156,$A71,'Project Plan'!$F$7:$F$156,"&lt;="&amp;L$60,'Project Plan'!$H$7:$H$156,"&gt;="&amp;L$60)+0.25*COUNTIFS('Project Plan'!$V$7:$V$156,"*;"&amp;$A71&amp;";*",'Project Plan'!$O$7:$O$156,"&lt;&gt;"&amp;$A71,'Project Plan'!$F$7:$F$156,"&lt;="&amp;L$60,'Project Plan'!$H$7:$H$156,"&gt;="&amp;L$60)</f>
        <v>1.25</v>
      </c>
      <c r="M71" s="32" t="n">
        <f aca="false">COUNTIFS('Project Plan'!$O$7:$O$156,$A71,'Project Plan'!$F$7:$F$156,"&lt;="&amp;M$60,'Project Plan'!$H$7:$H$156,"&gt;="&amp;M$60)+0.25*COUNTIFS('Project Plan'!$V$7:$V$156,"*;"&amp;$A71&amp;";*",'Project Plan'!$O$7:$O$156,"&lt;&gt;"&amp;$A71,'Project Plan'!$F$7:$F$156,"&lt;="&amp;M$60,'Project Plan'!$H$7:$H$156,"&gt;="&amp;M$60)</f>
        <v>2</v>
      </c>
      <c r="N71" s="32" t="n">
        <f aca="false">COUNTIFS('Project Plan'!$O$7:$O$156,$A71,'Project Plan'!$F$7:$F$156,"&lt;="&amp;N$60,'Project Plan'!$H$7:$H$156,"&gt;="&amp;N$60)+0.25*COUNTIFS('Project Plan'!$V$7:$V$156,"*;"&amp;$A71&amp;";*",'Project Plan'!$O$7:$O$156,"&lt;&gt;"&amp;$A71,'Project Plan'!$F$7:$F$156,"&lt;="&amp;N$60,'Project Plan'!$H$7:$H$156,"&gt;="&amp;N$60)</f>
        <v>2</v>
      </c>
      <c r="O71" s="32" t="n">
        <f aca="false">COUNTIFS('Project Plan'!$O$7:$O$156,$A71,'Project Plan'!$F$7:$F$156,"&lt;="&amp;O$60,'Project Plan'!$H$7:$H$156,"&gt;="&amp;O$60)+0.25*COUNTIFS('Project Plan'!$V$7:$V$156,"*;"&amp;$A71&amp;";*",'Project Plan'!$O$7:$O$156,"&lt;&gt;"&amp;$A71,'Project Plan'!$F$7:$F$156,"&lt;="&amp;O$60,'Project Plan'!$H$7:$H$156,"&gt;="&amp;O$60)</f>
        <v>2</v>
      </c>
      <c r="P71" s="32" t="n">
        <f aca="false">COUNTIFS('Project Plan'!$O$7:$O$156,$A71,'Project Plan'!$F$7:$F$156,"&lt;="&amp;P$60,'Project Plan'!$H$7:$H$156,"&gt;="&amp;P$60)+0.25*COUNTIFS('Project Plan'!$V$7:$V$156,"*;"&amp;$A71&amp;";*",'Project Plan'!$O$7:$O$156,"&lt;&gt;"&amp;$A71,'Project Plan'!$F$7:$F$156,"&lt;="&amp;P$60,'Project Plan'!$H$7:$H$156,"&gt;="&amp;P$60)</f>
        <v>2</v>
      </c>
      <c r="Q71" s="32" t="n">
        <f aca="false">COUNTIFS('Project Plan'!$O$7:$O$156,$A71,'Project Plan'!$F$7:$F$156,"&lt;="&amp;Q$60,'Project Plan'!$H$7:$H$156,"&gt;="&amp;Q$60)+0.25*COUNTIFS('Project Plan'!$V$7:$V$156,"*;"&amp;$A71&amp;";*",'Project Plan'!$O$7:$O$156,"&lt;&gt;"&amp;$A71,'Project Plan'!$F$7:$F$156,"&lt;="&amp;Q$60,'Project Plan'!$H$7:$H$156,"&gt;="&amp;Q$60)</f>
        <v>1</v>
      </c>
      <c r="R71" s="32" t="n">
        <f aca="false">COUNTIFS('Project Plan'!$O$7:$O$156,$A71,'Project Plan'!$F$7:$F$156,"&lt;="&amp;R$60,'Project Plan'!$H$7:$H$156,"&gt;="&amp;R$60)+0.25*COUNTIFS('Project Plan'!$V$7:$V$156,"*;"&amp;$A71&amp;";*",'Project Plan'!$O$7:$O$156,"&lt;&gt;"&amp;$A71,'Project Plan'!$F$7:$F$156,"&lt;="&amp;R$60,'Project Plan'!$H$7:$H$156,"&gt;="&amp;R$60)</f>
        <v>1</v>
      </c>
      <c r="S71" s="32" t="n">
        <f aca="false">COUNTIFS('Project Plan'!$O$7:$O$156,$A71,'Project Plan'!$F$7:$F$156,"&lt;="&amp;S$60,'Project Plan'!$H$7:$H$156,"&gt;="&amp;S$60)+0.25*COUNTIFS('Project Plan'!$V$7:$V$156,"*;"&amp;$A71&amp;";*",'Project Plan'!$O$7:$O$156,"&lt;&gt;"&amp;$A71,'Project Plan'!$F$7:$F$156,"&lt;="&amp;S$60,'Project Plan'!$H$7:$H$156,"&gt;="&amp;S$60)</f>
        <v>1</v>
      </c>
      <c r="T71" s="32" t="n">
        <f aca="false">COUNTIFS('Project Plan'!$O$7:$O$156,$A71,'Project Plan'!$F$7:$F$156,"&lt;="&amp;T$60,'Project Plan'!$H$7:$H$156,"&gt;="&amp;T$60)+0.25*COUNTIFS('Project Plan'!$V$7:$V$156,"*;"&amp;$A71&amp;";*",'Project Plan'!$O$7:$O$156,"&lt;&gt;"&amp;$A71,'Project Plan'!$F$7:$F$156,"&lt;="&amp;T$60,'Project Plan'!$H$7:$H$156,"&gt;="&amp;T$60)</f>
        <v>2</v>
      </c>
      <c r="U71" s="32" t="n">
        <f aca="false">COUNTIFS('Project Plan'!$O$7:$O$156,$A71,'Project Plan'!$F$7:$F$156,"&lt;="&amp;U$60,'Project Plan'!$H$7:$H$156,"&gt;="&amp;U$60)+0.25*COUNTIFS('Project Plan'!$V$7:$V$156,"*;"&amp;$A71&amp;";*",'Project Plan'!$O$7:$O$156,"&lt;&gt;"&amp;$A71,'Project Plan'!$F$7:$F$156,"&lt;="&amp;U$60,'Project Plan'!$H$7:$H$156,"&gt;="&amp;U$60)</f>
        <v>1</v>
      </c>
      <c r="V71" s="32" t="n">
        <f aca="false">COUNTIFS('Project Plan'!$O$7:$O$156,$A71,'Project Plan'!$F$7:$F$156,"&lt;="&amp;V$60,'Project Plan'!$H$7:$H$156,"&gt;="&amp;V$60)+0.25*COUNTIFS('Project Plan'!$V$7:$V$156,"*;"&amp;$A71&amp;";*",'Project Plan'!$O$7:$O$156,"&lt;&gt;"&amp;$A71,'Project Plan'!$F$7:$F$156,"&lt;="&amp;V$60,'Project Plan'!$H$7:$H$156,"&gt;="&amp;V$60)</f>
        <v>0</v>
      </c>
      <c r="W71" s="32" t="n">
        <f aca="false">COUNTIFS('Project Plan'!$O$7:$O$156,$A71,'Project Plan'!$F$7:$F$156,"&lt;="&amp;W$60,'Project Plan'!$H$7:$H$156,"&gt;="&amp;W$60)+0.25*COUNTIFS('Project Plan'!$V$7:$V$156,"*;"&amp;$A71&amp;";*",'Project Plan'!$O$7:$O$156,"&lt;&gt;"&amp;$A71,'Project Plan'!$F$7:$F$156,"&lt;="&amp;W$60,'Project Plan'!$H$7:$H$156,"&gt;="&amp;W$60)</f>
        <v>0.25</v>
      </c>
      <c r="X71" s="32" t="n">
        <f aca="false">COUNTIFS('Project Plan'!$O$7:$O$156,$A71,'Project Plan'!$F$7:$F$156,"&lt;="&amp;X$60,'Project Plan'!$H$7:$H$156,"&gt;="&amp;X$60)+0.25*COUNTIFS('Project Plan'!$V$7:$V$156,"*;"&amp;$A71&amp;";*",'Project Plan'!$O$7:$O$156,"&lt;&gt;"&amp;$A71,'Project Plan'!$F$7:$F$156,"&lt;="&amp;X$60,'Project Plan'!$H$7:$H$156,"&gt;="&amp;X$60)</f>
        <v>0.25</v>
      </c>
      <c r="Y71" s="32" t="n">
        <f aca="false">COUNTIFS('Project Plan'!$O$7:$O$156,$A71,'Project Plan'!$F$7:$F$156,"&lt;="&amp;Y$60,'Project Plan'!$H$7:$H$156,"&gt;="&amp;Y$60)+0.25*COUNTIFS('Project Plan'!$V$7:$V$156,"*;"&amp;$A71&amp;";*",'Project Plan'!$O$7:$O$156,"&lt;&gt;"&amp;$A71,'Project Plan'!$F$7:$F$156,"&lt;="&amp;Y$60,'Project Plan'!$H$7:$H$156,"&gt;="&amp;Y$60)</f>
        <v>0.25</v>
      </c>
      <c r="Z71" s="32" t="n">
        <f aca="false">COUNTIFS('Project Plan'!$O$7:$O$156,$A71,'Project Plan'!$F$7:$F$156,"&lt;="&amp;Z$60,'Project Plan'!$H$7:$H$156,"&gt;="&amp;Z$60)+0.25*COUNTIFS('Project Plan'!$V$7:$V$156,"*;"&amp;$A71&amp;";*",'Project Plan'!$O$7:$O$156,"&lt;&gt;"&amp;$A71,'Project Plan'!$F$7:$F$156,"&lt;="&amp;Z$60,'Project Plan'!$H$7:$H$156,"&gt;="&amp;Z$60)</f>
        <v>0</v>
      </c>
      <c r="AA71" s="32" t="n">
        <f aca="false">COUNTIFS('Project Plan'!$O$7:$O$156,$A71,'Project Plan'!$F$7:$F$156,"&lt;="&amp;AA$60,'Project Plan'!$H$7:$H$156,"&gt;="&amp;AA$60)+0.25*COUNTIFS('Project Plan'!$V$7:$V$156,"*;"&amp;$A71&amp;";*",'Project Plan'!$O$7:$O$156,"&lt;&gt;"&amp;$A71,'Project Plan'!$F$7:$F$156,"&lt;="&amp;AA$60,'Project Plan'!$H$7:$H$156,"&gt;="&amp;AA$60)</f>
        <v>0</v>
      </c>
      <c r="AB71" s="32" t="n">
        <f aca="false">COUNTIFS('Project Plan'!$O$7:$O$156,$A71,'Project Plan'!$F$7:$F$156,"&lt;="&amp;AB$60,'Project Plan'!$H$7:$H$156,"&gt;="&amp;AB$60)+0.25*COUNTIFS('Project Plan'!$V$7:$V$156,"*;"&amp;$A71&amp;";*",'Project Plan'!$O$7:$O$156,"&lt;&gt;"&amp;$A71,'Project Plan'!$F$7:$F$156,"&lt;="&amp;AB$60,'Project Plan'!$H$7:$H$156,"&gt;="&amp;AB$60)</f>
        <v>0</v>
      </c>
      <c r="AC71" s="32" t="n">
        <f aca="false">COUNTIFS('Project Plan'!$O$7:$O$156,$A71,'Project Plan'!$F$7:$F$156,"&lt;="&amp;AC$60,'Project Plan'!$H$7:$H$156,"&gt;="&amp;AC$60)+0.25*COUNTIFS('Project Plan'!$V$7:$V$156,"*;"&amp;$A71&amp;";*",'Project Plan'!$O$7:$O$156,"&lt;&gt;"&amp;$A71,'Project Plan'!$F$7:$F$156,"&lt;="&amp;AC$60,'Project Plan'!$H$7:$H$156,"&gt;="&amp;AC$60)</f>
        <v>0</v>
      </c>
    </row>
    <row r="72" customFormat="false" ht="15" hidden="false" customHeight="false" outlineLevel="0" collapsed="false">
      <c r="A72" s="0" t="str">
        <f aca="false">A16</f>
        <v>GRCC</v>
      </c>
      <c r="B72" s="0" t="n">
        <f aca="false">4*E16</f>
        <v>4</v>
      </c>
      <c r="C72" s="32" t="n">
        <f aca="false">COUNTIFS('Project Plan'!$O$7:$O$156,$A72,'Project Plan'!$F$7:$F$156,"&lt;="&amp;C$60,'Project Plan'!$H$7:$H$156,"&gt;="&amp;C$60)+0.25*COUNTIFS('Project Plan'!$V$7:$V$156,"*;"&amp;$A72&amp;";*",'Project Plan'!$O$7:$O$156,"&lt;&gt;"&amp;$A72,'Project Plan'!$F$7:$F$156,"&lt;="&amp;C$60,'Project Plan'!$H$7:$H$156,"&gt;="&amp;C$60)</f>
        <v>0</v>
      </c>
      <c r="D72" s="32" t="n">
        <f aca="false">COUNTIFS('Project Plan'!$O$7:$O$156,$A72,'Project Plan'!$F$7:$F$156,"&lt;="&amp;D$60,'Project Plan'!$H$7:$H$156,"&gt;="&amp;D$60)+0.25*COUNTIFS('Project Plan'!$V$7:$V$156,"*;"&amp;$A72&amp;";*",'Project Plan'!$O$7:$O$156,"&lt;&gt;"&amp;$A72,'Project Plan'!$F$7:$F$156,"&lt;="&amp;D$60,'Project Plan'!$H$7:$H$156,"&gt;="&amp;D$60)</f>
        <v>0</v>
      </c>
      <c r="E72" s="32" t="n">
        <f aca="false">COUNTIFS('Project Plan'!$O$7:$O$156,$A72,'Project Plan'!$F$7:$F$156,"&lt;="&amp;E$60,'Project Plan'!$H$7:$H$156,"&gt;="&amp;E$60)+0.25*COUNTIFS('Project Plan'!$V$7:$V$156,"*;"&amp;$A72&amp;";*",'Project Plan'!$O$7:$O$156,"&lt;&gt;"&amp;$A72,'Project Plan'!$F$7:$F$156,"&lt;="&amp;E$60,'Project Plan'!$H$7:$H$156,"&gt;="&amp;E$60)</f>
        <v>0</v>
      </c>
      <c r="F72" s="32" t="n">
        <f aca="false">COUNTIFS('Project Plan'!$O$7:$O$156,$A72,'Project Plan'!$F$7:$F$156,"&lt;="&amp;F$60,'Project Plan'!$H$7:$H$156,"&gt;="&amp;F$60)+0.25*COUNTIFS('Project Plan'!$V$7:$V$156,"*;"&amp;$A72&amp;";*",'Project Plan'!$O$7:$O$156,"&lt;&gt;"&amp;$A72,'Project Plan'!$F$7:$F$156,"&lt;="&amp;F$60,'Project Plan'!$H$7:$H$156,"&gt;="&amp;F$60)</f>
        <v>1</v>
      </c>
      <c r="G72" s="32" t="n">
        <f aca="false">COUNTIFS('Project Plan'!$O$7:$O$156,$A72,'Project Plan'!$F$7:$F$156,"&lt;="&amp;G$60,'Project Plan'!$H$7:$H$156,"&gt;="&amp;G$60)+0.25*COUNTIFS('Project Plan'!$V$7:$V$156,"*;"&amp;$A72&amp;";*",'Project Plan'!$O$7:$O$156,"&lt;&gt;"&amp;$A72,'Project Plan'!$F$7:$F$156,"&lt;="&amp;G$60,'Project Plan'!$H$7:$H$156,"&gt;="&amp;G$60)</f>
        <v>2</v>
      </c>
      <c r="H72" s="32" t="n">
        <f aca="false">COUNTIFS('Project Plan'!$O$7:$O$156,$A72,'Project Plan'!$F$7:$F$156,"&lt;="&amp;H$60,'Project Plan'!$H$7:$H$156,"&gt;="&amp;H$60)+0.25*COUNTIFS('Project Plan'!$V$7:$V$156,"*;"&amp;$A72&amp;";*",'Project Plan'!$O$7:$O$156,"&lt;&gt;"&amp;$A72,'Project Plan'!$F$7:$F$156,"&lt;="&amp;H$60,'Project Plan'!$H$7:$H$156,"&gt;="&amp;H$60)</f>
        <v>2.25</v>
      </c>
      <c r="I72" s="32" t="n">
        <f aca="false">COUNTIFS('Project Plan'!$O$7:$O$156,$A72,'Project Plan'!$F$7:$F$156,"&lt;="&amp;I$60,'Project Plan'!$H$7:$H$156,"&gt;="&amp;I$60)+0.25*COUNTIFS('Project Plan'!$V$7:$V$156,"*;"&amp;$A72&amp;";*",'Project Plan'!$O$7:$O$156,"&lt;&gt;"&amp;$A72,'Project Plan'!$F$7:$F$156,"&lt;="&amp;I$60,'Project Plan'!$H$7:$H$156,"&gt;="&amp;I$60)</f>
        <v>3.5</v>
      </c>
      <c r="J72" s="32" t="n">
        <f aca="false">COUNTIFS('Project Plan'!$O$7:$O$156,$A72,'Project Plan'!$F$7:$F$156,"&lt;="&amp;J$60,'Project Plan'!$H$7:$H$156,"&gt;="&amp;J$60)+0.25*COUNTIFS('Project Plan'!$V$7:$V$156,"*;"&amp;$A72&amp;";*",'Project Plan'!$O$7:$O$156,"&lt;&gt;"&amp;$A72,'Project Plan'!$F$7:$F$156,"&lt;="&amp;J$60,'Project Plan'!$H$7:$H$156,"&gt;="&amp;J$60)</f>
        <v>3.5</v>
      </c>
      <c r="K72" s="32" t="n">
        <f aca="false">COUNTIFS('Project Plan'!$O$7:$O$156,$A72,'Project Plan'!$F$7:$F$156,"&lt;="&amp;K$60,'Project Plan'!$H$7:$H$156,"&gt;="&amp;K$60)+0.25*COUNTIFS('Project Plan'!$V$7:$V$156,"*;"&amp;$A72&amp;";*",'Project Plan'!$O$7:$O$156,"&lt;&gt;"&amp;$A72,'Project Plan'!$F$7:$F$156,"&lt;="&amp;K$60,'Project Plan'!$H$7:$H$156,"&gt;="&amp;K$60)</f>
        <v>3</v>
      </c>
      <c r="L72" s="32" t="n">
        <f aca="false">COUNTIFS('Project Plan'!$O$7:$O$156,$A72,'Project Plan'!$F$7:$F$156,"&lt;="&amp;L$60,'Project Plan'!$H$7:$H$156,"&gt;="&amp;L$60)+0.25*COUNTIFS('Project Plan'!$V$7:$V$156,"*;"&amp;$A72&amp;";*",'Project Plan'!$O$7:$O$156,"&lt;&gt;"&amp;$A72,'Project Plan'!$F$7:$F$156,"&lt;="&amp;L$60,'Project Plan'!$H$7:$H$156,"&gt;="&amp;L$60)</f>
        <v>2</v>
      </c>
      <c r="M72" s="32" t="n">
        <f aca="false">COUNTIFS('Project Plan'!$O$7:$O$156,$A72,'Project Plan'!$F$7:$F$156,"&lt;="&amp;M$60,'Project Plan'!$H$7:$H$156,"&gt;="&amp;M$60)+0.25*COUNTIFS('Project Plan'!$V$7:$V$156,"*;"&amp;$A72&amp;";*",'Project Plan'!$O$7:$O$156,"&lt;&gt;"&amp;$A72,'Project Plan'!$F$7:$F$156,"&lt;="&amp;M$60,'Project Plan'!$H$7:$H$156,"&gt;="&amp;M$60)</f>
        <v>1</v>
      </c>
      <c r="N72" s="32" t="n">
        <f aca="false">COUNTIFS('Project Plan'!$O$7:$O$156,$A72,'Project Plan'!$F$7:$F$156,"&lt;="&amp;N$60,'Project Plan'!$H$7:$H$156,"&gt;="&amp;N$60)+0.25*COUNTIFS('Project Plan'!$V$7:$V$156,"*;"&amp;$A72&amp;";*",'Project Plan'!$O$7:$O$156,"&lt;&gt;"&amp;$A72,'Project Plan'!$F$7:$F$156,"&lt;="&amp;N$60,'Project Plan'!$H$7:$H$156,"&gt;="&amp;N$60)</f>
        <v>1</v>
      </c>
      <c r="O72" s="32" t="n">
        <f aca="false">COUNTIFS('Project Plan'!$O$7:$O$156,$A72,'Project Plan'!$F$7:$F$156,"&lt;="&amp;O$60,'Project Plan'!$H$7:$H$156,"&gt;="&amp;O$60)+0.25*COUNTIFS('Project Plan'!$V$7:$V$156,"*;"&amp;$A72&amp;";*",'Project Plan'!$O$7:$O$156,"&lt;&gt;"&amp;$A72,'Project Plan'!$F$7:$F$156,"&lt;="&amp;O$60,'Project Plan'!$H$7:$H$156,"&gt;="&amp;O$60)</f>
        <v>0</v>
      </c>
      <c r="P72" s="32" t="n">
        <f aca="false">COUNTIFS('Project Plan'!$O$7:$O$156,$A72,'Project Plan'!$F$7:$F$156,"&lt;="&amp;P$60,'Project Plan'!$H$7:$H$156,"&gt;="&amp;P$60)+0.25*COUNTIFS('Project Plan'!$V$7:$V$156,"*;"&amp;$A72&amp;";*",'Project Plan'!$O$7:$O$156,"&lt;&gt;"&amp;$A72,'Project Plan'!$F$7:$F$156,"&lt;="&amp;P$60,'Project Plan'!$H$7:$H$156,"&gt;="&amp;P$60)</f>
        <v>0.25</v>
      </c>
      <c r="Q72" s="32" t="n">
        <f aca="false">COUNTIFS('Project Plan'!$O$7:$O$156,$A72,'Project Plan'!$F$7:$F$156,"&lt;="&amp;Q$60,'Project Plan'!$H$7:$H$156,"&gt;="&amp;Q$60)+0.25*COUNTIFS('Project Plan'!$V$7:$V$156,"*;"&amp;$A72&amp;";*",'Project Plan'!$O$7:$O$156,"&lt;&gt;"&amp;$A72,'Project Plan'!$F$7:$F$156,"&lt;="&amp;Q$60,'Project Plan'!$H$7:$H$156,"&gt;="&amp;Q$60)</f>
        <v>0.25</v>
      </c>
      <c r="R72" s="32" t="n">
        <f aca="false">COUNTIFS('Project Plan'!$O$7:$O$156,$A72,'Project Plan'!$F$7:$F$156,"&lt;="&amp;R$60,'Project Plan'!$H$7:$H$156,"&gt;="&amp;R$60)+0.25*COUNTIFS('Project Plan'!$V$7:$V$156,"*;"&amp;$A72&amp;";*",'Project Plan'!$O$7:$O$156,"&lt;&gt;"&amp;$A72,'Project Plan'!$F$7:$F$156,"&lt;="&amp;R$60,'Project Plan'!$H$7:$H$156,"&gt;="&amp;R$60)</f>
        <v>0.25</v>
      </c>
      <c r="S72" s="32" t="n">
        <f aca="false">COUNTIFS('Project Plan'!$O$7:$O$156,$A72,'Project Plan'!$F$7:$F$156,"&lt;="&amp;S$60,'Project Plan'!$H$7:$H$156,"&gt;="&amp;S$60)+0.25*COUNTIFS('Project Plan'!$V$7:$V$156,"*;"&amp;$A72&amp;";*",'Project Plan'!$O$7:$O$156,"&lt;&gt;"&amp;$A72,'Project Plan'!$F$7:$F$156,"&lt;="&amp;S$60,'Project Plan'!$H$7:$H$156,"&gt;="&amp;S$60)</f>
        <v>0.5</v>
      </c>
      <c r="T72" s="32" t="n">
        <f aca="false">COUNTIFS('Project Plan'!$O$7:$O$156,$A72,'Project Plan'!$F$7:$F$156,"&lt;="&amp;T$60,'Project Plan'!$H$7:$H$156,"&gt;="&amp;T$60)+0.25*COUNTIFS('Project Plan'!$V$7:$V$156,"*;"&amp;$A72&amp;";*",'Project Plan'!$O$7:$O$156,"&lt;&gt;"&amp;$A72,'Project Plan'!$F$7:$F$156,"&lt;="&amp;T$60,'Project Plan'!$H$7:$H$156,"&gt;="&amp;T$60)</f>
        <v>0.25</v>
      </c>
      <c r="U72" s="32" t="n">
        <f aca="false">COUNTIFS('Project Plan'!$O$7:$O$156,$A72,'Project Plan'!$F$7:$F$156,"&lt;="&amp;U$60,'Project Plan'!$H$7:$H$156,"&gt;="&amp;U$60)+0.25*COUNTIFS('Project Plan'!$V$7:$V$156,"*;"&amp;$A72&amp;";*",'Project Plan'!$O$7:$O$156,"&lt;&gt;"&amp;$A72,'Project Plan'!$F$7:$F$156,"&lt;="&amp;U$60,'Project Plan'!$H$7:$H$156,"&gt;="&amp;U$60)</f>
        <v>0.25</v>
      </c>
      <c r="V72" s="32" t="n">
        <f aca="false">COUNTIFS('Project Plan'!$O$7:$O$156,$A72,'Project Plan'!$F$7:$F$156,"&lt;="&amp;V$60,'Project Plan'!$H$7:$H$156,"&gt;="&amp;V$60)+0.25*COUNTIFS('Project Plan'!$V$7:$V$156,"*;"&amp;$A72&amp;";*",'Project Plan'!$O$7:$O$156,"&lt;&gt;"&amp;$A72,'Project Plan'!$F$7:$F$156,"&lt;="&amp;V$60,'Project Plan'!$H$7:$H$156,"&gt;="&amp;V$60)</f>
        <v>0.25</v>
      </c>
      <c r="W72" s="32" t="n">
        <f aca="false">COUNTIFS('Project Plan'!$O$7:$O$156,$A72,'Project Plan'!$F$7:$F$156,"&lt;="&amp;W$60,'Project Plan'!$H$7:$H$156,"&gt;="&amp;W$60)+0.25*COUNTIFS('Project Plan'!$V$7:$V$156,"*;"&amp;$A72&amp;";*",'Project Plan'!$O$7:$O$156,"&lt;&gt;"&amp;$A72,'Project Plan'!$F$7:$F$156,"&lt;="&amp;W$60,'Project Plan'!$H$7:$H$156,"&gt;="&amp;W$60)</f>
        <v>0.25</v>
      </c>
      <c r="X72" s="32" t="n">
        <f aca="false">COUNTIFS('Project Plan'!$O$7:$O$156,$A72,'Project Plan'!$F$7:$F$156,"&lt;="&amp;X$60,'Project Plan'!$H$7:$H$156,"&gt;="&amp;X$60)+0.25*COUNTIFS('Project Plan'!$V$7:$V$156,"*;"&amp;$A72&amp;";*",'Project Plan'!$O$7:$O$156,"&lt;&gt;"&amp;$A72,'Project Plan'!$F$7:$F$156,"&lt;="&amp;X$60,'Project Plan'!$H$7:$H$156,"&gt;="&amp;X$60)</f>
        <v>0.25</v>
      </c>
      <c r="Y72" s="32" t="n">
        <f aca="false">COUNTIFS('Project Plan'!$O$7:$O$156,$A72,'Project Plan'!$F$7:$F$156,"&lt;="&amp;Y$60,'Project Plan'!$H$7:$H$156,"&gt;="&amp;Y$60)+0.25*COUNTIFS('Project Plan'!$V$7:$V$156,"*;"&amp;$A72&amp;";*",'Project Plan'!$O$7:$O$156,"&lt;&gt;"&amp;$A72,'Project Plan'!$F$7:$F$156,"&lt;="&amp;Y$60,'Project Plan'!$H$7:$H$156,"&gt;="&amp;Y$60)</f>
        <v>0</v>
      </c>
      <c r="Z72" s="32" t="n">
        <f aca="false">COUNTIFS('Project Plan'!$O$7:$O$156,$A72,'Project Plan'!$F$7:$F$156,"&lt;="&amp;Z$60,'Project Plan'!$H$7:$H$156,"&gt;="&amp;Z$60)+0.25*COUNTIFS('Project Plan'!$V$7:$V$156,"*;"&amp;$A72&amp;";*",'Project Plan'!$O$7:$O$156,"&lt;&gt;"&amp;$A72,'Project Plan'!$F$7:$F$156,"&lt;="&amp;Z$60,'Project Plan'!$H$7:$H$156,"&gt;="&amp;Z$60)</f>
        <v>0</v>
      </c>
      <c r="AA72" s="32" t="n">
        <f aca="false">COUNTIFS('Project Plan'!$O$7:$O$156,$A72,'Project Plan'!$F$7:$F$156,"&lt;="&amp;AA$60,'Project Plan'!$H$7:$H$156,"&gt;="&amp;AA$60)+0.25*COUNTIFS('Project Plan'!$V$7:$V$156,"*;"&amp;$A72&amp;";*",'Project Plan'!$O$7:$O$156,"&lt;&gt;"&amp;$A72,'Project Plan'!$F$7:$F$156,"&lt;="&amp;AA$60,'Project Plan'!$H$7:$H$156,"&gt;="&amp;AA$60)</f>
        <v>0</v>
      </c>
      <c r="AB72" s="32" t="n">
        <f aca="false">COUNTIFS('Project Plan'!$O$7:$O$156,$A72,'Project Plan'!$F$7:$F$156,"&lt;="&amp;AB$60,'Project Plan'!$H$7:$H$156,"&gt;="&amp;AB$60)+0.25*COUNTIFS('Project Plan'!$V$7:$V$156,"*;"&amp;$A72&amp;";*",'Project Plan'!$O$7:$O$156,"&lt;&gt;"&amp;$A72,'Project Plan'!$F$7:$F$156,"&lt;="&amp;AB$60,'Project Plan'!$H$7:$H$156,"&gt;="&amp;AB$60)</f>
        <v>0</v>
      </c>
      <c r="AC72" s="32" t="n">
        <f aca="false">COUNTIFS('Project Plan'!$O$7:$O$156,$A72,'Project Plan'!$F$7:$F$156,"&lt;="&amp;AC$60,'Project Plan'!$H$7:$H$156,"&gt;="&amp;AC$60)+0.25*COUNTIFS('Project Plan'!$V$7:$V$156,"*;"&amp;$A72&amp;";*",'Project Plan'!$O$7:$O$156,"&lt;&gt;"&amp;$A72,'Project Plan'!$F$7:$F$156,"&lt;="&amp;AC$60,'Project Plan'!$H$7:$H$156,"&gt;="&amp;AC$60)</f>
        <v>0</v>
      </c>
    </row>
    <row r="73" customFormat="false" ht="15" hidden="false" customHeight="false" outlineLevel="0" collapsed="false">
      <c r="A73" s="0" t="str">
        <f aca="false">A17</f>
        <v>PMC</v>
      </c>
      <c r="B73" s="0" t="n">
        <f aca="false">4*E17</f>
        <v>2</v>
      </c>
      <c r="C73" s="32" t="n">
        <f aca="false">COUNTIFS('Project Plan'!$O$7:$O$156,$A73,'Project Plan'!$F$7:$F$156,"&lt;="&amp;C$60,'Project Plan'!$H$7:$H$156,"&gt;="&amp;C$60)+0.25*COUNTIFS('Project Plan'!$V$7:$V$156,"*;"&amp;$A73&amp;";*",'Project Plan'!$O$7:$O$156,"&lt;&gt;"&amp;$A73,'Project Plan'!$F$7:$F$156,"&lt;="&amp;C$60,'Project Plan'!$H$7:$H$156,"&gt;="&amp;C$60)</f>
        <v>0.25</v>
      </c>
      <c r="D73" s="32" t="n">
        <f aca="false">COUNTIFS('Project Plan'!$O$7:$O$156,$A73,'Project Plan'!$F$7:$F$156,"&lt;="&amp;D$60,'Project Plan'!$H$7:$H$156,"&gt;="&amp;D$60)+0.25*COUNTIFS('Project Plan'!$V$7:$V$156,"*;"&amp;$A73&amp;";*",'Project Plan'!$O$7:$O$156,"&lt;&gt;"&amp;$A73,'Project Plan'!$F$7:$F$156,"&lt;="&amp;D$60,'Project Plan'!$H$7:$H$156,"&gt;="&amp;D$60)</f>
        <v>0.5</v>
      </c>
      <c r="E73" s="32" t="n">
        <f aca="false">COUNTIFS('Project Plan'!$O$7:$O$156,$A73,'Project Plan'!$F$7:$F$156,"&lt;="&amp;E$60,'Project Plan'!$H$7:$H$156,"&gt;="&amp;E$60)+0.25*COUNTIFS('Project Plan'!$V$7:$V$156,"*;"&amp;$A73&amp;";*",'Project Plan'!$O$7:$O$156,"&lt;&gt;"&amp;$A73,'Project Plan'!$F$7:$F$156,"&lt;="&amp;E$60,'Project Plan'!$H$7:$H$156,"&gt;="&amp;E$60)</f>
        <v>1.25</v>
      </c>
      <c r="F73" s="32" t="n">
        <f aca="false">COUNTIFS('Project Plan'!$O$7:$O$156,$A73,'Project Plan'!$F$7:$F$156,"&lt;="&amp;F$60,'Project Plan'!$H$7:$H$156,"&gt;="&amp;F$60)+0.25*COUNTIFS('Project Plan'!$V$7:$V$156,"*;"&amp;$A73&amp;";*",'Project Plan'!$O$7:$O$156,"&lt;&gt;"&amp;$A73,'Project Plan'!$F$7:$F$156,"&lt;="&amp;F$60,'Project Plan'!$H$7:$H$156,"&gt;="&amp;F$60)</f>
        <v>1</v>
      </c>
      <c r="G73" s="32" t="n">
        <f aca="false">COUNTIFS('Project Plan'!$O$7:$O$156,$A73,'Project Plan'!$F$7:$F$156,"&lt;="&amp;G$60,'Project Plan'!$H$7:$H$156,"&gt;="&amp;G$60)+0.25*COUNTIFS('Project Plan'!$V$7:$V$156,"*;"&amp;$A73&amp;";*",'Project Plan'!$O$7:$O$156,"&lt;&gt;"&amp;$A73,'Project Plan'!$F$7:$F$156,"&lt;="&amp;G$60,'Project Plan'!$H$7:$H$156,"&gt;="&amp;G$60)</f>
        <v>1</v>
      </c>
      <c r="H73" s="32" t="n">
        <f aca="false">COUNTIFS('Project Plan'!$O$7:$O$156,$A73,'Project Plan'!$F$7:$F$156,"&lt;="&amp;H$60,'Project Plan'!$H$7:$H$156,"&gt;="&amp;H$60)+0.25*COUNTIFS('Project Plan'!$V$7:$V$156,"*;"&amp;$A73&amp;";*",'Project Plan'!$O$7:$O$156,"&lt;&gt;"&amp;$A73,'Project Plan'!$F$7:$F$156,"&lt;="&amp;H$60,'Project Plan'!$H$7:$H$156,"&gt;="&amp;H$60)</f>
        <v>1</v>
      </c>
      <c r="I73" s="32" t="n">
        <f aca="false">COUNTIFS('Project Plan'!$O$7:$O$156,$A73,'Project Plan'!$F$7:$F$156,"&lt;="&amp;I$60,'Project Plan'!$H$7:$H$156,"&gt;="&amp;I$60)+0.25*COUNTIFS('Project Plan'!$V$7:$V$156,"*;"&amp;$A73&amp;";*",'Project Plan'!$O$7:$O$156,"&lt;&gt;"&amp;$A73,'Project Plan'!$F$7:$F$156,"&lt;="&amp;I$60,'Project Plan'!$H$7:$H$156,"&gt;="&amp;I$60)</f>
        <v>1.25</v>
      </c>
      <c r="J73" s="32" t="n">
        <f aca="false">COUNTIFS('Project Plan'!$O$7:$O$156,$A73,'Project Plan'!$F$7:$F$156,"&lt;="&amp;J$60,'Project Plan'!$H$7:$H$156,"&gt;="&amp;J$60)+0.25*COUNTIFS('Project Plan'!$V$7:$V$156,"*;"&amp;$A73&amp;";*",'Project Plan'!$O$7:$O$156,"&lt;&gt;"&amp;$A73,'Project Plan'!$F$7:$F$156,"&lt;="&amp;J$60,'Project Plan'!$H$7:$H$156,"&gt;="&amp;J$60)</f>
        <v>0</v>
      </c>
      <c r="K73" s="32" t="n">
        <f aca="false">COUNTIFS('Project Plan'!$O$7:$O$156,$A73,'Project Plan'!$F$7:$F$156,"&lt;="&amp;K$60,'Project Plan'!$H$7:$H$156,"&gt;="&amp;K$60)+0.25*COUNTIFS('Project Plan'!$V$7:$V$156,"*;"&amp;$A73&amp;";*",'Project Plan'!$O$7:$O$156,"&lt;&gt;"&amp;$A73,'Project Plan'!$F$7:$F$156,"&lt;="&amp;K$60,'Project Plan'!$H$7:$H$156,"&gt;="&amp;K$60)</f>
        <v>0</v>
      </c>
      <c r="L73" s="32" t="n">
        <f aca="false">COUNTIFS('Project Plan'!$O$7:$O$156,$A73,'Project Plan'!$F$7:$F$156,"&lt;="&amp;L$60,'Project Plan'!$H$7:$H$156,"&gt;="&amp;L$60)+0.25*COUNTIFS('Project Plan'!$V$7:$V$156,"*;"&amp;$A73&amp;";*",'Project Plan'!$O$7:$O$156,"&lt;&gt;"&amp;$A73,'Project Plan'!$F$7:$F$156,"&lt;="&amp;L$60,'Project Plan'!$H$7:$H$156,"&gt;="&amp;L$60)</f>
        <v>0</v>
      </c>
      <c r="M73" s="32" t="n">
        <f aca="false">COUNTIFS('Project Plan'!$O$7:$O$156,$A73,'Project Plan'!$F$7:$F$156,"&lt;="&amp;M$60,'Project Plan'!$H$7:$H$156,"&gt;="&amp;M$60)+0.25*COUNTIFS('Project Plan'!$V$7:$V$156,"*;"&amp;$A73&amp;";*",'Project Plan'!$O$7:$O$156,"&lt;&gt;"&amp;$A73,'Project Plan'!$F$7:$F$156,"&lt;="&amp;M$60,'Project Plan'!$H$7:$H$156,"&gt;="&amp;M$60)</f>
        <v>0</v>
      </c>
      <c r="N73" s="32" t="n">
        <f aca="false">COUNTIFS('Project Plan'!$O$7:$O$156,$A73,'Project Plan'!$F$7:$F$156,"&lt;="&amp;N$60,'Project Plan'!$H$7:$H$156,"&gt;="&amp;N$60)+0.25*COUNTIFS('Project Plan'!$V$7:$V$156,"*;"&amp;$A73&amp;";*",'Project Plan'!$O$7:$O$156,"&lt;&gt;"&amp;$A73,'Project Plan'!$F$7:$F$156,"&lt;="&amp;N$60,'Project Plan'!$H$7:$H$156,"&gt;="&amp;N$60)</f>
        <v>0</v>
      </c>
      <c r="O73" s="32" t="n">
        <f aca="false">COUNTIFS('Project Plan'!$O$7:$O$156,$A73,'Project Plan'!$F$7:$F$156,"&lt;="&amp;O$60,'Project Plan'!$H$7:$H$156,"&gt;="&amp;O$60)+0.25*COUNTIFS('Project Plan'!$V$7:$V$156,"*;"&amp;$A73&amp;";*",'Project Plan'!$O$7:$O$156,"&lt;&gt;"&amp;$A73,'Project Plan'!$F$7:$F$156,"&lt;="&amp;O$60,'Project Plan'!$H$7:$H$156,"&gt;="&amp;O$60)</f>
        <v>0</v>
      </c>
      <c r="P73" s="32" t="n">
        <f aca="false">COUNTIFS('Project Plan'!$O$7:$O$156,$A73,'Project Plan'!$F$7:$F$156,"&lt;="&amp;P$60,'Project Plan'!$H$7:$H$156,"&gt;="&amp;P$60)+0.25*COUNTIFS('Project Plan'!$V$7:$V$156,"*;"&amp;$A73&amp;";*",'Project Plan'!$O$7:$O$156,"&lt;&gt;"&amp;$A73,'Project Plan'!$F$7:$F$156,"&lt;="&amp;P$60,'Project Plan'!$H$7:$H$156,"&gt;="&amp;P$60)</f>
        <v>0</v>
      </c>
      <c r="Q73" s="32" t="n">
        <f aca="false">COUNTIFS('Project Plan'!$O$7:$O$156,$A73,'Project Plan'!$F$7:$F$156,"&lt;="&amp;Q$60,'Project Plan'!$H$7:$H$156,"&gt;="&amp;Q$60)+0.25*COUNTIFS('Project Plan'!$V$7:$V$156,"*;"&amp;$A73&amp;";*",'Project Plan'!$O$7:$O$156,"&lt;&gt;"&amp;$A73,'Project Plan'!$F$7:$F$156,"&lt;="&amp;Q$60,'Project Plan'!$H$7:$H$156,"&gt;="&amp;Q$60)</f>
        <v>0.25</v>
      </c>
      <c r="R73" s="32" t="n">
        <f aca="false">COUNTIFS('Project Plan'!$O$7:$O$156,$A73,'Project Plan'!$F$7:$F$156,"&lt;="&amp;R$60,'Project Plan'!$H$7:$H$156,"&gt;="&amp;R$60)+0.25*COUNTIFS('Project Plan'!$V$7:$V$156,"*;"&amp;$A73&amp;";*",'Project Plan'!$O$7:$O$156,"&lt;&gt;"&amp;$A73,'Project Plan'!$F$7:$F$156,"&lt;="&amp;R$60,'Project Plan'!$H$7:$H$156,"&gt;="&amp;R$60)</f>
        <v>0.5</v>
      </c>
      <c r="S73" s="32" t="n">
        <f aca="false">COUNTIFS('Project Plan'!$O$7:$O$156,$A73,'Project Plan'!$F$7:$F$156,"&lt;="&amp;S$60,'Project Plan'!$H$7:$H$156,"&gt;="&amp;S$60)+0.25*COUNTIFS('Project Plan'!$V$7:$V$156,"*;"&amp;$A73&amp;";*",'Project Plan'!$O$7:$O$156,"&lt;&gt;"&amp;$A73,'Project Plan'!$F$7:$F$156,"&lt;="&amp;S$60,'Project Plan'!$H$7:$H$156,"&gt;="&amp;S$60)</f>
        <v>0.25</v>
      </c>
      <c r="T73" s="32" t="n">
        <f aca="false">COUNTIFS('Project Plan'!$O$7:$O$156,$A73,'Project Plan'!$F$7:$F$156,"&lt;="&amp;T$60,'Project Plan'!$H$7:$H$156,"&gt;="&amp;T$60)+0.25*COUNTIFS('Project Plan'!$V$7:$V$156,"*;"&amp;$A73&amp;";*",'Project Plan'!$O$7:$O$156,"&lt;&gt;"&amp;$A73,'Project Plan'!$F$7:$F$156,"&lt;="&amp;T$60,'Project Plan'!$H$7:$H$156,"&gt;="&amp;T$60)</f>
        <v>0</v>
      </c>
      <c r="U73" s="32" t="n">
        <f aca="false">COUNTIFS('Project Plan'!$O$7:$O$156,$A73,'Project Plan'!$F$7:$F$156,"&lt;="&amp;U$60,'Project Plan'!$H$7:$H$156,"&gt;="&amp;U$60)+0.25*COUNTIFS('Project Plan'!$V$7:$V$156,"*;"&amp;$A73&amp;";*",'Project Plan'!$O$7:$O$156,"&lt;&gt;"&amp;$A73,'Project Plan'!$F$7:$F$156,"&lt;="&amp;U$60,'Project Plan'!$H$7:$H$156,"&gt;="&amp;U$60)</f>
        <v>0</v>
      </c>
      <c r="V73" s="32" t="n">
        <f aca="false">COUNTIFS('Project Plan'!$O$7:$O$156,$A73,'Project Plan'!$F$7:$F$156,"&lt;="&amp;V$60,'Project Plan'!$H$7:$H$156,"&gt;="&amp;V$60)+0.25*COUNTIFS('Project Plan'!$V$7:$V$156,"*;"&amp;$A73&amp;";*",'Project Plan'!$O$7:$O$156,"&lt;&gt;"&amp;$A73,'Project Plan'!$F$7:$F$156,"&lt;="&amp;V$60,'Project Plan'!$H$7:$H$156,"&gt;="&amp;V$60)</f>
        <v>0</v>
      </c>
      <c r="W73" s="32" t="n">
        <f aca="false">COUNTIFS('Project Plan'!$O$7:$O$156,$A73,'Project Plan'!$F$7:$F$156,"&lt;="&amp;W$60,'Project Plan'!$H$7:$H$156,"&gt;="&amp;W$60)+0.25*COUNTIFS('Project Plan'!$V$7:$V$156,"*;"&amp;$A73&amp;";*",'Project Plan'!$O$7:$O$156,"&lt;&gt;"&amp;$A73,'Project Plan'!$F$7:$F$156,"&lt;="&amp;W$60,'Project Plan'!$H$7:$H$156,"&gt;="&amp;W$60)</f>
        <v>0.25</v>
      </c>
      <c r="X73" s="32" t="n">
        <f aca="false">COUNTIFS('Project Plan'!$O$7:$O$156,$A73,'Project Plan'!$F$7:$F$156,"&lt;="&amp;X$60,'Project Plan'!$H$7:$H$156,"&gt;="&amp;X$60)+0.25*COUNTIFS('Project Plan'!$V$7:$V$156,"*;"&amp;$A73&amp;";*",'Project Plan'!$O$7:$O$156,"&lt;&gt;"&amp;$A73,'Project Plan'!$F$7:$F$156,"&lt;="&amp;X$60,'Project Plan'!$H$7:$H$156,"&gt;="&amp;X$60)</f>
        <v>1.25</v>
      </c>
      <c r="Y73" s="32" t="n">
        <f aca="false">COUNTIFS('Project Plan'!$O$7:$O$156,$A73,'Project Plan'!$F$7:$F$156,"&lt;="&amp;Y$60,'Project Plan'!$H$7:$H$156,"&gt;="&amp;Y$60)+0.25*COUNTIFS('Project Plan'!$V$7:$V$156,"*;"&amp;$A73&amp;";*",'Project Plan'!$O$7:$O$156,"&lt;&gt;"&amp;$A73,'Project Plan'!$F$7:$F$156,"&lt;="&amp;Y$60,'Project Plan'!$H$7:$H$156,"&gt;="&amp;Y$60)</f>
        <v>1.25</v>
      </c>
      <c r="Z73" s="32" t="n">
        <f aca="false">COUNTIFS('Project Plan'!$O$7:$O$156,$A73,'Project Plan'!$F$7:$F$156,"&lt;="&amp;Z$60,'Project Plan'!$H$7:$H$156,"&gt;="&amp;Z$60)+0.25*COUNTIFS('Project Plan'!$V$7:$V$156,"*;"&amp;$A73&amp;";*",'Project Plan'!$O$7:$O$156,"&lt;&gt;"&amp;$A73,'Project Plan'!$F$7:$F$156,"&lt;="&amp;Z$60,'Project Plan'!$H$7:$H$156,"&gt;="&amp;Z$60)</f>
        <v>0.25</v>
      </c>
      <c r="AA73" s="32" t="n">
        <f aca="false">COUNTIFS('Project Plan'!$O$7:$O$156,$A73,'Project Plan'!$F$7:$F$156,"&lt;="&amp;AA$60,'Project Plan'!$H$7:$H$156,"&gt;="&amp;AA$60)+0.25*COUNTIFS('Project Plan'!$V$7:$V$156,"*;"&amp;$A73&amp;";*",'Project Plan'!$O$7:$O$156,"&lt;&gt;"&amp;$A73,'Project Plan'!$F$7:$F$156,"&lt;="&amp;AA$60,'Project Plan'!$H$7:$H$156,"&gt;="&amp;AA$60)</f>
        <v>0.25</v>
      </c>
      <c r="AB73" s="32" t="n">
        <f aca="false">COUNTIFS('Project Plan'!$O$7:$O$156,$A73,'Project Plan'!$F$7:$F$156,"&lt;="&amp;AB$60,'Project Plan'!$H$7:$H$156,"&gt;="&amp;AB$60)+0.25*COUNTIFS('Project Plan'!$V$7:$V$156,"*;"&amp;$A73&amp;";*",'Project Plan'!$O$7:$O$156,"&lt;&gt;"&amp;$A73,'Project Plan'!$F$7:$F$156,"&lt;="&amp;AB$60,'Project Plan'!$H$7:$H$156,"&gt;="&amp;AB$60)</f>
        <v>0</v>
      </c>
      <c r="AC73" s="32" t="n">
        <f aca="false">COUNTIFS('Project Plan'!$O$7:$O$156,$A73,'Project Plan'!$F$7:$F$156,"&lt;="&amp;AC$60,'Project Plan'!$H$7:$H$156,"&gt;="&amp;AC$60)+0.25*COUNTIFS('Project Plan'!$V$7:$V$156,"*;"&amp;$A73&amp;";*",'Project Plan'!$O$7:$O$156,"&lt;&gt;"&amp;$A73,'Project Plan'!$F$7:$F$156,"&lt;="&amp;AC$60,'Project Plan'!$H$7:$H$156,"&gt;="&amp;AC$60)</f>
        <v>0.25</v>
      </c>
    </row>
    <row r="74" customFormat="false" ht="15" hidden="false" customHeight="false" outlineLevel="0" collapsed="false">
      <c r="A74" s="0" t="str">
        <f aca="false">A18</f>
        <v>SCA</v>
      </c>
      <c r="B74" s="0" t="n">
        <f aca="false">4*E18</f>
        <v>0</v>
      </c>
      <c r="C74" s="32" t="n">
        <f aca="false">COUNTIFS('Project Plan'!$O$7:$O$156,$A74,'Project Plan'!$F$7:$F$156,"&lt;="&amp;C$60,'Project Plan'!$H$7:$H$156,"&gt;="&amp;C$60)+0.25*COUNTIFS('Project Plan'!$V$7:$V$156,"*;"&amp;$A74&amp;";*",'Project Plan'!$O$7:$O$156,"&lt;&gt;"&amp;$A74,'Project Plan'!$F$7:$F$156,"&lt;="&amp;C$60,'Project Plan'!$H$7:$H$156,"&gt;="&amp;C$60)</f>
        <v>0</v>
      </c>
      <c r="D74" s="32" t="n">
        <f aca="false">COUNTIFS('Project Plan'!$O$7:$O$156,$A74,'Project Plan'!$F$7:$F$156,"&lt;="&amp;D$60,'Project Plan'!$H$7:$H$156,"&gt;="&amp;D$60)+0.25*COUNTIFS('Project Plan'!$V$7:$V$156,"*;"&amp;$A74&amp;";*",'Project Plan'!$O$7:$O$156,"&lt;&gt;"&amp;$A74,'Project Plan'!$F$7:$F$156,"&lt;="&amp;D$60,'Project Plan'!$H$7:$H$156,"&gt;="&amp;D$60)</f>
        <v>0</v>
      </c>
      <c r="E74" s="32" t="n">
        <f aca="false">COUNTIFS('Project Plan'!$O$7:$O$156,$A74,'Project Plan'!$F$7:$F$156,"&lt;="&amp;E$60,'Project Plan'!$H$7:$H$156,"&gt;="&amp;E$60)+0.25*COUNTIFS('Project Plan'!$V$7:$V$156,"*;"&amp;$A74&amp;";*",'Project Plan'!$O$7:$O$156,"&lt;&gt;"&amp;$A74,'Project Plan'!$F$7:$F$156,"&lt;="&amp;E$60,'Project Plan'!$H$7:$H$156,"&gt;="&amp;E$60)</f>
        <v>0</v>
      </c>
      <c r="F74" s="32" t="n">
        <f aca="false">COUNTIFS('Project Plan'!$O$7:$O$156,$A74,'Project Plan'!$F$7:$F$156,"&lt;="&amp;F$60,'Project Plan'!$H$7:$H$156,"&gt;="&amp;F$60)+0.25*COUNTIFS('Project Plan'!$V$7:$V$156,"*;"&amp;$A74&amp;";*",'Project Plan'!$O$7:$O$156,"&lt;&gt;"&amp;$A74,'Project Plan'!$F$7:$F$156,"&lt;="&amp;F$60,'Project Plan'!$H$7:$H$156,"&gt;="&amp;F$60)</f>
        <v>0</v>
      </c>
      <c r="G74" s="32" t="n">
        <f aca="false">COUNTIFS('Project Plan'!$O$7:$O$156,$A74,'Project Plan'!$F$7:$F$156,"&lt;="&amp;G$60,'Project Plan'!$H$7:$H$156,"&gt;="&amp;G$60)+0.25*COUNTIFS('Project Plan'!$V$7:$V$156,"*;"&amp;$A74&amp;";*",'Project Plan'!$O$7:$O$156,"&lt;&gt;"&amp;$A74,'Project Plan'!$F$7:$F$156,"&lt;="&amp;G$60,'Project Plan'!$H$7:$H$156,"&gt;="&amp;G$60)</f>
        <v>0</v>
      </c>
      <c r="H74" s="32" t="n">
        <f aca="false">COUNTIFS('Project Plan'!$O$7:$O$156,$A74,'Project Plan'!$F$7:$F$156,"&lt;="&amp;H$60,'Project Plan'!$H$7:$H$156,"&gt;="&amp;H$60)+0.25*COUNTIFS('Project Plan'!$V$7:$V$156,"*;"&amp;$A74&amp;";*",'Project Plan'!$O$7:$O$156,"&lt;&gt;"&amp;$A74,'Project Plan'!$F$7:$F$156,"&lt;="&amp;H$60,'Project Plan'!$H$7:$H$156,"&gt;="&amp;H$60)</f>
        <v>0</v>
      </c>
      <c r="I74" s="32" t="n">
        <f aca="false">COUNTIFS('Project Plan'!$O$7:$O$156,$A74,'Project Plan'!$F$7:$F$156,"&lt;="&amp;I$60,'Project Plan'!$H$7:$H$156,"&gt;="&amp;I$60)+0.25*COUNTIFS('Project Plan'!$V$7:$V$156,"*;"&amp;$A74&amp;";*",'Project Plan'!$O$7:$O$156,"&lt;&gt;"&amp;$A74,'Project Plan'!$F$7:$F$156,"&lt;="&amp;I$60,'Project Plan'!$H$7:$H$156,"&gt;="&amp;I$60)</f>
        <v>0</v>
      </c>
      <c r="J74" s="32" t="n">
        <f aca="false">COUNTIFS('Project Plan'!$O$7:$O$156,$A74,'Project Plan'!$F$7:$F$156,"&lt;="&amp;J$60,'Project Plan'!$H$7:$H$156,"&gt;="&amp;J$60)+0.25*COUNTIFS('Project Plan'!$V$7:$V$156,"*;"&amp;$A74&amp;";*",'Project Plan'!$O$7:$O$156,"&lt;&gt;"&amp;$A74,'Project Plan'!$F$7:$F$156,"&lt;="&amp;J$60,'Project Plan'!$H$7:$H$156,"&gt;="&amp;J$60)</f>
        <v>0</v>
      </c>
      <c r="K74" s="32" t="n">
        <f aca="false">COUNTIFS('Project Plan'!$O$7:$O$156,$A74,'Project Plan'!$F$7:$F$156,"&lt;="&amp;K$60,'Project Plan'!$H$7:$H$156,"&gt;="&amp;K$60)+0.25*COUNTIFS('Project Plan'!$V$7:$V$156,"*;"&amp;$A74&amp;";*",'Project Plan'!$O$7:$O$156,"&lt;&gt;"&amp;$A74,'Project Plan'!$F$7:$F$156,"&lt;="&amp;K$60,'Project Plan'!$H$7:$H$156,"&gt;="&amp;K$60)</f>
        <v>0</v>
      </c>
      <c r="L74" s="32" t="n">
        <f aca="false">COUNTIFS('Project Plan'!$O$7:$O$156,$A74,'Project Plan'!$F$7:$F$156,"&lt;="&amp;L$60,'Project Plan'!$H$7:$H$156,"&gt;="&amp;L$60)+0.25*COUNTIFS('Project Plan'!$V$7:$V$156,"*;"&amp;$A74&amp;";*",'Project Plan'!$O$7:$O$156,"&lt;&gt;"&amp;$A74,'Project Plan'!$F$7:$F$156,"&lt;="&amp;L$60,'Project Plan'!$H$7:$H$156,"&gt;="&amp;L$60)</f>
        <v>0</v>
      </c>
      <c r="M74" s="32" t="n">
        <f aca="false">COUNTIFS('Project Plan'!$O$7:$O$156,$A74,'Project Plan'!$F$7:$F$156,"&lt;="&amp;M$60,'Project Plan'!$H$7:$H$156,"&gt;="&amp;M$60)+0.25*COUNTIFS('Project Plan'!$V$7:$V$156,"*;"&amp;$A74&amp;";*",'Project Plan'!$O$7:$O$156,"&lt;&gt;"&amp;$A74,'Project Plan'!$F$7:$F$156,"&lt;="&amp;M$60,'Project Plan'!$H$7:$H$156,"&gt;="&amp;M$60)</f>
        <v>0</v>
      </c>
      <c r="N74" s="32" t="n">
        <f aca="false">COUNTIFS('Project Plan'!$O$7:$O$156,$A74,'Project Plan'!$F$7:$F$156,"&lt;="&amp;N$60,'Project Plan'!$H$7:$H$156,"&gt;="&amp;N$60)+0.25*COUNTIFS('Project Plan'!$V$7:$V$156,"*;"&amp;$A74&amp;";*",'Project Plan'!$O$7:$O$156,"&lt;&gt;"&amp;$A74,'Project Plan'!$F$7:$F$156,"&lt;="&amp;N$60,'Project Plan'!$H$7:$H$156,"&gt;="&amp;N$60)</f>
        <v>0</v>
      </c>
      <c r="O74" s="32" t="n">
        <f aca="false">COUNTIFS('Project Plan'!$O$7:$O$156,$A74,'Project Plan'!$F$7:$F$156,"&lt;="&amp;O$60,'Project Plan'!$H$7:$H$156,"&gt;="&amp;O$60)+0.25*COUNTIFS('Project Plan'!$V$7:$V$156,"*;"&amp;$A74&amp;";*",'Project Plan'!$O$7:$O$156,"&lt;&gt;"&amp;$A74,'Project Plan'!$F$7:$F$156,"&lt;="&amp;O$60,'Project Plan'!$H$7:$H$156,"&gt;="&amp;O$60)</f>
        <v>0</v>
      </c>
      <c r="P74" s="32" t="n">
        <f aca="false">COUNTIFS('Project Plan'!$O$7:$O$156,$A74,'Project Plan'!$F$7:$F$156,"&lt;="&amp;P$60,'Project Plan'!$H$7:$H$156,"&gt;="&amp;P$60)+0.25*COUNTIFS('Project Plan'!$V$7:$V$156,"*;"&amp;$A74&amp;";*",'Project Plan'!$O$7:$O$156,"&lt;&gt;"&amp;$A74,'Project Plan'!$F$7:$F$156,"&lt;="&amp;P$60,'Project Plan'!$H$7:$H$156,"&gt;="&amp;P$60)</f>
        <v>0</v>
      </c>
      <c r="Q74" s="32" t="n">
        <f aca="false">COUNTIFS('Project Plan'!$O$7:$O$156,$A74,'Project Plan'!$F$7:$F$156,"&lt;="&amp;Q$60,'Project Plan'!$H$7:$H$156,"&gt;="&amp;Q$60)+0.25*COUNTIFS('Project Plan'!$V$7:$V$156,"*;"&amp;$A74&amp;";*",'Project Plan'!$O$7:$O$156,"&lt;&gt;"&amp;$A74,'Project Plan'!$F$7:$F$156,"&lt;="&amp;Q$60,'Project Plan'!$H$7:$H$156,"&gt;="&amp;Q$60)</f>
        <v>0</v>
      </c>
      <c r="R74" s="32" t="n">
        <f aca="false">COUNTIFS('Project Plan'!$O$7:$O$156,$A74,'Project Plan'!$F$7:$F$156,"&lt;="&amp;R$60,'Project Plan'!$H$7:$H$156,"&gt;="&amp;R$60)+0.25*COUNTIFS('Project Plan'!$V$7:$V$156,"*;"&amp;$A74&amp;";*",'Project Plan'!$O$7:$O$156,"&lt;&gt;"&amp;$A74,'Project Plan'!$F$7:$F$156,"&lt;="&amp;R$60,'Project Plan'!$H$7:$H$156,"&gt;="&amp;R$60)</f>
        <v>0</v>
      </c>
      <c r="S74" s="32" t="n">
        <f aca="false">COUNTIFS('Project Plan'!$O$7:$O$156,$A74,'Project Plan'!$F$7:$F$156,"&lt;="&amp;S$60,'Project Plan'!$H$7:$H$156,"&gt;="&amp;S$60)+0.25*COUNTIFS('Project Plan'!$V$7:$V$156,"*;"&amp;$A74&amp;";*",'Project Plan'!$O$7:$O$156,"&lt;&gt;"&amp;$A74,'Project Plan'!$F$7:$F$156,"&lt;="&amp;S$60,'Project Plan'!$H$7:$H$156,"&gt;="&amp;S$60)</f>
        <v>1</v>
      </c>
      <c r="T74" s="32" t="n">
        <f aca="false">COUNTIFS('Project Plan'!$O$7:$O$156,$A74,'Project Plan'!$F$7:$F$156,"&lt;="&amp;T$60,'Project Plan'!$H$7:$H$156,"&gt;="&amp;T$60)+0.25*COUNTIFS('Project Plan'!$V$7:$V$156,"*;"&amp;$A74&amp;";*",'Project Plan'!$O$7:$O$156,"&lt;&gt;"&amp;$A74,'Project Plan'!$F$7:$F$156,"&lt;="&amp;T$60,'Project Plan'!$H$7:$H$156,"&gt;="&amp;T$60)</f>
        <v>1</v>
      </c>
      <c r="U74" s="32" t="n">
        <f aca="false">COUNTIFS('Project Plan'!$O$7:$O$156,$A74,'Project Plan'!$F$7:$F$156,"&lt;="&amp;U$60,'Project Plan'!$H$7:$H$156,"&gt;="&amp;U$60)+0.25*COUNTIFS('Project Plan'!$V$7:$V$156,"*;"&amp;$A74&amp;";*",'Project Plan'!$O$7:$O$156,"&lt;&gt;"&amp;$A74,'Project Plan'!$F$7:$F$156,"&lt;="&amp;U$60,'Project Plan'!$H$7:$H$156,"&gt;="&amp;U$60)</f>
        <v>1</v>
      </c>
      <c r="V74" s="32" t="n">
        <f aca="false">COUNTIFS('Project Plan'!$O$7:$O$156,$A74,'Project Plan'!$F$7:$F$156,"&lt;="&amp;V$60,'Project Plan'!$H$7:$H$156,"&gt;="&amp;V$60)+0.25*COUNTIFS('Project Plan'!$V$7:$V$156,"*;"&amp;$A74&amp;";*",'Project Plan'!$O$7:$O$156,"&lt;&gt;"&amp;$A74,'Project Plan'!$F$7:$F$156,"&lt;="&amp;V$60,'Project Plan'!$H$7:$H$156,"&gt;="&amp;V$60)</f>
        <v>1</v>
      </c>
      <c r="W74" s="32" t="n">
        <f aca="false">COUNTIFS('Project Plan'!$O$7:$O$156,$A74,'Project Plan'!$F$7:$F$156,"&lt;="&amp;W$60,'Project Plan'!$H$7:$H$156,"&gt;="&amp;W$60)+0.25*COUNTIFS('Project Plan'!$V$7:$V$156,"*;"&amp;$A74&amp;";*",'Project Plan'!$O$7:$O$156,"&lt;&gt;"&amp;$A74,'Project Plan'!$F$7:$F$156,"&lt;="&amp;W$60,'Project Plan'!$H$7:$H$156,"&gt;="&amp;W$60)</f>
        <v>0.25</v>
      </c>
      <c r="X74" s="32" t="n">
        <f aca="false">COUNTIFS('Project Plan'!$O$7:$O$156,$A74,'Project Plan'!$F$7:$F$156,"&lt;="&amp;X$60,'Project Plan'!$H$7:$H$156,"&gt;="&amp;X$60)+0.25*COUNTIFS('Project Plan'!$V$7:$V$156,"*;"&amp;$A74&amp;";*",'Project Plan'!$O$7:$O$156,"&lt;&gt;"&amp;$A74,'Project Plan'!$F$7:$F$156,"&lt;="&amp;X$60,'Project Plan'!$H$7:$H$156,"&gt;="&amp;X$60)</f>
        <v>0.25</v>
      </c>
      <c r="Y74" s="32" t="n">
        <f aca="false">COUNTIFS('Project Plan'!$O$7:$O$156,$A74,'Project Plan'!$F$7:$F$156,"&lt;="&amp;Y$60,'Project Plan'!$H$7:$H$156,"&gt;="&amp;Y$60)+0.25*COUNTIFS('Project Plan'!$V$7:$V$156,"*;"&amp;$A74&amp;";*",'Project Plan'!$O$7:$O$156,"&lt;&gt;"&amp;$A74,'Project Plan'!$F$7:$F$156,"&lt;="&amp;Y$60,'Project Plan'!$H$7:$H$156,"&gt;="&amp;Y$60)</f>
        <v>0.25</v>
      </c>
      <c r="Z74" s="32" t="n">
        <f aca="false">COUNTIFS('Project Plan'!$O$7:$O$156,$A74,'Project Plan'!$F$7:$F$156,"&lt;="&amp;Z$60,'Project Plan'!$H$7:$H$156,"&gt;="&amp;Z$60)+0.25*COUNTIFS('Project Plan'!$V$7:$V$156,"*;"&amp;$A74&amp;";*",'Project Plan'!$O$7:$O$156,"&lt;&gt;"&amp;$A74,'Project Plan'!$F$7:$F$156,"&lt;="&amp;Z$60,'Project Plan'!$H$7:$H$156,"&gt;="&amp;Z$60)</f>
        <v>0</v>
      </c>
      <c r="AA74" s="32" t="n">
        <f aca="false">COUNTIFS('Project Plan'!$O$7:$O$156,$A74,'Project Plan'!$F$7:$F$156,"&lt;="&amp;AA$60,'Project Plan'!$H$7:$H$156,"&gt;="&amp;AA$60)+0.25*COUNTIFS('Project Plan'!$V$7:$V$156,"*;"&amp;$A74&amp;";*",'Project Plan'!$O$7:$O$156,"&lt;&gt;"&amp;$A74,'Project Plan'!$F$7:$F$156,"&lt;="&amp;AA$60,'Project Plan'!$H$7:$H$156,"&gt;="&amp;AA$60)</f>
        <v>0</v>
      </c>
      <c r="AB74" s="32" t="n">
        <f aca="false">COUNTIFS('Project Plan'!$O$7:$O$156,$A74,'Project Plan'!$F$7:$F$156,"&lt;="&amp;AB$60,'Project Plan'!$H$7:$H$156,"&gt;="&amp;AB$60)+0.25*COUNTIFS('Project Plan'!$V$7:$V$156,"*;"&amp;$A74&amp;";*",'Project Plan'!$O$7:$O$156,"&lt;&gt;"&amp;$A74,'Project Plan'!$F$7:$F$156,"&lt;="&amp;AB$60,'Project Plan'!$H$7:$H$156,"&gt;="&amp;AB$60)</f>
        <v>0</v>
      </c>
      <c r="AC74" s="32" t="n">
        <f aca="false">COUNTIFS('Project Plan'!$O$7:$O$156,$A74,'Project Plan'!$F$7:$F$156,"&lt;="&amp;AC$60,'Project Plan'!$H$7:$H$156,"&gt;="&amp;AC$60)+0.25*COUNTIFS('Project Plan'!$V$7:$V$156,"*;"&amp;$A74&amp;";*",'Project Plan'!$O$7:$O$156,"&lt;&gt;"&amp;$A74,'Project Plan'!$F$7:$F$156,"&lt;="&amp;AC$60,'Project Plan'!$H$7:$H$156,"&gt;="&amp;AC$60)</f>
        <v>0</v>
      </c>
    </row>
    <row r="75" customFormat="false" ht="15" hidden="false" customHeight="false" outlineLevel="0" collapsed="false">
      <c r="A75" s="0" t="str">
        <f aca="false">A19</f>
        <v>MDR</v>
      </c>
      <c r="B75" s="0" t="n">
        <f aca="false">4*E19</f>
        <v>0</v>
      </c>
      <c r="C75" s="32" t="n">
        <f aca="false">COUNTIFS('Project Plan'!$O$7:$O$156,$A75,'Project Plan'!$F$7:$F$156,"&lt;="&amp;C$60,'Project Plan'!$H$7:$H$156,"&gt;="&amp;C$60)+0.25*COUNTIFS('Project Plan'!$V$7:$V$156,"*;"&amp;$A75&amp;";*",'Project Plan'!$O$7:$O$156,"&lt;&gt;"&amp;$A75,'Project Plan'!$F$7:$F$156,"&lt;="&amp;C$60,'Project Plan'!$H$7:$H$156,"&gt;="&amp;C$60)</f>
        <v>0</v>
      </c>
      <c r="D75" s="32" t="n">
        <f aca="false">COUNTIFS('Project Plan'!$O$7:$O$156,$A75,'Project Plan'!$F$7:$F$156,"&lt;="&amp;D$60,'Project Plan'!$H$7:$H$156,"&gt;="&amp;D$60)+0.25*COUNTIFS('Project Plan'!$V$7:$V$156,"*;"&amp;$A75&amp;";*",'Project Plan'!$O$7:$O$156,"&lt;&gt;"&amp;$A75,'Project Plan'!$F$7:$F$156,"&lt;="&amp;D$60,'Project Plan'!$H$7:$H$156,"&gt;="&amp;D$60)</f>
        <v>0</v>
      </c>
      <c r="E75" s="32" t="n">
        <f aca="false">COUNTIFS('Project Plan'!$O$7:$O$156,$A75,'Project Plan'!$F$7:$F$156,"&lt;="&amp;E$60,'Project Plan'!$H$7:$H$156,"&gt;="&amp;E$60)+0.25*COUNTIFS('Project Plan'!$V$7:$V$156,"*;"&amp;$A75&amp;";*",'Project Plan'!$O$7:$O$156,"&lt;&gt;"&amp;$A75,'Project Plan'!$F$7:$F$156,"&lt;="&amp;E$60,'Project Plan'!$H$7:$H$156,"&gt;="&amp;E$60)</f>
        <v>0</v>
      </c>
      <c r="F75" s="32" t="n">
        <f aca="false">COUNTIFS('Project Plan'!$O$7:$O$156,$A75,'Project Plan'!$F$7:$F$156,"&lt;="&amp;F$60,'Project Plan'!$H$7:$H$156,"&gt;="&amp;F$60)+0.25*COUNTIFS('Project Plan'!$V$7:$V$156,"*;"&amp;$A75&amp;";*",'Project Plan'!$O$7:$O$156,"&lt;&gt;"&amp;$A75,'Project Plan'!$F$7:$F$156,"&lt;="&amp;F$60,'Project Plan'!$H$7:$H$156,"&gt;="&amp;F$60)</f>
        <v>0</v>
      </c>
      <c r="G75" s="32" t="n">
        <f aca="false">COUNTIFS('Project Plan'!$O$7:$O$156,$A75,'Project Plan'!$F$7:$F$156,"&lt;="&amp;G$60,'Project Plan'!$H$7:$H$156,"&gt;="&amp;G$60)+0.25*COUNTIFS('Project Plan'!$V$7:$V$156,"*;"&amp;$A75&amp;";*",'Project Plan'!$O$7:$O$156,"&lt;&gt;"&amp;$A75,'Project Plan'!$F$7:$F$156,"&lt;="&amp;G$60,'Project Plan'!$H$7:$H$156,"&gt;="&amp;G$60)</f>
        <v>0</v>
      </c>
      <c r="H75" s="32" t="n">
        <f aca="false">COUNTIFS('Project Plan'!$O$7:$O$156,$A75,'Project Plan'!$F$7:$F$156,"&lt;="&amp;H$60,'Project Plan'!$H$7:$H$156,"&gt;="&amp;H$60)+0.25*COUNTIFS('Project Plan'!$V$7:$V$156,"*;"&amp;$A75&amp;";*",'Project Plan'!$O$7:$O$156,"&lt;&gt;"&amp;$A75,'Project Plan'!$F$7:$F$156,"&lt;="&amp;H$60,'Project Plan'!$H$7:$H$156,"&gt;="&amp;H$60)</f>
        <v>1</v>
      </c>
      <c r="I75" s="32" t="n">
        <f aca="false">COUNTIFS('Project Plan'!$O$7:$O$156,$A75,'Project Plan'!$F$7:$F$156,"&lt;="&amp;I$60,'Project Plan'!$H$7:$H$156,"&gt;="&amp;I$60)+0.25*COUNTIFS('Project Plan'!$V$7:$V$156,"*;"&amp;$A75&amp;";*",'Project Plan'!$O$7:$O$156,"&lt;&gt;"&amp;$A75,'Project Plan'!$F$7:$F$156,"&lt;="&amp;I$60,'Project Plan'!$H$7:$H$156,"&gt;="&amp;I$60)</f>
        <v>1</v>
      </c>
      <c r="J75" s="32" t="n">
        <f aca="false">COUNTIFS('Project Plan'!$O$7:$O$156,$A75,'Project Plan'!$F$7:$F$156,"&lt;="&amp;J$60,'Project Plan'!$H$7:$H$156,"&gt;="&amp;J$60)+0.25*COUNTIFS('Project Plan'!$V$7:$V$156,"*;"&amp;$A75&amp;";*",'Project Plan'!$O$7:$O$156,"&lt;&gt;"&amp;$A75,'Project Plan'!$F$7:$F$156,"&lt;="&amp;J$60,'Project Plan'!$H$7:$H$156,"&gt;="&amp;J$60)</f>
        <v>1</v>
      </c>
      <c r="K75" s="32" t="n">
        <f aca="false">COUNTIFS('Project Plan'!$O$7:$O$156,$A75,'Project Plan'!$F$7:$F$156,"&lt;="&amp;K$60,'Project Plan'!$H$7:$H$156,"&gt;="&amp;K$60)+0.25*COUNTIFS('Project Plan'!$V$7:$V$156,"*;"&amp;$A75&amp;";*",'Project Plan'!$O$7:$O$156,"&lt;&gt;"&amp;$A75,'Project Plan'!$F$7:$F$156,"&lt;="&amp;K$60,'Project Plan'!$H$7:$H$156,"&gt;="&amp;K$60)</f>
        <v>1</v>
      </c>
      <c r="L75" s="32" t="n">
        <f aca="false">COUNTIFS('Project Plan'!$O$7:$O$156,$A75,'Project Plan'!$F$7:$F$156,"&lt;="&amp;L$60,'Project Plan'!$H$7:$H$156,"&gt;="&amp;L$60)+0.25*COUNTIFS('Project Plan'!$V$7:$V$156,"*;"&amp;$A75&amp;";*",'Project Plan'!$O$7:$O$156,"&lt;&gt;"&amp;$A75,'Project Plan'!$F$7:$F$156,"&lt;="&amp;L$60,'Project Plan'!$H$7:$H$156,"&gt;="&amp;L$60)</f>
        <v>1</v>
      </c>
      <c r="M75" s="32" t="n">
        <f aca="false">COUNTIFS('Project Plan'!$O$7:$O$156,$A75,'Project Plan'!$F$7:$F$156,"&lt;="&amp;M$60,'Project Plan'!$H$7:$H$156,"&gt;="&amp;M$60)+0.25*COUNTIFS('Project Plan'!$V$7:$V$156,"*;"&amp;$A75&amp;";*",'Project Plan'!$O$7:$O$156,"&lt;&gt;"&amp;$A75,'Project Plan'!$F$7:$F$156,"&lt;="&amp;M$60,'Project Plan'!$H$7:$H$156,"&gt;="&amp;M$60)</f>
        <v>1</v>
      </c>
      <c r="N75" s="32" t="n">
        <f aca="false">COUNTIFS('Project Plan'!$O$7:$O$156,$A75,'Project Plan'!$F$7:$F$156,"&lt;="&amp;N$60,'Project Plan'!$H$7:$H$156,"&gt;="&amp;N$60)+0.25*COUNTIFS('Project Plan'!$V$7:$V$156,"*;"&amp;$A75&amp;";*",'Project Plan'!$O$7:$O$156,"&lt;&gt;"&amp;$A75,'Project Plan'!$F$7:$F$156,"&lt;="&amp;N$60,'Project Plan'!$H$7:$H$156,"&gt;="&amp;N$60)</f>
        <v>1</v>
      </c>
      <c r="O75" s="32" t="n">
        <f aca="false">COUNTIFS('Project Plan'!$O$7:$O$156,$A75,'Project Plan'!$F$7:$F$156,"&lt;="&amp;O$60,'Project Plan'!$H$7:$H$156,"&gt;="&amp;O$60)+0.25*COUNTIFS('Project Plan'!$V$7:$V$156,"*;"&amp;$A75&amp;";*",'Project Plan'!$O$7:$O$156,"&lt;&gt;"&amp;$A75,'Project Plan'!$F$7:$F$156,"&lt;="&amp;O$60,'Project Plan'!$H$7:$H$156,"&gt;="&amp;O$60)</f>
        <v>1</v>
      </c>
      <c r="P75" s="32" t="n">
        <f aca="false">COUNTIFS('Project Plan'!$O$7:$O$156,$A75,'Project Plan'!$F$7:$F$156,"&lt;="&amp;P$60,'Project Plan'!$H$7:$H$156,"&gt;="&amp;P$60)+0.25*COUNTIFS('Project Plan'!$V$7:$V$156,"*;"&amp;$A75&amp;";*",'Project Plan'!$O$7:$O$156,"&lt;&gt;"&amp;$A75,'Project Plan'!$F$7:$F$156,"&lt;="&amp;P$60,'Project Plan'!$H$7:$H$156,"&gt;="&amp;P$60)</f>
        <v>1</v>
      </c>
      <c r="Q75" s="32" t="n">
        <f aca="false">COUNTIFS('Project Plan'!$O$7:$O$156,$A75,'Project Plan'!$F$7:$F$156,"&lt;="&amp;Q$60,'Project Plan'!$H$7:$H$156,"&gt;="&amp;Q$60)+0.25*COUNTIFS('Project Plan'!$V$7:$V$156,"*;"&amp;$A75&amp;";*",'Project Plan'!$O$7:$O$156,"&lt;&gt;"&amp;$A75,'Project Plan'!$F$7:$F$156,"&lt;="&amp;Q$60,'Project Plan'!$H$7:$H$156,"&gt;="&amp;Q$60)</f>
        <v>0</v>
      </c>
      <c r="R75" s="32" t="n">
        <f aca="false">COUNTIFS('Project Plan'!$O$7:$O$156,$A75,'Project Plan'!$F$7:$F$156,"&lt;="&amp;R$60,'Project Plan'!$H$7:$H$156,"&gt;="&amp;R$60)+0.25*COUNTIFS('Project Plan'!$V$7:$V$156,"*;"&amp;$A75&amp;";*",'Project Plan'!$O$7:$O$156,"&lt;&gt;"&amp;$A75,'Project Plan'!$F$7:$F$156,"&lt;="&amp;R$60,'Project Plan'!$H$7:$H$156,"&gt;="&amp;R$60)</f>
        <v>0</v>
      </c>
      <c r="S75" s="32" t="n">
        <f aca="false">COUNTIFS('Project Plan'!$O$7:$O$156,$A75,'Project Plan'!$F$7:$F$156,"&lt;="&amp;S$60,'Project Plan'!$H$7:$H$156,"&gt;="&amp;S$60)+0.25*COUNTIFS('Project Plan'!$V$7:$V$156,"*;"&amp;$A75&amp;";*",'Project Plan'!$O$7:$O$156,"&lt;&gt;"&amp;$A75,'Project Plan'!$F$7:$F$156,"&lt;="&amp;S$60,'Project Plan'!$H$7:$H$156,"&gt;="&amp;S$60)</f>
        <v>0</v>
      </c>
      <c r="T75" s="32" t="n">
        <f aca="false">COUNTIFS('Project Plan'!$O$7:$O$156,$A75,'Project Plan'!$F$7:$F$156,"&lt;="&amp;T$60,'Project Plan'!$H$7:$H$156,"&gt;="&amp;T$60)+0.25*COUNTIFS('Project Plan'!$V$7:$V$156,"*;"&amp;$A75&amp;";*",'Project Plan'!$O$7:$O$156,"&lt;&gt;"&amp;$A75,'Project Plan'!$F$7:$F$156,"&lt;="&amp;T$60,'Project Plan'!$H$7:$H$156,"&gt;="&amp;T$60)</f>
        <v>0.25</v>
      </c>
      <c r="U75" s="32" t="n">
        <f aca="false">COUNTIFS('Project Plan'!$O$7:$O$156,$A75,'Project Plan'!$F$7:$F$156,"&lt;="&amp;U$60,'Project Plan'!$H$7:$H$156,"&gt;="&amp;U$60)+0.25*COUNTIFS('Project Plan'!$V$7:$V$156,"*;"&amp;$A75&amp;";*",'Project Plan'!$O$7:$O$156,"&lt;&gt;"&amp;$A75,'Project Plan'!$F$7:$F$156,"&lt;="&amp;U$60,'Project Plan'!$H$7:$H$156,"&gt;="&amp;U$60)</f>
        <v>0.25</v>
      </c>
      <c r="V75" s="32" t="n">
        <f aca="false">COUNTIFS('Project Plan'!$O$7:$O$156,$A75,'Project Plan'!$F$7:$F$156,"&lt;="&amp;V$60,'Project Plan'!$H$7:$H$156,"&gt;="&amp;V$60)+0.25*COUNTIFS('Project Plan'!$V$7:$V$156,"*;"&amp;$A75&amp;";*",'Project Plan'!$O$7:$O$156,"&lt;&gt;"&amp;$A75,'Project Plan'!$F$7:$F$156,"&lt;="&amp;V$60,'Project Plan'!$H$7:$H$156,"&gt;="&amp;V$60)</f>
        <v>0.25</v>
      </c>
      <c r="W75" s="32" t="n">
        <f aca="false">COUNTIFS('Project Plan'!$O$7:$O$156,$A75,'Project Plan'!$F$7:$F$156,"&lt;="&amp;W$60,'Project Plan'!$H$7:$H$156,"&gt;="&amp;W$60)+0.25*COUNTIFS('Project Plan'!$V$7:$V$156,"*;"&amp;$A75&amp;";*",'Project Plan'!$O$7:$O$156,"&lt;&gt;"&amp;$A75,'Project Plan'!$F$7:$F$156,"&lt;="&amp;W$60,'Project Plan'!$H$7:$H$156,"&gt;="&amp;W$60)</f>
        <v>0.25</v>
      </c>
      <c r="X75" s="32" t="n">
        <f aca="false">COUNTIFS('Project Plan'!$O$7:$O$156,$A75,'Project Plan'!$F$7:$F$156,"&lt;="&amp;X$60,'Project Plan'!$H$7:$H$156,"&gt;="&amp;X$60)+0.25*COUNTIFS('Project Plan'!$V$7:$V$156,"*;"&amp;$A75&amp;";*",'Project Plan'!$O$7:$O$156,"&lt;&gt;"&amp;$A75,'Project Plan'!$F$7:$F$156,"&lt;="&amp;X$60,'Project Plan'!$H$7:$H$156,"&gt;="&amp;X$60)</f>
        <v>0</v>
      </c>
      <c r="Y75" s="32" t="n">
        <f aca="false">COUNTIFS('Project Plan'!$O$7:$O$156,$A75,'Project Plan'!$F$7:$F$156,"&lt;="&amp;Y$60,'Project Plan'!$H$7:$H$156,"&gt;="&amp;Y$60)+0.25*COUNTIFS('Project Plan'!$V$7:$V$156,"*;"&amp;$A75&amp;";*",'Project Plan'!$O$7:$O$156,"&lt;&gt;"&amp;$A75,'Project Plan'!$F$7:$F$156,"&lt;="&amp;Y$60,'Project Plan'!$H$7:$H$156,"&gt;="&amp;Y$60)</f>
        <v>0</v>
      </c>
      <c r="Z75" s="32" t="n">
        <f aca="false">COUNTIFS('Project Plan'!$O$7:$O$156,$A75,'Project Plan'!$F$7:$F$156,"&lt;="&amp;Z$60,'Project Plan'!$H$7:$H$156,"&gt;="&amp;Z$60)+0.25*COUNTIFS('Project Plan'!$V$7:$V$156,"*;"&amp;$A75&amp;";*",'Project Plan'!$O$7:$O$156,"&lt;&gt;"&amp;$A75,'Project Plan'!$F$7:$F$156,"&lt;="&amp;Z$60,'Project Plan'!$H$7:$H$156,"&gt;="&amp;Z$60)</f>
        <v>0</v>
      </c>
      <c r="AA75" s="32" t="n">
        <f aca="false">COUNTIFS('Project Plan'!$O$7:$O$156,$A75,'Project Plan'!$F$7:$F$156,"&lt;="&amp;AA$60,'Project Plan'!$H$7:$H$156,"&gt;="&amp;AA$60)+0.25*COUNTIFS('Project Plan'!$V$7:$V$156,"*;"&amp;$A75&amp;";*",'Project Plan'!$O$7:$O$156,"&lt;&gt;"&amp;$A75,'Project Plan'!$F$7:$F$156,"&lt;="&amp;AA$60,'Project Plan'!$H$7:$H$156,"&gt;="&amp;AA$60)</f>
        <v>0</v>
      </c>
      <c r="AB75" s="32" t="n">
        <f aca="false">COUNTIFS('Project Plan'!$O$7:$O$156,$A75,'Project Plan'!$F$7:$F$156,"&lt;="&amp;AB$60,'Project Plan'!$H$7:$H$156,"&gt;="&amp;AB$60)+0.25*COUNTIFS('Project Plan'!$V$7:$V$156,"*;"&amp;$A75&amp;";*",'Project Plan'!$O$7:$O$156,"&lt;&gt;"&amp;$A75,'Project Plan'!$F$7:$F$156,"&lt;="&amp;AB$60,'Project Plan'!$H$7:$H$156,"&gt;="&amp;AB$60)</f>
        <v>0</v>
      </c>
      <c r="AC75" s="32" t="n">
        <f aca="false">COUNTIFS('Project Plan'!$O$7:$O$156,$A75,'Project Plan'!$F$7:$F$156,"&lt;="&amp;AC$60,'Project Plan'!$H$7:$H$156,"&gt;="&amp;AC$60)+0.25*COUNTIFS('Project Plan'!$V$7:$V$156,"*;"&amp;$A75&amp;";*",'Project Plan'!$O$7:$O$156,"&lt;&gt;"&amp;$A75,'Project Plan'!$F$7:$F$156,"&lt;="&amp;AC$60,'Project Plan'!$H$7:$H$156,"&gt;="&amp;AC$60)</f>
        <v>0</v>
      </c>
    </row>
    <row r="76" customFormat="false" ht="15" hidden="false" customHeight="false" outlineLevel="0" collapsed="false">
      <c r="A76" s="0" t="str">
        <f aca="false">A20</f>
        <v>PEN</v>
      </c>
      <c r="B76" s="0" t="n">
        <f aca="false">4*E20</f>
        <v>0</v>
      </c>
      <c r="C76" s="32" t="n">
        <f aca="false">COUNTIFS('Project Plan'!$O$7:$O$156,$A76,'Project Plan'!$F$7:$F$156,"&lt;="&amp;C$60,'Project Plan'!$H$7:$H$156,"&gt;="&amp;C$60)+0.25*COUNTIFS('Project Plan'!$V$7:$V$156,"*;"&amp;$A76&amp;";*",'Project Plan'!$O$7:$O$156,"&lt;&gt;"&amp;$A76,'Project Plan'!$F$7:$F$156,"&lt;="&amp;C$60,'Project Plan'!$H$7:$H$156,"&gt;="&amp;C$60)</f>
        <v>0</v>
      </c>
      <c r="D76" s="32" t="n">
        <f aca="false">COUNTIFS('Project Plan'!$O$7:$O$156,$A76,'Project Plan'!$F$7:$F$156,"&lt;="&amp;D$60,'Project Plan'!$H$7:$H$156,"&gt;="&amp;D$60)+0.25*COUNTIFS('Project Plan'!$V$7:$V$156,"*;"&amp;$A76&amp;";*",'Project Plan'!$O$7:$O$156,"&lt;&gt;"&amp;$A76,'Project Plan'!$F$7:$F$156,"&lt;="&amp;D$60,'Project Plan'!$H$7:$H$156,"&gt;="&amp;D$60)</f>
        <v>0</v>
      </c>
      <c r="E76" s="32" t="n">
        <f aca="false">COUNTIFS('Project Plan'!$O$7:$O$156,$A76,'Project Plan'!$F$7:$F$156,"&lt;="&amp;E$60,'Project Plan'!$H$7:$H$156,"&gt;="&amp;E$60)+0.25*COUNTIFS('Project Plan'!$V$7:$V$156,"*;"&amp;$A76&amp;";*",'Project Plan'!$O$7:$O$156,"&lt;&gt;"&amp;$A76,'Project Plan'!$F$7:$F$156,"&lt;="&amp;E$60,'Project Plan'!$H$7:$H$156,"&gt;="&amp;E$60)</f>
        <v>0</v>
      </c>
      <c r="F76" s="32" t="n">
        <f aca="false">COUNTIFS('Project Plan'!$O$7:$O$156,$A76,'Project Plan'!$F$7:$F$156,"&lt;="&amp;F$60,'Project Plan'!$H$7:$H$156,"&gt;="&amp;F$60)+0.25*COUNTIFS('Project Plan'!$V$7:$V$156,"*;"&amp;$A76&amp;";*",'Project Plan'!$O$7:$O$156,"&lt;&gt;"&amp;$A76,'Project Plan'!$F$7:$F$156,"&lt;="&amp;F$60,'Project Plan'!$H$7:$H$156,"&gt;="&amp;F$60)</f>
        <v>0</v>
      </c>
      <c r="G76" s="32" t="n">
        <f aca="false">COUNTIFS('Project Plan'!$O$7:$O$156,$A76,'Project Plan'!$F$7:$F$156,"&lt;="&amp;G$60,'Project Plan'!$H$7:$H$156,"&gt;="&amp;G$60)+0.25*COUNTIFS('Project Plan'!$V$7:$V$156,"*;"&amp;$A76&amp;";*",'Project Plan'!$O$7:$O$156,"&lt;&gt;"&amp;$A76,'Project Plan'!$F$7:$F$156,"&lt;="&amp;G$60,'Project Plan'!$H$7:$H$156,"&gt;="&amp;G$60)</f>
        <v>0</v>
      </c>
      <c r="H76" s="32" t="n">
        <f aca="false">COUNTIFS('Project Plan'!$O$7:$O$156,$A76,'Project Plan'!$F$7:$F$156,"&lt;="&amp;H$60,'Project Plan'!$H$7:$H$156,"&gt;="&amp;H$60)+0.25*COUNTIFS('Project Plan'!$V$7:$V$156,"*;"&amp;$A76&amp;";*",'Project Plan'!$O$7:$O$156,"&lt;&gt;"&amp;$A76,'Project Plan'!$F$7:$F$156,"&lt;="&amp;H$60,'Project Plan'!$H$7:$H$156,"&gt;="&amp;H$60)</f>
        <v>0</v>
      </c>
      <c r="I76" s="32" t="n">
        <f aca="false">COUNTIFS('Project Plan'!$O$7:$O$156,$A76,'Project Plan'!$F$7:$F$156,"&lt;="&amp;I$60,'Project Plan'!$H$7:$H$156,"&gt;="&amp;I$60)+0.25*COUNTIFS('Project Plan'!$V$7:$V$156,"*;"&amp;$A76&amp;";*",'Project Plan'!$O$7:$O$156,"&lt;&gt;"&amp;$A76,'Project Plan'!$F$7:$F$156,"&lt;="&amp;I$60,'Project Plan'!$H$7:$H$156,"&gt;="&amp;I$60)</f>
        <v>0</v>
      </c>
      <c r="J76" s="32" t="n">
        <f aca="false">COUNTIFS('Project Plan'!$O$7:$O$156,$A76,'Project Plan'!$F$7:$F$156,"&lt;="&amp;J$60,'Project Plan'!$H$7:$H$156,"&gt;="&amp;J$60)+0.25*COUNTIFS('Project Plan'!$V$7:$V$156,"*;"&amp;$A76&amp;";*",'Project Plan'!$O$7:$O$156,"&lt;&gt;"&amp;$A76,'Project Plan'!$F$7:$F$156,"&lt;="&amp;J$60,'Project Plan'!$H$7:$H$156,"&gt;="&amp;J$60)</f>
        <v>0</v>
      </c>
      <c r="K76" s="32" t="n">
        <f aca="false">COUNTIFS('Project Plan'!$O$7:$O$156,$A76,'Project Plan'!$F$7:$F$156,"&lt;="&amp;K$60,'Project Plan'!$H$7:$H$156,"&gt;="&amp;K$60)+0.25*COUNTIFS('Project Plan'!$V$7:$V$156,"*;"&amp;$A76&amp;";*",'Project Plan'!$O$7:$O$156,"&lt;&gt;"&amp;$A76,'Project Plan'!$F$7:$F$156,"&lt;="&amp;K$60,'Project Plan'!$H$7:$H$156,"&gt;="&amp;K$60)</f>
        <v>0</v>
      </c>
      <c r="L76" s="32" t="n">
        <f aca="false">COUNTIFS('Project Plan'!$O$7:$O$156,$A76,'Project Plan'!$F$7:$F$156,"&lt;="&amp;L$60,'Project Plan'!$H$7:$H$156,"&gt;="&amp;L$60)+0.25*COUNTIFS('Project Plan'!$V$7:$V$156,"*;"&amp;$A76&amp;";*",'Project Plan'!$O$7:$O$156,"&lt;&gt;"&amp;$A76,'Project Plan'!$F$7:$F$156,"&lt;="&amp;L$60,'Project Plan'!$H$7:$H$156,"&gt;="&amp;L$60)</f>
        <v>0</v>
      </c>
      <c r="M76" s="32" t="n">
        <f aca="false">COUNTIFS('Project Plan'!$O$7:$O$156,$A76,'Project Plan'!$F$7:$F$156,"&lt;="&amp;M$60,'Project Plan'!$H$7:$H$156,"&gt;="&amp;M$60)+0.25*COUNTIFS('Project Plan'!$V$7:$V$156,"*;"&amp;$A76&amp;";*",'Project Plan'!$O$7:$O$156,"&lt;&gt;"&amp;$A76,'Project Plan'!$F$7:$F$156,"&lt;="&amp;M$60,'Project Plan'!$H$7:$H$156,"&gt;="&amp;M$60)</f>
        <v>0</v>
      </c>
      <c r="N76" s="32" t="n">
        <f aca="false">COUNTIFS('Project Plan'!$O$7:$O$156,$A76,'Project Plan'!$F$7:$F$156,"&lt;="&amp;N$60,'Project Plan'!$H$7:$H$156,"&gt;="&amp;N$60)+0.25*COUNTIFS('Project Plan'!$V$7:$V$156,"*;"&amp;$A76&amp;";*",'Project Plan'!$O$7:$O$156,"&lt;&gt;"&amp;$A76,'Project Plan'!$F$7:$F$156,"&lt;="&amp;N$60,'Project Plan'!$H$7:$H$156,"&gt;="&amp;N$60)</f>
        <v>0</v>
      </c>
      <c r="O76" s="32" t="n">
        <f aca="false">COUNTIFS('Project Plan'!$O$7:$O$156,$A76,'Project Plan'!$F$7:$F$156,"&lt;="&amp;O$60,'Project Plan'!$H$7:$H$156,"&gt;="&amp;O$60)+0.25*COUNTIFS('Project Plan'!$V$7:$V$156,"*;"&amp;$A76&amp;";*",'Project Plan'!$O$7:$O$156,"&lt;&gt;"&amp;$A76,'Project Plan'!$F$7:$F$156,"&lt;="&amp;O$60,'Project Plan'!$H$7:$H$156,"&gt;="&amp;O$60)</f>
        <v>0</v>
      </c>
      <c r="P76" s="32" t="n">
        <f aca="false">COUNTIFS('Project Plan'!$O$7:$O$156,$A76,'Project Plan'!$F$7:$F$156,"&lt;="&amp;P$60,'Project Plan'!$H$7:$H$156,"&gt;="&amp;P$60)+0.25*COUNTIFS('Project Plan'!$V$7:$V$156,"*;"&amp;$A76&amp;";*",'Project Plan'!$O$7:$O$156,"&lt;&gt;"&amp;$A76,'Project Plan'!$F$7:$F$156,"&lt;="&amp;P$60,'Project Plan'!$H$7:$H$156,"&gt;="&amp;P$60)</f>
        <v>0</v>
      </c>
      <c r="Q76" s="32" t="n">
        <f aca="false">COUNTIFS('Project Plan'!$O$7:$O$156,$A76,'Project Plan'!$F$7:$F$156,"&lt;="&amp;Q$60,'Project Plan'!$H$7:$H$156,"&gt;="&amp;Q$60)+0.25*COUNTIFS('Project Plan'!$V$7:$V$156,"*;"&amp;$A76&amp;";*",'Project Plan'!$O$7:$O$156,"&lt;&gt;"&amp;$A76,'Project Plan'!$F$7:$F$156,"&lt;="&amp;Q$60,'Project Plan'!$H$7:$H$156,"&gt;="&amp;Q$60)</f>
        <v>0</v>
      </c>
      <c r="R76" s="32" t="n">
        <f aca="false">COUNTIFS('Project Plan'!$O$7:$O$156,$A76,'Project Plan'!$F$7:$F$156,"&lt;="&amp;R$60,'Project Plan'!$H$7:$H$156,"&gt;="&amp;R$60)+0.25*COUNTIFS('Project Plan'!$V$7:$V$156,"*;"&amp;$A76&amp;";*",'Project Plan'!$O$7:$O$156,"&lt;&gt;"&amp;$A76,'Project Plan'!$F$7:$F$156,"&lt;="&amp;R$60,'Project Plan'!$H$7:$H$156,"&gt;="&amp;R$60)</f>
        <v>0</v>
      </c>
      <c r="S76" s="32" t="n">
        <f aca="false">COUNTIFS('Project Plan'!$O$7:$O$156,$A76,'Project Plan'!$F$7:$F$156,"&lt;="&amp;S$60,'Project Plan'!$H$7:$H$156,"&gt;="&amp;S$60)+0.25*COUNTIFS('Project Plan'!$V$7:$V$156,"*;"&amp;$A76&amp;";*",'Project Plan'!$O$7:$O$156,"&lt;&gt;"&amp;$A76,'Project Plan'!$F$7:$F$156,"&lt;="&amp;S$60,'Project Plan'!$H$7:$H$156,"&gt;="&amp;S$60)</f>
        <v>0</v>
      </c>
      <c r="T76" s="32" t="n">
        <f aca="false">COUNTIFS('Project Plan'!$O$7:$O$156,$A76,'Project Plan'!$F$7:$F$156,"&lt;="&amp;T$60,'Project Plan'!$H$7:$H$156,"&gt;="&amp;T$60)+0.25*COUNTIFS('Project Plan'!$V$7:$V$156,"*;"&amp;$A76&amp;";*",'Project Plan'!$O$7:$O$156,"&lt;&gt;"&amp;$A76,'Project Plan'!$F$7:$F$156,"&lt;="&amp;T$60,'Project Plan'!$H$7:$H$156,"&gt;="&amp;T$60)</f>
        <v>0</v>
      </c>
      <c r="U76" s="32" t="n">
        <f aca="false">COUNTIFS('Project Plan'!$O$7:$O$156,$A76,'Project Plan'!$F$7:$F$156,"&lt;="&amp;U$60,'Project Plan'!$H$7:$H$156,"&gt;="&amp;U$60)+0.25*COUNTIFS('Project Plan'!$V$7:$V$156,"*;"&amp;$A76&amp;";*",'Project Plan'!$O$7:$O$156,"&lt;&gt;"&amp;$A76,'Project Plan'!$F$7:$F$156,"&lt;="&amp;U$60,'Project Plan'!$H$7:$H$156,"&gt;="&amp;U$60)</f>
        <v>1</v>
      </c>
      <c r="V76" s="32" t="n">
        <f aca="false">COUNTIFS('Project Plan'!$O$7:$O$156,$A76,'Project Plan'!$F$7:$F$156,"&lt;="&amp;V$60,'Project Plan'!$H$7:$H$156,"&gt;="&amp;V$60)+0.25*COUNTIFS('Project Plan'!$V$7:$V$156,"*;"&amp;$A76&amp;";*",'Project Plan'!$O$7:$O$156,"&lt;&gt;"&amp;$A76,'Project Plan'!$F$7:$F$156,"&lt;="&amp;V$60,'Project Plan'!$H$7:$H$156,"&gt;="&amp;V$60)</f>
        <v>1</v>
      </c>
      <c r="W76" s="32" t="n">
        <f aca="false">COUNTIFS('Project Plan'!$O$7:$O$156,$A76,'Project Plan'!$F$7:$F$156,"&lt;="&amp;W$60,'Project Plan'!$H$7:$H$156,"&gt;="&amp;W$60)+0.25*COUNTIFS('Project Plan'!$V$7:$V$156,"*;"&amp;$A76&amp;";*",'Project Plan'!$O$7:$O$156,"&lt;&gt;"&amp;$A76,'Project Plan'!$F$7:$F$156,"&lt;="&amp;W$60,'Project Plan'!$H$7:$H$156,"&gt;="&amp;W$60)</f>
        <v>0.25</v>
      </c>
      <c r="X76" s="32" t="n">
        <f aca="false">COUNTIFS('Project Plan'!$O$7:$O$156,$A76,'Project Plan'!$F$7:$F$156,"&lt;="&amp;X$60,'Project Plan'!$H$7:$H$156,"&gt;="&amp;X$60)+0.25*COUNTIFS('Project Plan'!$V$7:$V$156,"*;"&amp;$A76&amp;";*",'Project Plan'!$O$7:$O$156,"&lt;&gt;"&amp;$A76,'Project Plan'!$F$7:$F$156,"&lt;="&amp;X$60,'Project Plan'!$H$7:$H$156,"&gt;="&amp;X$60)</f>
        <v>0.25</v>
      </c>
      <c r="Y76" s="32" t="n">
        <f aca="false">COUNTIFS('Project Plan'!$O$7:$O$156,$A76,'Project Plan'!$F$7:$F$156,"&lt;="&amp;Y$60,'Project Plan'!$H$7:$H$156,"&gt;="&amp;Y$60)+0.25*COUNTIFS('Project Plan'!$V$7:$V$156,"*;"&amp;$A76&amp;";*",'Project Plan'!$O$7:$O$156,"&lt;&gt;"&amp;$A76,'Project Plan'!$F$7:$F$156,"&lt;="&amp;Y$60,'Project Plan'!$H$7:$H$156,"&gt;="&amp;Y$60)</f>
        <v>0.25</v>
      </c>
      <c r="Z76" s="32" t="n">
        <f aca="false">COUNTIFS('Project Plan'!$O$7:$O$156,$A76,'Project Plan'!$F$7:$F$156,"&lt;="&amp;Z$60,'Project Plan'!$H$7:$H$156,"&gt;="&amp;Z$60)+0.25*COUNTIFS('Project Plan'!$V$7:$V$156,"*;"&amp;$A76&amp;";*",'Project Plan'!$O$7:$O$156,"&lt;&gt;"&amp;$A76,'Project Plan'!$F$7:$F$156,"&lt;="&amp;Z$60,'Project Plan'!$H$7:$H$156,"&gt;="&amp;Z$60)</f>
        <v>0</v>
      </c>
      <c r="AA76" s="32" t="n">
        <f aca="false">COUNTIFS('Project Plan'!$O$7:$O$156,$A76,'Project Plan'!$F$7:$F$156,"&lt;="&amp;AA$60,'Project Plan'!$H$7:$H$156,"&gt;="&amp;AA$60)+0.25*COUNTIFS('Project Plan'!$V$7:$V$156,"*;"&amp;$A76&amp;";*",'Project Plan'!$O$7:$O$156,"&lt;&gt;"&amp;$A76,'Project Plan'!$F$7:$F$156,"&lt;="&amp;AA$60,'Project Plan'!$H$7:$H$156,"&gt;="&amp;AA$60)</f>
        <v>0</v>
      </c>
      <c r="AB76" s="32" t="n">
        <f aca="false">COUNTIFS('Project Plan'!$O$7:$O$156,$A76,'Project Plan'!$F$7:$F$156,"&lt;="&amp;AB$60,'Project Plan'!$H$7:$H$156,"&gt;="&amp;AB$60)+0.25*COUNTIFS('Project Plan'!$V$7:$V$156,"*;"&amp;$A76&amp;";*",'Project Plan'!$O$7:$O$156,"&lt;&gt;"&amp;$A76,'Project Plan'!$F$7:$F$156,"&lt;="&amp;AB$60,'Project Plan'!$H$7:$H$156,"&gt;="&amp;AB$60)</f>
        <v>0</v>
      </c>
      <c r="AC76" s="32" t="n">
        <f aca="false">COUNTIFS('Project Plan'!$O$7:$O$156,$A76,'Project Plan'!$F$7:$F$156,"&lt;="&amp;AC$60,'Project Plan'!$H$7:$H$156,"&gt;="&amp;AC$60)+0.25*COUNTIFS('Project Plan'!$V$7:$V$156,"*;"&amp;$A76&amp;";*",'Project Plan'!$O$7:$O$156,"&lt;&gt;"&amp;$A76,'Project Plan'!$F$7:$F$156,"&lt;="&amp;AC$60,'Project Plan'!$H$7:$H$156,"&gt;="&amp;AC$60)</f>
        <v>0</v>
      </c>
    </row>
    <row r="77" customFormat="false" ht="15" hidden="false" customHeight="false" outlineLevel="0" collapsed="false">
      <c r="A77" s="0" t="str">
        <f aca="false">A21</f>
        <v>RDA</v>
      </c>
      <c r="B77" s="0" t="n">
        <f aca="false">4*E21</f>
        <v>0</v>
      </c>
      <c r="C77" s="32" t="n">
        <f aca="false">COUNTIFS('Project Plan'!$O$7:$O$156,$A77,'Project Plan'!$F$7:$F$156,"&lt;="&amp;C$60,'Project Plan'!$H$7:$H$156,"&gt;="&amp;C$60)+0.25*COUNTIFS('Project Plan'!$V$7:$V$156,"*;"&amp;$A77&amp;";*",'Project Plan'!$O$7:$O$156,"&lt;&gt;"&amp;$A77,'Project Plan'!$F$7:$F$156,"&lt;="&amp;C$60,'Project Plan'!$H$7:$H$156,"&gt;="&amp;C$60)</f>
        <v>0</v>
      </c>
      <c r="D77" s="32" t="n">
        <f aca="false">COUNTIFS('Project Plan'!$O$7:$O$156,$A77,'Project Plan'!$F$7:$F$156,"&lt;="&amp;D$60,'Project Plan'!$H$7:$H$156,"&gt;="&amp;D$60)+0.25*COUNTIFS('Project Plan'!$V$7:$V$156,"*;"&amp;$A77&amp;";*",'Project Plan'!$O$7:$O$156,"&lt;&gt;"&amp;$A77,'Project Plan'!$F$7:$F$156,"&lt;="&amp;D$60,'Project Plan'!$H$7:$H$156,"&gt;="&amp;D$60)</f>
        <v>0</v>
      </c>
      <c r="E77" s="32" t="n">
        <f aca="false">COUNTIFS('Project Plan'!$O$7:$O$156,$A77,'Project Plan'!$F$7:$F$156,"&lt;="&amp;E$60,'Project Plan'!$H$7:$H$156,"&gt;="&amp;E$60)+0.25*COUNTIFS('Project Plan'!$V$7:$V$156,"*;"&amp;$A77&amp;";*",'Project Plan'!$O$7:$O$156,"&lt;&gt;"&amp;$A77,'Project Plan'!$F$7:$F$156,"&lt;="&amp;E$60,'Project Plan'!$H$7:$H$156,"&gt;="&amp;E$60)</f>
        <v>0</v>
      </c>
      <c r="F77" s="32" t="n">
        <f aca="false">COUNTIFS('Project Plan'!$O$7:$O$156,$A77,'Project Plan'!$F$7:$F$156,"&lt;="&amp;F$60,'Project Plan'!$H$7:$H$156,"&gt;="&amp;F$60)+0.25*COUNTIFS('Project Plan'!$V$7:$V$156,"*;"&amp;$A77&amp;";*",'Project Plan'!$O$7:$O$156,"&lt;&gt;"&amp;$A77,'Project Plan'!$F$7:$F$156,"&lt;="&amp;F$60,'Project Plan'!$H$7:$H$156,"&gt;="&amp;F$60)</f>
        <v>0</v>
      </c>
      <c r="G77" s="32" t="n">
        <f aca="false">COUNTIFS('Project Plan'!$O$7:$O$156,$A77,'Project Plan'!$F$7:$F$156,"&lt;="&amp;G$60,'Project Plan'!$H$7:$H$156,"&gt;="&amp;G$60)+0.25*COUNTIFS('Project Plan'!$V$7:$V$156,"*;"&amp;$A77&amp;";*",'Project Plan'!$O$7:$O$156,"&lt;&gt;"&amp;$A77,'Project Plan'!$F$7:$F$156,"&lt;="&amp;G$60,'Project Plan'!$H$7:$H$156,"&gt;="&amp;G$60)</f>
        <v>0</v>
      </c>
      <c r="H77" s="32" t="n">
        <f aca="false">COUNTIFS('Project Plan'!$O$7:$O$156,$A77,'Project Plan'!$F$7:$F$156,"&lt;="&amp;H$60,'Project Plan'!$H$7:$H$156,"&gt;="&amp;H$60)+0.25*COUNTIFS('Project Plan'!$V$7:$V$156,"*;"&amp;$A77&amp;";*",'Project Plan'!$O$7:$O$156,"&lt;&gt;"&amp;$A77,'Project Plan'!$F$7:$F$156,"&lt;="&amp;H$60,'Project Plan'!$H$7:$H$156,"&gt;="&amp;H$60)</f>
        <v>0</v>
      </c>
      <c r="I77" s="32" t="n">
        <f aca="false">COUNTIFS('Project Plan'!$O$7:$O$156,$A77,'Project Plan'!$F$7:$F$156,"&lt;="&amp;I$60,'Project Plan'!$H$7:$H$156,"&gt;="&amp;I$60)+0.25*COUNTIFS('Project Plan'!$V$7:$V$156,"*;"&amp;$A77&amp;";*",'Project Plan'!$O$7:$O$156,"&lt;&gt;"&amp;$A77,'Project Plan'!$F$7:$F$156,"&lt;="&amp;I$60,'Project Plan'!$H$7:$H$156,"&gt;="&amp;I$60)</f>
        <v>0</v>
      </c>
      <c r="J77" s="32" t="n">
        <f aca="false">COUNTIFS('Project Plan'!$O$7:$O$156,$A77,'Project Plan'!$F$7:$F$156,"&lt;="&amp;J$60,'Project Plan'!$H$7:$H$156,"&gt;="&amp;J$60)+0.25*COUNTIFS('Project Plan'!$V$7:$V$156,"*;"&amp;$A77&amp;";*",'Project Plan'!$O$7:$O$156,"&lt;&gt;"&amp;$A77,'Project Plan'!$F$7:$F$156,"&lt;="&amp;J$60,'Project Plan'!$H$7:$H$156,"&gt;="&amp;J$60)</f>
        <v>0</v>
      </c>
      <c r="K77" s="32" t="n">
        <f aca="false">COUNTIFS('Project Plan'!$O$7:$O$156,$A77,'Project Plan'!$F$7:$F$156,"&lt;="&amp;K$60,'Project Plan'!$H$7:$H$156,"&gt;="&amp;K$60)+0.25*COUNTIFS('Project Plan'!$V$7:$V$156,"*;"&amp;$A77&amp;";*",'Project Plan'!$O$7:$O$156,"&lt;&gt;"&amp;$A77,'Project Plan'!$F$7:$F$156,"&lt;="&amp;K$60,'Project Plan'!$H$7:$H$156,"&gt;="&amp;K$60)</f>
        <v>0</v>
      </c>
      <c r="L77" s="32" t="n">
        <f aca="false">COUNTIFS('Project Plan'!$O$7:$O$156,$A77,'Project Plan'!$F$7:$F$156,"&lt;="&amp;L$60,'Project Plan'!$H$7:$H$156,"&gt;="&amp;L$60)+0.25*COUNTIFS('Project Plan'!$V$7:$V$156,"*;"&amp;$A77&amp;";*",'Project Plan'!$O$7:$O$156,"&lt;&gt;"&amp;$A77,'Project Plan'!$F$7:$F$156,"&lt;="&amp;L$60,'Project Plan'!$H$7:$H$156,"&gt;="&amp;L$60)</f>
        <v>0</v>
      </c>
      <c r="M77" s="32" t="n">
        <f aca="false">COUNTIFS('Project Plan'!$O$7:$O$156,$A77,'Project Plan'!$F$7:$F$156,"&lt;="&amp;M$60,'Project Plan'!$H$7:$H$156,"&gt;="&amp;M$60)+0.25*COUNTIFS('Project Plan'!$V$7:$V$156,"*;"&amp;$A77&amp;";*",'Project Plan'!$O$7:$O$156,"&lt;&gt;"&amp;$A77,'Project Plan'!$F$7:$F$156,"&lt;="&amp;M$60,'Project Plan'!$H$7:$H$156,"&gt;="&amp;M$60)</f>
        <v>0</v>
      </c>
      <c r="N77" s="32" t="n">
        <f aca="false">COUNTIFS('Project Plan'!$O$7:$O$156,$A77,'Project Plan'!$F$7:$F$156,"&lt;="&amp;N$60,'Project Plan'!$H$7:$H$156,"&gt;="&amp;N$60)+0.25*COUNTIFS('Project Plan'!$V$7:$V$156,"*;"&amp;$A77&amp;";*",'Project Plan'!$O$7:$O$156,"&lt;&gt;"&amp;$A77,'Project Plan'!$F$7:$F$156,"&lt;="&amp;N$60,'Project Plan'!$H$7:$H$156,"&gt;="&amp;N$60)</f>
        <v>0</v>
      </c>
      <c r="O77" s="32" t="n">
        <f aca="false">COUNTIFS('Project Plan'!$O$7:$O$156,$A77,'Project Plan'!$F$7:$F$156,"&lt;="&amp;O$60,'Project Plan'!$H$7:$H$156,"&gt;="&amp;O$60)+0.25*COUNTIFS('Project Plan'!$V$7:$V$156,"*;"&amp;$A77&amp;";*",'Project Plan'!$O$7:$O$156,"&lt;&gt;"&amp;$A77,'Project Plan'!$F$7:$F$156,"&lt;="&amp;O$60,'Project Plan'!$H$7:$H$156,"&gt;="&amp;O$60)</f>
        <v>0</v>
      </c>
      <c r="P77" s="32" t="n">
        <f aca="false">COUNTIFS('Project Plan'!$O$7:$O$156,$A77,'Project Plan'!$F$7:$F$156,"&lt;="&amp;P$60,'Project Plan'!$H$7:$H$156,"&gt;="&amp;P$60)+0.25*COUNTIFS('Project Plan'!$V$7:$V$156,"*;"&amp;$A77&amp;";*",'Project Plan'!$O$7:$O$156,"&lt;&gt;"&amp;$A77,'Project Plan'!$F$7:$F$156,"&lt;="&amp;P$60,'Project Plan'!$H$7:$H$156,"&gt;="&amp;P$60)</f>
        <v>0</v>
      </c>
      <c r="Q77" s="32" t="n">
        <f aca="false">COUNTIFS('Project Plan'!$O$7:$O$156,$A77,'Project Plan'!$F$7:$F$156,"&lt;="&amp;Q$60,'Project Plan'!$H$7:$H$156,"&gt;="&amp;Q$60)+0.25*COUNTIFS('Project Plan'!$V$7:$V$156,"*;"&amp;$A77&amp;";*",'Project Plan'!$O$7:$O$156,"&lt;&gt;"&amp;$A77,'Project Plan'!$F$7:$F$156,"&lt;="&amp;Q$60,'Project Plan'!$H$7:$H$156,"&gt;="&amp;Q$60)</f>
        <v>0</v>
      </c>
      <c r="R77" s="32" t="n">
        <f aca="false">COUNTIFS('Project Plan'!$O$7:$O$156,$A77,'Project Plan'!$F$7:$F$156,"&lt;="&amp;R$60,'Project Plan'!$H$7:$H$156,"&gt;="&amp;R$60)+0.25*COUNTIFS('Project Plan'!$V$7:$V$156,"*;"&amp;$A77&amp;";*",'Project Plan'!$O$7:$O$156,"&lt;&gt;"&amp;$A77,'Project Plan'!$F$7:$F$156,"&lt;="&amp;R$60,'Project Plan'!$H$7:$H$156,"&gt;="&amp;R$60)</f>
        <v>0</v>
      </c>
      <c r="S77" s="32" t="n">
        <f aca="false">COUNTIFS('Project Plan'!$O$7:$O$156,$A77,'Project Plan'!$F$7:$F$156,"&lt;="&amp;S$60,'Project Plan'!$H$7:$H$156,"&gt;="&amp;S$60)+0.25*COUNTIFS('Project Plan'!$V$7:$V$156,"*;"&amp;$A77&amp;";*",'Project Plan'!$O$7:$O$156,"&lt;&gt;"&amp;$A77,'Project Plan'!$F$7:$F$156,"&lt;="&amp;S$60,'Project Plan'!$H$7:$H$156,"&gt;="&amp;S$60)</f>
        <v>0</v>
      </c>
      <c r="T77" s="32" t="n">
        <f aca="false">COUNTIFS('Project Plan'!$O$7:$O$156,$A77,'Project Plan'!$F$7:$F$156,"&lt;="&amp;T$60,'Project Plan'!$H$7:$H$156,"&gt;="&amp;T$60)+0.25*COUNTIFS('Project Plan'!$V$7:$V$156,"*;"&amp;$A77&amp;";*",'Project Plan'!$O$7:$O$156,"&lt;&gt;"&amp;$A77,'Project Plan'!$F$7:$F$156,"&lt;="&amp;T$60,'Project Plan'!$H$7:$H$156,"&gt;="&amp;T$60)</f>
        <v>1</v>
      </c>
      <c r="U77" s="32" t="n">
        <f aca="false">COUNTIFS('Project Plan'!$O$7:$O$156,$A77,'Project Plan'!$F$7:$F$156,"&lt;="&amp;U$60,'Project Plan'!$H$7:$H$156,"&gt;="&amp;U$60)+0.25*COUNTIFS('Project Plan'!$V$7:$V$156,"*;"&amp;$A77&amp;";*",'Project Plan'!$O$7:$O$156,"&lt;&gt;"&amp;$A77,'Project Plan'!$F$7:$F$156,"&lt;="&amp;U$60,'Project Plan'!$H$7:$H$156,"&gt;="&amp;U$60)</f>
        <v>1</v>
      </c>
      <c r="V77" s="32" t="n">
        <f aca="false">COUNTIFS('Project Plan'!$O$7:$O$156,$A77,'Project Plan'!$F$7:$F$156,"&lt;="&amp;V$60,'Project Plan'!$H$7:$H$156,"&gt;="&amp;V$60)+0.25*COUNTIFS('Project Plan'!$V$7:$V$156,"*;"&amp;$A77&amp;";*",'Project Plan'!$O$7:$O$156,"&lt;&gt;"&amp;$A77,'Project Plan'!$F$7:$F$156,"&lt;="&amp;V$60,'Project Plan'!$H$7:$H$156,"&gt;="&amp;V$60)</f>
        <v>0</v>
      </c>
      <c r="W77" s="32" t="n">
        <f aca="false">COUNTIFS('Project Plan'!$O$7:$O$156,$A77,'Project Plan'!$F$7:$F$156,"&lt;="&amp;W$60,'Project Plan'!$H$7:$H$156,"&gt;="&amp;W$60)+0.25*COUNTIFS('Project Plan'!$V$7:$V$156,"*;"&amp;$A77&amp;";*",'Project Plan'!$O$7:$O$156,"&lt;&gt;"&amp;$A77,'Project Plan'!$F$7:$F$156,"&lt;="&amp;W$60,'Project Plan'!$H$7:$H$156,"&gt;="&amp;W$60)</f>
        <v>0</v>
      </c>
      <c r="X77" s="32" t="n">
        <f aca="false">COUNTIFS('Project Plan'!$O$7:$O$156,$A77,'Project Plan'!$F$7:$F$156,"&lt;="&amp;X$60,'Project Plan'!$H$7:$H$156,"&gt;="&amp;X$60)+0.25*COUNTIFS('Project Plan'!$V$7:$V$156,"*;"&amp;$A77&amp;";*",'Project Plan'!$O$7:$O$156,"&lt;&gt;"&amp;$A77,'Project Plan'!$F$7:$F$156,"&lt;="&amp;X$60,'Project Plan'!$H$7:$H$156,"&gt;="&amp;X$60)</f>
        <v>0</v>
      </c>
      <c r="Y77" s="32" t="n">
        <f aca="false">COUNTIFS('Project Plan'!$O$7:$O$156,$A77,'Project Plan'!$F$7:$F$156,"&lt;="&amp;Y$60,'Project Plan'!$H$7:$H$156,"&gt;="&amp;Y$60)+0.25*COUNTIFS('Project Plan'!$V$7:$V$156,"*;"&amp;$A77&amp;";*",'Project Plan'!$O$7:$O$156,"&lt;&gt;"&amp;$A77,'Project Plan'!$F$7:$F$156,"&lt;="&amp;Y$60,'Project Plan'!$H$7:$H$156,"&gt;="&amp;Y$60)</f>
        <v>0</v>
      </c>
      <c r="Z77" s="32" t="n">
        <f aca="false">COUNTIFS('Project Plan'!$O$7:$O$156,$A77,'Project Plan'!$F$7:$F$156,"&lt;="&amp;Z$60,'Project Plan'!$H$7:$H$156,"&gt;="&amp;Z$60)+0.25*COUNTIFS('Project Plan'!$V$7:$V$156,"*;"&amp;$A77&amp;";*",'Project Plan'!$O$7:$O$156,"&lt;&gt;"&amp;$A77,'Project Plan'!$F$7:$F$156,"&lt;="&amp;Z$60,'Project Plan'!$H$7:$H$156,"&gt;="&amp;Z$60)</f>
        <v>0</v>
      </c>
      <c r="AA77" s="32" t="n">
        <f aca="false">COUNTIFS('Project Plan'!$O$7:$O$156,$A77,'Project Plan'!$F$7:$F$156,"&lt;="&amp;AA$60,'Project Plan'!$H$7:$H$156,"&gt;="&amp;AA$60)+0.25*COUNTIFS('Project Plan'!$V$7:$V$156,"*;"&amp;$A77&amp;";*",'Project Plan'!$O$7:$O$156,"&lt;&gt;"&amp;$A77,'Project Plan'!$F$7:$F$156,"&lt;="&amp;AA$60,'Project Plan'!$H$7:$H$156,"&gt;="&amp;AA$60)</f>
        <v>0</v>
      </c>
      <c r="AB77" s="32" t="n">
        <f aca="false">COUNTIFS('Project Plan'!$O$7:$O$156,$A77,'Project Plan'!$F$7:$F$156,"&lt;="&amp;AB$60,'Project Plan'!$H$7:$H$156,"&gt;="&amp;AB$60)+0.25*COUNTIFS('Project Plan'!$V$7:$V$156,"*;"&amp;$A77&amp;";*",'Project Plan'!$O$7:$O$156,"&lt;&gt;"&amp;$A77,'Project Plan'!$F$7:$F$156,"&lt;="&amp;AB$60,'Project Plan'!$H$7:$H$156,"&gt;="&amp;AB$60)</f>
        <v>0</v>
      </c>
      <c r="AC77" s="32" t="n">
        <f aca="false">COUNTIFS('Project Plan'!$O$7:$O$156,$A77,'Project Plan'!$F$7:$F$156,"&lt;="&amp;AC$60,'Project Plan'!$H$7:$H$156,"&gt;="&amp;AC$60)+0.25*COUNTIFS('Project Plan'!$V$7:$V$156,"*;"&amp;$A77&amp;";*",'Project Plan'!$O$7:$O$156,"&lt;&gt;"&amp;$A77,'Project Plan'!$F$7:$F$156,"&lt;="&amp;AC$60,'Project Plan'!$H$7:$H$156,"&gt;="&amp;AC$60)</f>
        <v>0</v>
      </c>
    </row>
    <row r="78" customFormat="false" ht="15" hidden="false" customHeight="false" outlineLevel="0" collapsed="false">
      <c r="A78" s="0" t="str">
        <f aca="false">A22</f>
        <v>CPA</v>
      </c>
      <c r="B78" s="0" t="n">
        <f aca="false">4*E22</f>
        <v>0</v>
      </c>
      <c r="C78" s="32" t="n">
        <f aca="false">COUNTIFS('Project Plan'!$O$7:$O$156,$A78,'Project Plan'!$F$7:$F$156,"&lt;="&amp;C$60,'Project Plan'!$H$7:$H$156,"&gt;="&amp;C$60)+0.25*COUNTIFS('Project Plan'!$V$7:$V$156,"*;"&amp;$A78&amp;";*",'Project Plan'!$O$7:$O$156,"&lt;&gt;"&amp;$A78,'Project Plan'!$F$7:$F$156,"&lt;="&amp;C$60,'Project Plan'!$H$7:$H$156,"&gt;="&amp;C$60)</f>
        <v>0</v>
      </c>
      <c r="D78" s="32" t="n">
        <f aca="false">COUNTIFS('Project Plan'!$O$7:$O$156,$A78,'Project Plan'!$F$7:$F$156,"&lt;="&amp;D$60,'Project Plan'!$H$7:$H$156,"&gt;="&amp;D$60)+0.25*COUNTIFS('Project Plan'!$V$7:$V$156,"*;"&amp;$A78&amp;";*",'Project Plan'!$O$7:$O$156,"&lt;&gt;"&amp;$A78,'Project Plan'!$F$7:$F$156,"&lt;="&amp;D$60,'Project Plan'!$H$7:$H$156,"&gt;="&amp;D$60)</f>
        <v>0</v>
      </c>
      <c r="E78" s="32" t="n">
        <f aca="false">COUNTIFS('Project Plan'!$O$7:$O$156,$A78,'Project Plan'!$F$7:$F$156,"&lt;="&amp;E$60,'Project Plan'!$H$7:$H$156,"&gt;="&amp;E$60)+0.25*COUNTIFS('Project Plan'!$V$7:$V$156,"*;"&amp;$A78&amp;";*",'Project Plan'!$O$7:$O$156,"&lt;&gt;"&amp;$A78,'Project Plan'!$F$7:$F$156,"&lt;="&amp;E$60,'Project Plan'!$H$7:$H$156,"&gt;="&amp;E$60)</f>
        <v>0</v>
      </c>
      <c r="F78" s="32" t="n">
        <f aca="false">COUNTIFS('Project Plan'!$O$7:$O$156,$A78,'Project Plan'!$F$7:$F$156,"&lt;="&amp;F$60,'Project Plan'!$H$7:$H$156,"&gt;="&amp;F$60)+0.25*COUNTIFS('Project Plan'!$V$7:$V$156,"*;"&amp;$A78&amp;";*",'Project Plan'!$O$7:$O$156,"&lt;&gt;"&amp;$A78,'Project Plan'!$F$7:$F$156,"&lt;="&amp;F$60,'Project Plan'!$H$7:$H$156,"&gt;="&amp;F$60)</f>
        <v>0</v>
      </c>
      <c r="G78" s="32" t="n">
        <f aca="false">COUNTIFS('Project Plan'!$O$7:$O$156,$A78,'Project Plan'!$F$7:$F$156,"&lt;="&amp;G$60,'Project Plan'!$H$7:$H$156,"&gt;="&amp;G$60)+0.25*COUNTIFS('Project Plan'!$V$7:$V$156,"*;"&amp;$A78&amp;";*",'Project Plan'!$O$7:$O$156,"&lt;&gt;"&amp;$A78,'Project Plan'!$F$7:$F$156,"&lt;="&amp;G$60,'Project Plan'!$H$7:$H$156,"&gt;="&amp;G$60)</f>
        <v>0</v>
      </c>
      <c r="H78" s="32" t="n">
        <f aca="false">COUNTIFS('Project Plan'!$O$7:$O$156,$A78,'Project Plan'!$F$7:$F$156,"&lt;="&amp;H$60,'Project Plan'!$H$7:$H$156,"&gt;="&amp;H$60)+0.25*COUNTIFS('Project Plan'!$V$7:$V$156,"*;"&amp;$A78&amp;";*",'Project Plan'!$O$7:$O$156,"&lt;&gt;"&amp;$A78,'Project Plan'!$F$7:$F$156,"&lt;="&amp;H$60,'Project Plan'!$H$7:$H$156,"&gt;="&amp;H$60)</f>
        <v>0.25</v>
      </c>
      <c r="I78" s="32" t="n">
        <f aca="false">COUNTIFS('Project Plan'!$O$7:$O$156,$A78,'Project Plan'!$F$7:$F$156,"&lt;="&amp;I$60,'Project Plan'!$H$7:$H$156,"&gt;="&amp;I$60)+0.25*COUNTIFS('Project Plan'!$V$7:$V$156,"*;"&amp;$A78&amp;";*",'Project Plan'!$O$7:$O$156,"&lt;&gt;"&amp;$A78,'Project Plan'!$F$7:$F$156,"&lt;="&amp;I$60,'Project Plan'!$H$7:$H$156,"&gt;="&amp;I$60)</f>
        <v>0.25</v>
      </c>
      <c r="J78" s="32" t="n">
        <f aca="false">COUNTIFS('Project Plan'!$O$7:$O$156,$A78,'Project Plan'!$F$7:$F$156,"&lt;="&amp;J$60,'Project Plan'!$H$7:$H$156,"&gt;="&amp;J$60)+0.25*COUNTIFS('Project Plan'!$V$7:$V$156,"*;"&amp;$A78&amp;";*",'Project Plan'!$O$7:$O$156,"&lt;&gt;"&amp;$A78,'Project Plan'!$F$7:$F$156,"&lt;="&amp;J$60,'Project Plan'!$H$7:$H$156,"&gt;="&amp;J$60)</f>
        <v>0.25</v>
      </c>
      <c r="K78" s="32" t="n">
        <f aca="false">COUNTIFS('Project Plan'!$O$7:$O$156,$A78,'Project Plan'!$F$7:$F$156,"&lt;="&amp;K$60,'Project Plan'!$H$7:$H$156,"&gt;="&amp;K$60)+0.25*COUNTIFS('Project Plan'!$V$7:$V$156,"*;"&amp;$A78&amp;";*",'Project Plan'!$O$7:$O$156,"&lt;&gt;"&amp;$A78,'Project Plan'!$F$7:$F$156,"&lt;="&amp;K$60,'Project Plan'!$H$7:$H$156,"&gt;="&amp;K$60)</f>
        <v>0</v>
      </c>
      <c r="L78" s="32" t="n">
        <f aca="false">COUNTIFS('Project Plan'!$O$7:$O$156,$A78,'Project Plan'!$F$7:$F$156,"&lt;="&amp;L$60,'Project Plan'!$H$7:$H$156,"&gt;="&amp;L$60)+0.25*COUNTIFS('Project Plan'!$V$7:$V$156,"*;"&amp;$A78&amp;";*",'Project Plan'!$O$7:$O$156,"&lt;&gt;"&amp;$A78,'Project Plan'!$F$7:$F$156,"&lt;="&amp;L$60,'Project Plan'!$H$7:$H$156,"&gt;="&amp;L$60)</f>
        <v>0</v>
      </c>
      <c r="M78" s="32" t="n">
        <f aca="false">COUNTIFS('Project Plan'!$O$7:$O$156,$A78,'Project Plan'!$F$7:$F$156,"&lt;="&amp;M$60,'Project Plan'!$H$7:$H$156,"&gt;="&amp;M$60)+0.25*COUNTIFS('Project Plan'!$V$7:$V$156,"*;"&amp;$A78&amp;";*",'Project Plan'!$O$7:$O$156,"&lt;&gt;"&amp;$A78,'Project Plan'!$F$7:$F$156,"&lt;="&amp;M$60,'Project Plan'!$H$7:$H$156,"&gt;="&amp;M$60)</f>
        <v>0</v>
      </c>
      <c r="N78" s="32" t="n">
        <f aca="false">COUNTIFS('Project Plan'!$O$7:$O$156,$A78,'Project Plan'!$F$7:$F$156,"&lt;="&amp;N$60,'Project Plan'!$H$7:$H$156,"&gt;="&amp;N$60)+0.25*COUNTIFS('Project Plan'!$V$7:$V$156,"*;"&amp;$A78&amp;";*",'Project Plan'!$O$7:$O$156,"&lt;&gt;"&amp;$A78,'Project Plan'!$F$7:$F$156,"&lt;="&amp;N$60,'Project Plan'!$H$7:$H$156,"&gt;="&amp;N$60)</f>
        <v>0</v>
      </c>
      <c r="O78" s="32" t="n">
        <f aca="false">COUNTIFS('Project Plan'!$O$7:$O$156,$A78,'Project Plan'!$F$7:$F$156,"&lt;="&amp;O$60,'Project Plan'!$H$7:$H$156,"&gt;="&amp;O$60)+0.25*COUNTIFS('Project Plan'!$V$7:$V$156,"*;"&amp;$A78&amp;";*",'Project Plan'!$O$7:$O$156,"&lt;&gt;"&amp;$A78,'Project Plan'!$F$7:$F$156,"&lt;="&amp;O$60,'Project Plan'!$H$7:$H$156,"&gt;="&amp;O$60)</f>
        <v>0</v>
      </c>
      <c r="P78" s="32" t="n">
        <f aca="false">COUNTIFS('Project Plan'!$O$7:$O$156,$A78,'Project Plan'!$F$7:$F$156,"&lt;="&amp;P$60,'Project Plan'!$H$7:$H$156,"&gt;="&amp;P$60)+0.25*COUNTIFS('Project Plan'!$V$7:$V$156,"*;"&amp;$A78&amp;";*",'Project Plan'!$O$7:$O$156,"&lt;&gt;"&amp;$A78,'Project Plan'!$F$7:$F$156,"&lt;="&amp;P$60,'Project Plan'!$H$7:$H$156,"&gt;="&amp;P$60)</f>
        <v>0</v>
      </c>
      <c r="Q78" s="32" t="n">
        <f aca="false">COUNTIFS('Project Plan'!$O$7:$O$156,$A78,'Project Plan'!$F$7:$F$156,"&lt;="&amp;Q$60,'Project Plan'!$H$7:$H$156,"&gt;="&amp;Q$60)+0.25*COUNTIFS('Project Plan'!$V$7:$V$156,"*;"&amp;$A78&amp;";*",'Project Plan'!$O$7:$O$156,"&lt;&gt;"&amp;$A78,'Project Plan'!$F$7:$F$156,"&lt;="&amp;Q$60,'Project Plan'!$H$7:$H$156,"&gt;="&amp;Q$60)</f>
        <v>0</v>
      </c>
      <c r="R78" s="32" t="n">
        <f aca="false">COUNTIFS('Project Plan'!$O$7:$O$156,$A78,'Project Plan'!$F$7:$F$156,"&lt;="&amp;R$60,'Project Plan'!$H$7:$H$156,"&gt;="&amp;R$60)+0.25*COUNTIFS('Project Plan'!$V$7:$V$156,"*;"&amp;$A78&amp;";*",'Project Plan'!$O$7:$O$156,"&lt;&gt;"&amp;$A78,'Project Plan'!$F$7:$F$156,"&lt;="&amp;R$60,'Project Plan'!$H$7:$H$156,"&gt;="&amp;R$60)</f>
        <v>0</v>
      </c>
      <c r="S78" s="32" t="n">
        <f aca="false">COUNTIFS('Project Plan'!$O$7:$O$156,$A78,'Project Plan'!$F$7:$F$156,"&lt;="&amp;S$60,'Project Plan'!$H$7:$H$156,"&gt;="&amp;S$60)+0.25*COUNTIFS('Project Plan'!$V$7:$V$156,"*;"&amp;$A78&amp;";*",'Project Plan'!$O$7:$O$156,"&lt;&gt;"&amp;$A78,'Project Plan'!$F$7:$F$156,"&lt;="&amp;S$60,'Project Plan'!$H$7:$H$156,"&gt;="&amp;S$60)</f>
        <v>0</v>
      </c>
      <c r="T78" s="32" t="n">
        <f aca="false">COUNTIFS('Project Plan'!$O$7:$O$156,$A78,'Project Plan'!$F$7:$F$156,"&lt;="&amp;T$60,'Project Plan'!$H$7:$H$156,"&gt;="&amp;T$60)+0.25*COUNTIFS('Project Plan'!$V$7:$V$156,"*;"&amp;$A78&amp;";*",'Project Plan'!$O$7:$O$156,"&lt;&gt;"&amp;$A78,'Project Plan'!$F$7:$F$156,"&lt;="&amp;T$60,'Project Plan'!$H$7:$H$156,"&gt;="&amp;T$60)</f>
        <v>0</v>
      </c>
      <c r="U78" s="32" t="n">
        <f aca="false">COUNTIFS('Project Plan'!$O$7:$O$156,$A78,'Project Plan'!$F$7:$F$156,"&lt;="&amp;U$60,'Project Plan'!$H$7:$H$156,"&gt;="&amp;U$60)+0.25*COUNTIFS('Project Plan'!$V$7:$V$156,"*;"&amp;$A78&amp;";*",'Project Plan'!$O$7:$O$156,"&lt;&gt;"&amp;$A78,'Project Plan'!$F$7:$F$156,"&lt;="&amp;U$60,'Project Plan'!$H$7:$H$156,"&gt;="&amp;U$60)</f>
        <v>0</v>
      </c>
      <c r="V78" s="32" t="n">
        <f aca="false">COUNTIFS('Project Plan'!$O$7:$O$156,$A78,'Project Plan'!$F$7:$F$156,"&lt;="&amp;V$60,'Project Plan'!$H$7:$H$156,"&gt;="&amp;V$60)+0.25*COUNTIFS('Project Plan'!$V$7:$V$156,"*;"&amp;$A78&amp;";*",'Project Plan'!$O$7:$O$156,"&lt;&gt;"&amp;$A78,'Project Plan'!$F$7:$F$156,"&lt;="&amp;V$60,'Project Plan'!$H$7:$H$156,"&gt;="&amp;V$60)</f>
        <v>0</v>
      </c>
      <c r="W78" s="32" t="n">
        <f aca="false">COUNTIFS('Project Plan'!$O$7:$O$156,$A78,'Project Plan'!$F$7:$F$156,"&lt;="&amp;W$60,'Project Plan'!$H$7:$H$156,"&gt;="&amp;W$60)+0.25*COUNTIFS('Project Plan'!$V$7:$V$156,"*;"&amp;$A78&amp;";*",'Project Plan'!$O$7:$O$156,"&lt;&gt;"&amp;$A78,'Project Plan'!$F$7:$F$156,"&lt;="&amp;W$60,'Project Plan'!$H$7:$H$156,"&gt;="&amp;W$60)</f>
        <v>0</v>
      </c>
      <c r="X78" s="32" t="n">
        <f aca="false">COUNTIFS('Project Plan'!$O$7:$O$156,$A78,'Project Plan'!$F$7:$F$156,"&lt;="&amp;X$60,'Project Plan'!$H$7:$H$156,"&gt;="&amp;X$60)+0.25*COUNTIFS('Project Plan'!$V$7:$V$156,"*;"&amp;$A78&amp;";*",'Project Plan'!$O$7:$O$156,"&lt;&gt;"&amp;$A78,'Project Plan'!$F$7:$F$156,"&lt;="&amp;X$60,'Project Plan'!$H$7:$H$156,"&gt;="&amp;X$60)</f>
        <v>0</v>
      </c>
      <c r="Y78" s="32" t="n">
        <f aca="false">COUNTIFS('Project Plan'!$O$7:$O$156,$A78,'Project Plan'!$F$7:$F$156,"&lt;="&amp;Y$60,'Project Plan'!$H$7:$H$156,"&gt;="&amp;Y$60)+0.25*COUNTIFS('Project Plan'!$V$7:$V$156,"*;"&amp;$A78&amp;";*",'Project Plan'!$O$7:$O$156,"&lt;&gt;"&amp;$A78,'Project Plan'!$F$7:$F$156,"&lt;="&amp;Y$60,'Project Plan'!$H$7:$H$156,"&gt;="&amp;Y$60)</f>
        <v>1</v>
      </c>
      <c r="Z78" s="32" t="n">
        <f aca="false">COUNTIFS('Project Plan'!$O$7:$O$156,$A78,'Project Plan'!$F$7:$F$156,"&lt;="&amp;Z$60,'Project Plan'!$H$7:$H$156,"&gt;="&amp;Z$60)+0.25*COUNTIFS('Project Plan'!$V$7:$V$156,"*;"&amp;$A78&amp;";*",'Project Plan'!$O$7:$O$156,"&lt;&gt;"&amp;$A78,'Project Plan'!$F$7:$F$156,"&lt;="&amp;Z$60,'Project Plan'!$H$7:$H$156,"&gt;="&amp;Z$60)</f>
        <v>1</v>
      </c>
      <c r="AA78" s="32" t="n">
        <f aca="false">COUNTIFS('Project Plan'!$O$7:$O$156,$A78,'Project Plan'!$F$7:$F$156,"&lt;="&amp;AA$60,'Project Plan'!$H$7:$H$156,"&gt;="&amp;AA$60)+0.25*COUNTIFS('Project Plan'!$V$7:$V$156,"*;"&amp;$A78&amp;";*",'Project Plan'!$O$7:$O$156,"&lt;&gt;"&amp;$A78,'Project Plan'!$F$7:$F$156,"&lt;="&amp;AA$60,'Project Plan'!$H$7:$H$156,"&gt;="&amp;AA$60)</f>
        <v>1</v>
      </c>
      <c r="AB78" s="32" t="n">
        <f aca="false">COUNTIFS('Project Plan'!$O$7:$O$156,$A78,'Project Plan'!$F$7:$F$156,"&lt;="&amp;AB$60,'Project Plan'!$H$7:$H$156,"&gt;="&amp;AB$60)+0.25*COUNTIFS('Project Plan'!$V$7:$V$156,"*;"&amp;$A78&amp;";*",'Project Plan'!$O$7:$O$156,"&lt;&gt;"&amp;$A78,'Project Plan'!$F$7:$F$156,"&lt;="&amp;AB$60,'Project Plan'!$H$7:$H$156,"&gt;="&amp;AB$60)</f>
        <v>1</v>
      </c>
      <c r="AC78" s="32" t="n">
        <f aca="false">COUNTIFS('Project Plan'!$O$7:$O$156,$A78,'Project Plan'!$F$7:$F$156,"&lt;="&amp;AC$60,'Project Plan'!$H$7:$H$156,"&gt;="&amp;AC$60)+0.25*COUNTIFS('Project Plan'!$V$7:$V$156,"*;"&amp;$A78&amp;";*",'Project Plan'!$O$7:$O$156,"&lt;&gt;"&amp;$A78,'Project Plan'!$F$7:$F$156,"&lt;="&amp;AC$60,'Project Plan'!$H$7:$H$156,"&gt;="&amp;AC$60)</f>
        <v>0</v>
      </c>
    </row>
    <row r="79" customFormat="false" ht="15" hidden="false" customHeight="false" outlineLevel="0" collapsed="false">
      <c r="A79" s="0" t="str">
        <f aca="false">A23</f>
        <v>LEG</v>
      </c>
      <c r="B79" s="0" t="n">
        <f aca="false">4*E23</f>
        <v>0</v>
      </c>
      <c r="C79" s="32" t="n">
        <f aca="false">COUNTIFS('Project Plan'!$O$7:$O$156,$A79,'Project Plan'!$F$7:$F$156,"&lt;="&amp;C$60,'Project Plan'!$H$7:$H$156,"&gt;="&amp;C$60)+0.25*COUNTIFS('Project Plan'!$V$7:$V$156,"*;"&amp;$A79&amp;";*",'Project Plan'!$O$7:$O$156,"&lt;&gt;"&amp;$A79,'Project Plan'!$F$7:$F$156,"&lt;="&amp;C$60,'Project Plan'!$H$7:$H$156,"&gt;="&amp;C$60)</f>
        <v>0.25</v>
      </c>
      <c r="D79" s="32" t="n">
        <f aca="false">COUNTIFS('Project Plan'!$O$7:$O$156,$A79,'Project Plan'!$F$7:$F$156,"&lt;="&amp;D$60,'Project Plan'!$H$7:$H$156,"&gt;="&amp;D$60)+0.25*COUNTIFS('Project Plan'!$V$7:$V$156,"*;"&amp;$A79&amp;";*",'Project Plan'!$O$7:$O$156,"&lt;&gt;"&amp;$A79,'Project Plan'!$F$7:$F$156,"&lt;="&amp;D$60,'Project Plan'!$H$7:$H$156,"&gt;="&amp;D$60)</f>
        <v>0.25</v>
      </c>
      <c r="E79" s="32" t="n">
        <f aca="false">COUNTIFS('Project Plan'!$O$7:$O$156,$A79,'Project Plan'!$F$7:$F$156,"&lt;="&amp;E$60,'Project Plan'!$H$7:$H$156,"&gt;="&amp;E$60)+0.25*COUNTIFS('Project Plan'!$V$7:$V$156,"*;"&amp;$A79&amp;";*",'Project Plan'!$O$7:$O$156,"&lt;&gt;"&amp;$A79,'Project Plan'!$F$7:$F$156,"&lt;="&amp;E$60,'Project Plan'!$H$7:$H$156,"&gt;="&amp;E$60)</f>
        <v>0.25</v>
      </c>
      <c r="F79" s="32" t="n">
        <f aca="false">COUNTIFS('Project Plan'!$O$7:$O$156,$A79,'Project Plan'!$F$7:$F$156,"&lt;="&amp;F$60,'Project Plan'!$H$7:$H$156,"&gt;="&amp;F$60)+0.25*COUNTIFS('Project Plan'!$V$7:$V$156,"*;"&amp;$A79&amp;";*",'Project Plan'!$O$7:$O$156,"&lt;&gt;"&amp;$A79,'Project Plan'!$F$7:$F$156,"&lt;="&amp;F$60,'Project Plan'!$H$7:$H$156,"&gt;="&amp;F$60)</f>
        <v>0.25</v>
      </c>
      <c r="G79" s="32" t="n">
        <f aca="false">COUNTIFS('Project Plan'!$O$7:$O$156,$A79,'Project Plan'!$F$7:$F$156,"&lt;="&amp;G$60,'Project Plan'!$H$7:$H$156,"&gt;="&amp;G$60)+0.25*COUNTIFS('Project Plan'!$V$7:$V$156,"*;"&amp;$A79&amp;";*",'Project Plan'!$O$7:$O$156,"&lt;&gt;"&amp;$A79,'Project Plan'!$F$7:$F$156,"&lt;="&amp;G$60,'Project Plan'!$H$7:$H$156,"&gt;="&amp;G$60)</f>
        <v>0.25</v>
      </c>
      <c r="H79" s="32" t="n">
        <f aca="false">COUNTIFS('Project Plan'!$O$7:$O$156,$A79,'Project Plan'!$F$7:$F$156,"&lt;="&amp;H$60,'Project Plan'!$H$7:$H$156,"&gt;="&amp;H$60)+0.25*COUNTIFS('Project Plan'!$V$7:$V$156,"*;"&amp;$A79&amp;";*",'Project Plan'!$O$7:$O$156,"&lt;&gt;"&amp;$A79,'Project Plan'!$F$7:$F$156,"&lt;="&amp;H$60,'Project Plan'!$H$7:$H$156,"&gt;="&amp;H$60)</f>
        <v>0</v>
      </c>
      <c r="I79" s="32" t="n">
        <f aca="false">COUNTIFS('Project Plan'!$O$7:$O$156,$A79,'Project Plan'!$F$7:$F$156,"&lt;="&amp;I$60,'Project Plan'!$H$7:$H$156,"&gt;="&amp;I$60)+0.25*COUNTIFS('Project Plan'!$V$7:$V$156,"*;"&amp;$A79&amp;";*",'Project Plan'!$O$7:$O$156,"&lt;&gt;"&amp;$A79,'Project Plan'!$F$7:$F$156,"&lt;="&amp;I$60,'Project Plan'!$H$7:$H$156,"&gt;="&amp;I$60)</f>
        <v>0</v>
      </c>
      <c r="J79" s="32" t="n">
        <f aca="false">COUNTIFS('Project Plan'!$O$7:$O$156,$A79,'Project Plan'!$F$7:$F$156,"&lt;="&amp;J$60,'Project Plan'!$H$7:$H$156,"&gt;="&amp;J$60)+0.25*COUNTIFS('Project Plan'!$V$7:$V$156,"*;"&amp;$A79&amp;";*",'Project Plan'!$O$7:$O$156,"&lt;&gt;"&amp;$A79,'Project Plan'!$F$7:$F$156,"&lt;="&amp;J$60,'Project Plan'!$H$7:$H$156,"&gt;="&amp;J$60)</f>
        <v>0</v>
      </c>
      <c r="K79" s="32" t="n">
        <f aca="false">COUNTIFS('Project Plan'!$O$7:$O$156,$A79,'Project Plan'!$F$7:$F$156,"&lt;="&amp;K$60,'Project Plan'!$H$7:$H$156,"&gt;="&amp;K$60)+0.25*COUNTIFS('Project Plan'!$V$7:$V$156,"*;"&amp;$A79&amp;";*",'Project Plan'!$O$7:$O$156,"&lt;&gt;"&amp;$A79,'Project Plan'!$F$7:$F$156,"&lt;="&amp;K$60,'Project Plan'!$H$7:$H$156,"&gt;="&amp;K$60)</f>
        <v>0.25</v>
      </c>
      <c r="L79" s="32" t="n">
        <f aca="false">COUNTIFS('Project Plan'!$O$7:$O$156,$A79,'Project Plan'!$F$7:$F$156,"&lt;="&amp;L$60,'Project Plan'!$H$7:$H$156,"&gt;="&amp;L$60)+0.25*COUNTIFS('Project Plan'!$V$7:$V$156,"*;"&amp;$A79&amp;";*",'Project Plan'!$O$7:$O$156,"&lt;&gt;"&amp;$A79,'Project Plan'!$F$7:$F$156,"&lt;="&amp;L$60,'Project Plan'!$H$7:$H$156,"&gt;="&amp;L$60)</f>
        <v>0.25</v>
      </c>
      <c r="M79" s="32" t="n">
        <f aca="false">COUNTIFS('Project Plan'!$O$7:$O$156,$A79,'Project Plan'!$F$7:$F$156,"&lt;="&amp;M$60,'Project Plan'!$H$7:$H$156,"&gt;="&amp;M$60)+0.25*COUNTIFS('Project Plan'!$V$7:$V$156,"*;"&amp;$A79&amp;";*",'Project Plan'!$O$7:$O$156,"&lt;&gt;"&amp;$A79,'Project Plan'!$F$7:$F$156,"&lt;="&amp;M$60,'Project Plan'!$H$7:$H$156,"&gt;="&amp;M$60)</f>
        <v>0.5</v>
      </c>
      <c r="N79" s="32" t="n">
        <f aca="false">COUNTIFS('Project Plan'!$O$7:$O$156,$A79,'Project Plan'!$F$7:$F$156,"&lt;="&amp;N$60,'Project Plan'!$H$7:$H$156,"&gt;="&amp;N$60)+0.25*COUNTIFS('Project Plan'!$V$7:$V$156,"*;"&amp;$A79&amp;";*",'Project Plan'!$O$7:$O$156,"&lt;&gt;"&amp;$A79,'Project Plan'!$F$7:$F$156,"&lt;="&amp;N$60,'Project Plan'!$H$7:$H$156,"&gt;="&amp;N$60)</f>
        <v>0.25</v>
      </c>
      <c r="O79" s="32" t="n">
        <f aca="false">COUNTIFS('Project Plan'!$O$7:$O$156,$A79,'Project Plan'!$F$7:$F$156,"&lt;="&amp;O$60,'Project Plan'!$H$7:$H$156,"&gt;="&amp;O$60)+0.25*COUNTIFS('Project Plan'!$V$7:$V$156,"*;"&amp;$A79&amp;";*",'Project Plan'!$O$7:$O$156,"&lt;&gt;"&amp;$A79,'Project Plan'!$F$7:$F$156,"&lt;="&amp;O$60,'Project Plan'!$H$7:$H$156,"&gt;="&amp;O$60)</f>
        <v>0.25</v>
      </c>
      <c r="P79" s="32" t="n">
        <f aca="false">COUNTIFS('Project Plan'!$O$7:$O$156,$A79,'Project Plan'!$F$7:$F$156,"&lt;="&amp;P$60,'Project Plan'!$H$7:$H$156,"&gt;="&amp;P$60)+0.25*COUNTIFS('Project Plan'!$V$7:$V$156,"*;"&amp;$A79&amp;";*",'Project Plan'!$O$7:$O$156,"&lt;&gt;"&amp;$A79,'Project Plan'!$F$7:$F$156,"&lt;="&amp;P$60,'Project Plan'!$H$7:$H$156,"&gt;="&amp;P$60)</f>
        <v>0.25</v>
      </c>
      <c r="Q79" s="32" t="n">
        <f aca="false">COUNTIFS('Project Plan'!$O$7:$O$156,$A79,'Project Plan'!$F$7:$F$156,"&lt;="&amp;Q$60,'Project Plan'!$H$7:$H$156,"&gt;="&amp;Q$60)+0.25*COUNTIFS('Project Plan'!$V$7:$V$156,"*;"&amp;$A79&amp;";*",'Project Plan'!$O$7:$O$156,"&lt;&gt;"&amp;$A79,'Project Plan'!$F$7:$F$156,"&lt;="&amp;Q$60,'Project Plan'!$H$7:$H$156,"&gt;="&amp;Q$60)</f>
        <v>0</v>
      </c>
      <c r="R79" s="32" t="n">
        <f aca="false">COUNTIFS('Project Plan'!$O$7:$O$156,$A79,'Project Plan'!$F$7:$F$156,"&lt;="&amp;R$60,'Project Plan'!$H$7:$H$156,"&gt;="&amp;R$60)+0.25*COUNTIFS('Project Plan'!$V$7:$V$156,"*;"&amp;$A79&amp;";*",'Project Plan'!$O$7:$O$156,"&lt;&gt;"&amp;$A79,'Project Plan'!$F$7:$F$156,"&lt;="&amp;R$60,'Project Plan'!$H$7:$H$156,"&gt;="&amp;R$60)</f>
        <v>0</v>
      </c>
      <c r="S79" s="32" t="n">
        <f aca="false">COUNTIFS('Project Plan'!$O$7:$O$156,$A79,'Project Plan'!$F$7:$F$156,"&lt;="&amp;S$60,'Project Plan'!$H$7:$H$156,"&gt;="&amp;S$60)+0.25*COUNTIFS('Project Plan'!$V$7:$V$156,"*;"&amp;$A79&amp;";*",'Project Plan'!$O$7:$O$156,"&lt;&gt;"&amp;$A79,'Project Plan'!$F$7:$F$156,"&lt;="&amp;S$60,'Project Plan'!$H$7:$H$156,"&gt;="&amp;S$60)</f>
        <v>0</v>
      </c>
      <c r="T79" s="32" t="n">
        <f aca="false">COUNTIFS('Project Plan'!$O$7:$O$156,$A79,'Project Plan'!$F$7:$F$156,"&lt;="&amp;T$60,'Project Plan'!$H$7:$H$156,"&gt;="&amp;T$60)+0.25*COUNTIFS('Project Plan'!$V$7:$V$156,"*;"&amp;$A79&amp;";*",'Project Plan'!$O$7:$O$156,"&lt;&gt;"&amp;$A79,'Project Plan'!$F$7:$F$156,"&lt;="&amp;T$60,'Project Plan'!$H$7:$H$156,"&gt;="&amp;T$60)</f>
        <v>0</v>
      </c>
      <c r="U79" s="32" t="n">
        <f aca="false">COUNTIFS('Project Plan'!$O$7:$O$156,$A79,'Project Plan'!$F$7:$F$156,"&lt;="&amp;U$60,'Project Plan'!$H$7:$H$156,"&gt;="&amp;U$60)+0.25*COUNTIFS('Project Plan'!$V$7:$V$156,"*;"&amp;$A79&amp;";*",'Project Plan'!$O$7:$O$156,"&lt;&gt;"&amp;$A79,'Project Plan'!$F$7:$F$156,"&lt;="&amp;U$60,'Project Plan'!$H$7:$H$156,"&gt;="&amp;U$60)</f>
        <v>0</v>
      </c>
      <c r="V79" s="32" t="n">
        <f aca="false">COUNTIFS('Project Plan'!$O$7:$O$156,$A79,'Project Plan'!$F$7:$F$156,"&lt;="&amp;V$60,'Project Plan'!$H$7:$H$156,"&gt;="&amp;V$60)+0.25*COUNTIFS('Project Plan'!$V$7:$V$156,"*;"&amp;$A79&amp;";*",'Project Plan'!$O$7:$O$156,"&lt;&gt;"&amp;$A79,'Project Plan'!$F$7:$F$156,"&lt;="&amp;V$60,'Project Plan'!$H$7:$H$156,"&gt;="&amp;V$60)</f>
        <v>0</v>
      </c>
      <c r="W79" s="32" t="n">
        <f aca="false">COUNTIFS('Project Plan'!$O$7:$O$156,$A79,'Project Plan'!$F$7:$F$156,"&lt;="&amp;W$60,'Project Plan'!$H$7:$H$156,"&gt;="&amp;W$60)+0.25*COUNTIFS('Project Plan'!$V$7:$V$156,"*;"&amp;$A79&amp;";*",'Project Plan'!$O$7:$O$156,"&lt;&gt;"&amp;$A79,'Project Plan'!$F$7:$F$156,"&lt;="&amp;W$60,'Project Plan'!$H$7:$H$156,"&gt;="&amp;W$60)</f>
        <v>0</v>
      </c>
      <c r="X79" s="32" t="n">
        <f aca="false">COUNTIFS('Project Plan'!$O$7:$O$156,$A79,'Project Plan'!$F$7:$F$156,"&lt;="&amp;X$60,'Project Plan'!$H$7:$H$156,"&gt;="&amp;X$60)+0.25*COUNTIFS('Project Plan'!$V$7:$V$156,"*;"&amp;$A79&amp;";*",'Project Plan'!$O$7:$O$156,"&lt;&gt;"&amp;$A79,'Project Plan'!$F$7:$F$156,"&lt;="&amp;X$60,'Project Plan'!$H$7:$H$156,"&gt;="&amp;X$60)</f>
        <v>0</v>
      </c>
      <c r="Y79" s="32" t="n">
        <f aca="false">COUNTIFS('Project Plan'!$O$7:$O$156,$A79,'Project Plan'!$F$7:$F$156,"&lt;="&amp;Y$60,'Project Plan'!$H$7:$H$156,"&gt;="&amp;Y$60)+0.25*COUNTIFS('Project Plan'!$V$7:$V$156,"*;"&amp;$A79&amp;";*",'Project Plan'!$O$7:$O$156,"&lt;&gt;"&amp;$A79,'Project Plan'!$F$7:$F$156,"&lt;="&amp;Y$60,'Project Plan'!$H$7:$H$156,"&gt;="&amp;Y$60)</f>
        <v>0</v>
      </c>
      <c r="Z79" s="32" t="n">
        <f aca="false">COUNTIFS('Project Plan'!$O$7:$O$156,$A79,'Project Plan'!$F$7:$F$156,"&lt;="&amp;Z$60,'Project Plan'!$H$7:$H$156,"&gt;="&amp;Z$60)+0.25*COUNTIFS('Project Plan'!$V$7:$V$156,"*;"&amp;$A79&amp;";*",'Project Plan'!$O$7:$O$156,"&lt;&gt;"&amp;$A79,'Project Plan'!$F$7:$F$156,"&lt;="&amp;Z$60,'Project Plan'!$H$7:$H$156,"&gt;="&amp;Z$60)</f>
        <v>0.25</v>
      </c>
      <c r="AA79" s="32" t="n">
        <f aca="false">COUNTIFS('Project Plan'!$O$7:$O$156,$A79,'Project Plan'!$F$7:$F$156,"&lt;="&amp;AA$60,'Project Plan'!$H$7:$H$156,"&gt;="&amp;AA$60)+0.25*COUNTIFS('Project Plan'!$V$7:$V$156,"*;"&amp;$A79&amp;";*",'Project Plan'!$O$7:$O$156,"&lt;&gt;"&amp;$A79,'Project Plan'!$F$7:$F$156,"&lt;="&amp;AA$60,'Project Plan'!$H$7:$H$156,"&gt;="&amp;AA$60)</f>
        <v>0.25</v>
      </c>
      <c r="AB79" s="32" t="n">
        <f aca="false">COUNTIFS('Project Plan'!$O$7:$O$156,$A79,'Project Plan'!$F$7:$F$156,"&lt;="&amp;AB$60,'Project Plan'!$H$7:$H$156,"&gt;="&amp;AB$60)+0.25*COUNTIFS('Project Plan'!$V$7:$V$156,"*;"&amp;$A79&amp;";*",'Project Plan'!$O$7:$O$156,"&lt;&gt;"&amp;$A79,'Project Plan'!$F$7:$F$156,"&lt;="&amp;AB$60,'Project Plan'!$H$7:$H$156,"&gt;="&amp;AB$60)</f>
        <v>0</v>
      </c>
      <c r="AC79" s="32" t="n">
        <f aca="false">COUNTIFS('Project Plan'!$O$7:$O$156,$A79,'Project Plan'!$F$7:$F$156,"&lt;="&amp;AC$60,'Project Plan'!$H$7:$H$156,"&gt;="&amp;AC$60)+0.25*COUNTIFS('Project Plan'!$V$7:$V$156,"*;"&amp;$A79&amp;";*",'Project Plan'!$O$7:$O$156,"&lt;&gt;"&amp;$A79,'Project Plan'!$F$7:$F$156,"&lt;="&amp;AC$60,'Project Plan'!$H$7:$H$156,"&gt;="&amp;AC$60)</f>
        <v>0</v>
      </c>
    </row>
    <row r="80" customFormat="false" ht="15" hidden="false" customHeight="false" outlineLevel="0" collapsed="false">
      <c r="A80" s="0" t="str">
        <f aca="false">A24</f>
        <v>IA</v>
      </c>
      <c r="B80" s="0" t="n">
        <f aca="false">4*E24</f>
        <v>0</v>
      </c>
      <c r="C80" s="32" t="n">
        <f aca="false">COUNTIFS('Project Plan'!$O$7:$O$156,$A80,'Project Plan'!$F$7:$F$156,"&lt;="&amp;C$60,'Project Plan'!$H$7:$H$156,"&gt;="&amp;C$60)+0.25*COUNTIFS('Project Plan'!$V$7:$V$156,"*;"&amp;$A80&amp;";*",'Project Plan'!$O$7:$O$156,"&lt;&gt;"&amp;$A80,'Project Plan'!$F$7:$F$156,"&lt;="&amp;C$60,'Project Plan'!$H$7:$H$156,"&gt;="&amp;C$60)</f>
        <v>0</v>
      </c>
      <c r="D80" s="32" t="n">
        <f aca="false">COUNTIFS('Project Plan'!$O$7:$O$156,$A80,'Project Plan'!$F$7:$F$156,"&lt;="&amp;D$60,'Project Plan'!$H$7:$H$156,"&gt;="&amp;D$60)+0.25*COUNTIFS('Project Plan'!$V$7:$V$156,"*;"&amp;$A80&amp;";*",'Project Plan'!$O$7:$O$156,"&lt;&gt;"&amp;$A80,'Project Plan'!$F$7:$F$156,"&lt;="&amp;D$60,'Project Plan'!$H$7:$H$156,"&gt;="&amp;D$60)</f>
        <v>0</v>
      </c>
      <c r="E80" s="32" t="n">
        <f aca="false">COUNTIFS('Project Plan'!$O$7:$O$156,$A80,'Project Plan'!$F$7:$F$156,"&lt;="&amp;E$60,'Project Plan'!$H$7:$H$156,"&gt;="&amp;E$60)+0.25*COUNTIFS('Project Plan'!$V$7:$V$156,"*;"&amp;$A80&amp;";*",'Project Plan'!$O$7:$O$156,"&lt;&gt;"&amp;$A80,'Project Plan'!$F$7:$F$156,"&lt;="&amp;E$60,'Project Plan'!$H$7:$H$156,"&gt;="&amp;E$60)</f>
        <v>0</v>
      </c>
      <c r="F80" s="32" t="n">
        <f aca="false">COUNTIFS('Project Plan'!$O$7:$O$156,$A80,'Project Plan'!$F$7:$F$156,"&lt;="&amp;F$60,'Project Plan'!$H$7:$H$156,"&gt;="&amp;F$60)+0.25*COUNTIFS('Project Plan'!$V$7:$V$156,"*;"&amp;$A80&amp;";*",'Project Plan'!$O$7:$O$156,"&lt;&gt;"&amp;$A80,'Project Plan'!$F$7:$F$156,"&lt;="&amp;F$60,'Project Plan'!$H$7:$H$156,"&gt;="&amp;F$60)</f>
        <v>0</v>
      </c>
      <c r="G80" s="32" t="n">
        <f aca="false">COUNTIFS('Project Plan'!$O$7:$O$156,$A80,'Project Plan'!$F$7:$F$156,"&lt;="&amp;G$60,'Project Plan'!$H$7:$H$156,"&gt;="&amp;G$60)+0.25*COUNTIFS('Project Plan'!$V$7:$V$156,"*;"&amp;$A80&amp;";*",'Project Plan'!$O$7:$O$156,"&lt;&gt;"&amp;$A80,'Project Plan'!$F$7:$F$156,"&lt;="&amp;G$60,'Project Plan'!$H$7:$H$156,"&gt;="&amp;G$60)</f>
        <v>0</v>
      </c>
      <c r="H80" s="32" t="n">
        <f aca="false">COUNTIFS('Project Plan'!$O$7:$O$156,$A80,'Project Plan'!$F$7:$F$156,"&lt;="&amp;H$60,'Project Plan'!$H$7:$H$156,"&gt;="&amp;H$60)+0.25*COUNTIFS('Project Plan'!$V$7:$V$156,"*;"&amp;$A80&amp;";*",'Project Plan'!$O$7:$O$156,"&lt;&gt;"&amp;$A80,'Project Plan'!$F$7:$F$156,"&lt;="&amp;H$60,'Project Plan'!$H$7:$H$156,"&gt;="&amp;H$60)</f>
        <v>0</v>
      </c>
      <c r="I80" s="32" t="n">
        <f aca="false">COUNTIFS('Project Plan'!$O$7:$O$156,$A80,'Project Plan'!$F$7:$F$156,"&lt;="&amp;I$60,'Project Plan'!$H$7:$H$156,"&gt;="&amp;I$60)+0.25*COUNTIFS('Project Plan'!$V$7:$V$156,"*;"&amp;$A80&amp;";*",'Project Plan'!$O$7:$O$156,"&lt;&gt;"&amp;$A80,'Project Plan'!$F$7:$F$156,"&lt;="&amp;I$60,'Project Plan'!$H$7:$H$156,"&gt;="&amp;I$60)</f>
        <v>0</v>
      </c>
      <c r="J80" s="32" t="n">
        <f aca="false">COUNTIFS('Project Plan'!$O$7:$O$156,$A80,'Project Plan'!$F$7:$F$156,"&lt;="&amp;J$60,'Project Plan'!$H$7:$H$156,"&gt;="&amp;J$60)+0.25*COUNTIFS('Project Plan'!$V$7:$V$156,"*;"&amp;$A80&amp;";*",'Project Plan'!$O$7:$O$156,"&lt;&gt;"&amp;$A80,'Project Plan'!$F$7:$F$156,"&lt;="&amp;J$60,'Project Plan'!$H$7:$H$156,"&gt;="&amp;J$60)</f>
        <v>0</v>
      </c>
      <c r="K80" s="32" t="n">
        <f aca="false">COUNTIFS('Project Plan'!$O$7:$O$156,$A80,'Project Plan'!$F$7:$F$156,"&lt;="&amp;K$60,'Project Plan'!$H$7:$H$156,"&gt;="&amp;K$60)+0.25*COUNTIFS('Project Plan'!$V$7:$V$156,"*;"&amp;$A80&amp;";*",'Project Plan'!$O$7:$O$156,"&lt;&gt;"&amp;$A80,'Project Plan'!$F$7:$F$156,"&lt;="&amp;K$60,'Project Plan'!$H$7:$H$156,"&gt;="&amp;K$60)</f>
        <v>0</v>
      </c>
      <c r="L80" s="32" t="n">
        <f aca="false">COUNTIFS('Project Plan'!$O$7:$O$156,$A80,'Project Plan'!$F$7:$F$156,"&lt;="&amp;L$60,'Project Plan'!$H$7:$H$156,"&gt;="&amp;L$60)+0.25*COUNTIFS('Project Plan'!$V$7:$V$156,"*;"&amp;$A80&amp;";*",'Project Plan'!$O$7:$O$156,"&lt;&gt;"&amp;$A80,'Project Plan'!$F$7:$F$156,"&lt;="&amp;L$60,'Project Plan'!$H$7:$H$156,"&gt;="&amp;L$60)</f>
        <v>0</v>
      </c>
      <c r="M80" s="32" t="n">
        <f aca="false">COUNTIFS('Project Plan'!$O$7:$O$156,$A80,'Project Plan'!$F$7:$F$156,"&lt;="&amp;M$60,'Project Plan'!$H$7:$H$156,"&gt;="&amp;M$60)+0.25*COUNTIFS('Project Plan'!$V$7:$V$156,"*;"&amp;$A80&amp;";*",'Project Plan'!$O$7:$O$156,"&lt;&gt;"&amp;$A80,'Project Plan'!$F$7:$F$156,"&lt;="&amp;M$60,'Project Plan'!$H$7:$H$156,"&gt;="&amp;M$60)</f>
        <v>0</v>
      </c>
      <c r="N80" s="32" t="n">
        <f aca="false">COUNTIFS('Project Plan'!$O$7:$O$156,$A80,'Project Plan'!$F$7:$F$156,"&lt;="&amp;N$60,'Project Plan'!$H$7:$H$156,"&gt;="&amp;N$60)+0.25*COUNTIFS('Project Plan'!$V$7:$V$156,"*;"&amp;$A80&amp;";*",'Project Plan'!$O$7:$O$156,"&lt;&gt;"&amp;$A80,'Project Plan'!$F$7:$F$156,"&lt;="&amp;N$60,'Project Plan'!$H$7:$H$156,"&gt;="&amp;N$60)</f>
        <v>0</v>
      </c>
      <c r="O80" s="32" t="n">
        <f aca="false">COUNTIFS('Project Plan'!$O$7:$O$156,$A80,'Project Plan'!$F$7:$F$156,"&lt;="&amp;O$60,'Project Plan'!$H$7:$H$156,"&gt;="&amp;O$60)+0.25*COUNTIFS('Project Plan'!$V$7:$V$156,"*;"&amp;$A80&amp;";*",'Project Plan'!$O$7:$O$156,"&lt;&gt;"&amp;$A80,'Project Plan'!$F$7:$F$156,"&lt;="&amp;O$60,'Project Plan'!$H$7:$H$156,"&gt;="&amp;O$60)</f>
        <v>0</v>
      </c>
      <c r="P80" s="32" t="n">
        <f aca="false">COUNTIFS('Project Plan'!$O$7:$O$156,$A80,'Project Plan'!$F$7:$F$156,"&lt;="&amp;P$60,'Project Plan'!$H$7:$H$156,"&gt;="&amp;P$60)+0.25*COUNTIFS('Project Plan'!$V$7:$V$156,"*;"&amp;$A80&amp;";*",'Project Plan'!$O$7:$O$156,"&lt;&gt;"&amp;$A80,'Project Plan'!$F$7:$F$156,"&lt;="&amp;P$60,'Project Plan'!$H$7:$H$156,"&gt;="&amp;P$60)</f>
        <v>0</v>
      </c>
      <c r="Q80" s="32" t="n">
        <f aca="false">COUNTIFS('Project Plan'!$O$7:$O$156,$A80,'Project Plan'!$F$7:$F$156,"&lt;="&amp;Q$60,'Project Plan'!$H$7:$H$156,"&gt;="&amp;Q$60)+0.25*COUNTIFS('Project Plan'!$V$7:$V$156,"*;"&amp;$A80&amp;";*",'Project Plan'!$O$7:$O$156,"&lt;&gt;"&amp;$A80,'Project Plan'!$F$7:$F$156,"&lt;="&amp;Q$60,'Project Plan'!$H$7:$H$156,"&gt;="&amp;Q$60)</f>
        <v>0</v>
      </c>
      <c r="R80" s="32" t="n">
        <f aca="false">COUNTIFS('Project Plan'!$O$7:$O$156,$A80,'Project Plan'!$F$7:$F$156,"&lt;="&amp;R$60,'Project Plan'!$H$7:$H$156,"&gt;="&amp;R$60)+0.25*COUNTIFS('Project Plan'!$V$7:$V$156,"*;"&amp;$A80&amp;";*",'Project Plan'!$O$7:$O$156,"&lt;&gt;"&amp;$A80,'Project Plan'!$F$7:$F$156,"&lt;="&amp;R$60,'Project Plan'!$H$7:$H$156,"&gt;="&amp;R$60)</f>
        <v>0</v>
      </c>
      <c r="S80" s="32" t="n">
        <f aca="false">COUNTIFS('Project Plan'!$O$7:$O$156,$A80,'Project Plan'!$F$7:$F$156,"&lt;="&amp;S$60,'Project Plan'!$H$7:$H$156,"&gt;="&amp;S$60)+0.25*COUNTIFS('Project Plan'!$V$7:$V$156,"*;"&amp;$A80&amp;";*",'Project Plan'!$O$7:$O$156,"&lt;&gt;"&amp;$A80,'Project Plan'!$F$7:$F$156,"&lt;="&amp;S$60,'Project Plan'!$H$7:$H$156,"&gt;="&amp;S$60)</f>
        <v>0</v>
      </c>
      <c r="T80" s="32" t="n">
        <f aca="false">COUNTIFS('Project Plan'!$O$7:$O$156,$A80,'Project Plan'!$F$7:$F$156,"&lt;="&amp;T$60,'Project Plan'!$H$7:$H$156,"&gt;="&amp;T$60)+0.25*COUNTIFS('Project Plan'!$V$7:$V$156,"*;"&amp;$A80&amp;";*",'Project Plan'!$O$7:$O$156,"&lt;&gt;"&amp;$A80,'Project Plan'!$F$7:$F$156,"&lt;="&amp;T$60,'Project Plan'!$H$7:$H$156,"&gt;="&amp;T$60)</f>
        <v>0</v>
      </c>
      <c r="U80" s="32" t="n">
        <f aca="false">COUNTIFS('Project Plan'!$O$7:$O$156,$A80,'Project Plan'!$F$7:$F$156,"&lt;="&amp;U$60,'Project Plan'!$H$7:$H$156,"&gt;="&amp;U$60)+0.25*COUNTIFS('Project Plan'!$V$7:$V$156,"*;"&amp;$A80&amp;";*",'Project Plan'!$O$7:$O$156,"&lt;&gt;"&amp;$A80,'Project Plan'!$F$7:$F$156,"&lt;="&amp;U$60,'Project Plan'!$H$7:$H$156,"&gt;="&amp;U$60)</f>
        <v>0</v>
      </c>
      <c r="V80" s="32" t="n">
        <f aca="false">COUNTIFS('Project Plan'!$O$7:$O$156,$A80,'Project Plan'!$F$7:$F$156,"&lt;="&amp;V$60,'Project Plan'!$H$7:$H$156,"&gt;="&amp;V$60)+0.25*COUNTIFS('Project Plan'!$V$7:$V$156,"*;"&amp;$A80&amp;";*",'Project Plan'!$O$7:$O$156,"&lt;&gt;"&amp;$A80,'Project Plan'!$F$7:$F$156,"&lt;="&amp;V$60,'Project Plan'!$H$7:$H$156,"&gt;="&amp;V$60)</f>
        <v>0</v>
      </c>
      <c r="W80" s="32" t="n">
        <f aca="false">COUNTIFS('Project Plan'!$O$7:$O$156,$A80,'Project Plan'!$F$7:$F$156,"&lt;="&amp;W$60,'Project Plan'!$H$7:$H$156,"&gt;="&amp;W$60)+0.25*COUNTIFS('Project Plan'!$V$7:$V$156,"*;"&amp;$A80&amp;";*",'Project Plan'!$O$7:$O$156,"&lt;&gt;"&amp;$A80,'Project Plan'!$F$7:$F$156,"&lt;="&amp;W$60,'Project Plan'!$H$7:$H$156,"&gt;="&amp;W$60)</f>
        <v>0</v>
      </c>
      <c r="X80" s="32" t="n">
        <f aca="false">COUNTIFS('Project Plan'!$O$7:$O$156,$A80,'Project Plan'!$F$7:$F$156,"&lt;="&amp;X$60,'Project Plan'!$H$7:$H$156,"&gt;="&amp;X$60)+0.25*COUNTIFS('Project Plan'!$V$7:$V$156,"*;"&amp;$A80&amp;";*",'Project Plan'!$O$7:$O$156,"&lt;&gt;"&amp;$A80,'Project Plan'!$F$7:$F$156,"&lt;="&amp;X$60,'Project Plan'!$H$7:$H$156,"&gt;="&amp;X$60)</f>
        <v>0</v>
      </c>
      <c r="Y80" s="32" t="n">
        <f aca="false">COUNTIFS('Project Plan'!$O$7:$O$156,$A80,'Project Plan'!$F$7:$F$156,"&lt;="&amp;Y$60,'Project Plan'!$H$7:$H$156,"&gt;="&amp;Y$60)+0.25*COUNTIFS('Project Plan'!$V$7:$V$156,"*;"&amp;$A80&amp;";*",'Project Plan'!$O$7:$O$156,"&lt;&gt;"&amp;$A80,'Project Plan'!$F$7:$F$156,"&lt;="&amp;Y$60,'Project Plan'!$H$7:$H$156,"&gt;="&amp;Y$60)</f>
        <v>1</v>
      </c>
      <c r="Z80" s="32" t="n">
        <f aca="false">COUNTIFS('Project Plan'!$O$7:$O$156,$A80,'Project Plan'!$F$7:$F$156,"&lt;="&amp;Z$60,'Project Plan'!$H$7:$H$156,"&gt;="&amp;Z$60)+0.25*COUNTIFS('Project Plan'!$V$7:$V$156,"*;"&amp;$A80&amp;";*",'Project Plan'!$O$7:$O$156,"&lt;&gt;"&amp;$A80,'Project Plan'!$F$7:$F$156,"&lt;="&amp;Z$60,'Project Plan'!$H$7:$H$156,"&gt;="&amp;Z$60)</f>
        <v>1</v>
      </c>
      <c r="AA80" s="32" t="n">
        <f aca="false">COUNTIFS('Project Plan'!$O$7:$O$156,$A80,'Project Plan'!$F$7:$F$156,"&lt;="&amp;AA$60,'Project Plan'!$H$7:$H$156,"&gt;="&amp;AA$60)+0.25*COUNTIFS('Project Plan'!$V$7:$V$156,"*;"&amp;$A80&amp;";*",'Project Plan'!$O$7:$O$156,"&lt;&gt;"&amp;$A80,'Project Plan'!$F$7:$F$156,"&lt;="&amp;AA$60,'Project Plan'!$H$7:$H$156,"&gt;="&amp;AA$60)</f>
        <v>1</v>
      </c>
      <c r="AB80" s="32" t="n">
        <f aca="false">COUNTIFS('Project Plan'!$O$7:$O$156,$A80,'Project Plan'!$F$7:$F$156,"&lt;="&amp;AB$60,'Project Plan'!$H$7:$H$156,"&gt;="&amp;AB$60)+0.25*COUNTIFS('Project Plan'!$V$7:$V$156,"*;"&amp;$A80&amp;";*",'Project Plan'!$O$7:$O$156,"&lt;&gt;"&amp;$A80,'Project Plan'!$F$7:$F$156,"&lt;="&amp;AB$60,'Project Plan'!$H$7:$H$156,"&gt;="&amp;AB$60)</f>
        <v>0</v>
      </c>
      <c r="AC80" s="32" t="n">
        <f aca="false">COUNTIFS('Project Plan'!$O$7:$O$156,$A80,'Project Plan'!$F$7:$F$156,"&lt;="&amp;AC$60,'Project Plan'!$H$7:$H$156,"&gt;="&amp;AC$60)+0.25*COUNTIFS('Project Plan'!$V$7:$V$156,"*;"&amp;$A80&amp;";*",'Project Plan'!$O$7:$O$156,"&lt;&gt;"&amp;$A80,'Project Plan'!$F$7:$F$156,"&lt;="&amp;AC$60,'Project Plan'!$H$7:$H$156,"&gt;="&amp;AC$60)</f>
        <v>0</v>
      </c>
    </row>
    <row r="81" customFormat="false" ht="15" hidden="false" customHeight="false" outlineLevel="0" collapsed="false">
      <c r="A81" s="0" t="str">
        <f aca="false">A25</f>
        <v>HRB</v>
      </c>
      <c r="B81" s="0" t="n">
        <f aca="false">4*E25</f>
        <v>0</v>
      </c>
      <c r="C81" s="32" t="n">
        <f aca="false">COUNTIFS('Project Plan'!$O$7:$O$156,$A81,'Project Plan'!$F$7:$F$156,"&lt;="&amp;C$60,'Project Plan'!$H$7:$H$156,"&gt;="&amp;C$60)+0.25*COUNTIFS('Project Plan'!$V$7:$V$156,"*;"&amp;$A81&amp;";*",'Project Plan'!$O$7:$O$156,"&lt;&gt;"&amp;$A81,'Project Plan'!$F$7:$F$156,"&lt;="&amp;C$60,'Project Plan'!$H$7:$H$156,"&gt;="&amp;C$60)</f>
        <v>0</v>
      </c>
      <c r="D81" s="32" t="n">
        <f aca="false">COUNTIFS('Project Plan'!$O$7:$O$156,$A81,'Project Plan'!$F$7:$F$156,"&lt;="&amp;D$60,'Project Plan'!$H$7:$H$156,"&gt;="&amp;D$60)+0.25*COUNTIFS('Project Plan'!$V$7:$V$156,"*;"&amp;$A81&amp;";*",'Project Plan'!$O$7:$O$156,"&lt;&gt;"&amp;$A81,'Project Plan'!$F$7:$F$156,"&lt;="&amp;D$60,'Project Plan'!$H$7:$H$156,"&gt;="&amp;D$60)</f>
        <v>0</v>
      </c>
      <c r="E81" s="32" t="n">
        <f aca="false">COUNTIFS('Project Plan'!$O$7:$O$156,$A81,'Project Plan'!$F$7:$F$156,"&lt;="&amp;E$60,'Project Plan'!$H$7:$H$156,"&gt;="&amp;E$60)+0.25*COUNTIFS('Project Plan'!$V$7:$V$156,"*;"&amp;$A81&amp;";*",'Project Plan'!$O$7:$O$156,"&lt;&gt;"&amp;$A81,'Project Plan'!$F$7:$F$156,"&lt;="&amp;E$60,'Project Plan'!$H$7:$H$156,"&gt;="&amp;E$60)</f>
        <v>0</v>
      </c>
      <c r="F81" s="32" t="n">
        <f aca="false">COUNTIFS('Project Plan'!$O$7:$O$156,$A81,'Project Plan'!$F$7:$F$156,"&lt;="&amp;F$60,'Project Plan'!$H$7:$H$156,"&gt;="&amp;F$60)+0.25*COUNTIFS('Project Plan'!$V$7:$V$156,"*;"&amp;$A81&amp;";*",'Project Plan'!$O$7:$O$156,"&lt;&gt;"&amp;$A81,'Project Plan'!$F$7:$F$156,"&lt;="&amp;F$60,'Project Plan'!$H$7:$H$156,"&gt;="&amp;F$60)</f>
        <v>0</v>
      </c>
      <c r="G81" s="32" t="n">
        <f aca="false">COUNTIFS('Project Plan'!$O$7:$O$156,$A81,'Project Plan'!$F$7:$F$156,"&lt;="&amp;G$60,'Project Plan'!$H$7:$H$156,"&gt;="&amp;G$60)+0.25*COUNTIFS('Project Plan'!$V$7:$V$156,"*;"&amp;$A81&amp;";*",'Project Plan'!$O$7:$O$156,"&lt;&gt;"&amp;$A81,'Project Plan'!$F$7:$F$156,"&lt;="&amp;G$60,'Project Plan'!$H$7:$H$156,"&gt;="&amp;G$60)</f>
        <v>0</v>
      </c>
      <c r="H81" s="32" t="n">
        <f aca="false">COUNTIFS('Project Plan'!$O$7:$O$156,$A81,'Project Plan'!$F$7:$F$156,"&lt;="&amp;H$60,'Project Plan'!$H$7:$H$156,"&gt;="&amp;H$60)+0.25*COUNTIFS('Project Plan'!$V$7:$V$156,"*;"&amp;$A81&amp;";*",'Project Plan'!$O$7:$O$156,"&lt;&gt;"&amp;$A81,'Project Plan'!$F$7:$F$156,"&lt;="&amp;H$60,'Project Plan'!$H$7:$H$156,"&gt;="&amp;H$60)</f>
        <v>0</v>
      </c>
      <c r="I81" s="32" t="n">
        <f aca="false">COUNTIFS('Project Plan'!$O$7:$O$156,$A81,'Project Plan'!$F$7:$F$156,"&lt;="&amp;I$60,'Project Plan'!$H$7:$H$156,"&gt;="&amp;I$60)+0.25*COUNTIFS('Project Plan'!$V$7:$V$156,"*;"&amp;$A81&amp;";*",'Project Plan'!$O$7:$O$156,"&lt;&gt;"&amp;$A81,'Project Plan'!$F$7:$F$156,"&lt;="&amp;I$60,'Project Plan'!$H$7:$H$156,"&gt;="&amp;I$60)</f>
        <v>0</v>
      </c>
      <c r="J81" s="32" t="n">
        <f aca="false">COUNTIFS('Project Plan'!$O$7:$O$156,$A81,'Project Plan'!$F$7:$F$156,"&lt;="&amp;J$60,'Project Plan'!$H$7:$H$156,"&gt;="&amp;J$60)+0.25*COUNTIFS('Project Plan'!$V$7:$V$156,"*;"&amp;$A81&amp;";*",'Project Plan'!$O$7:$O$156,"&lt;&gt;"&amp;$A81,'Project Plan'!$F$7:$F$156,"&lt;="&amp;J$60,'Project Plan'!$H$7:$H$156,"&gt;="&amp;J$60)</f>
        <v>0</v>
      </c>
      <c r="K81" s="32" t="n">
        <f aca="false">COUNTIFS('Project Plan'!$O$7:$O$156,$A81,'Project Plan'!$F$7:$F$156,"&lt;="&amp;K$60,'Project Plan'!$H$7:$H$156,"&gt;="&amp;K$60)+0.25*COUNTIFS('Project Plan'!$V$7:$V$156,"*;"&amp;$A81&amp;";*",'Project Plan'!$O$7:$O$156,"&lt;&gt;"&amp;$A81,'Project Plan'!$F$7:$F$156,"&lt;="&amp;K$60,'Project Plan'!$H$7:$H$156,"&gt;="&amp;K$60)</f>
        <v>0</v>
      </c>
      <c r="L81" s="32" t="n">
        <f aca="false">COUNTIFS('Project Plan'!$O$7:$O$156,$A81,'Project Plan'!$F$7:$F$156,"&lt;="&amp;L$60,'Project Plan'!$H$7:$H$156,"&gt;="&amp;L$60)+0.25*COUNTIFS('Project Plan'!$V$7:$V$156,"*;"&amp;$A81&amp;";*",'Project Plan'!$O$7:$O$156,"&lt;&gt;"&amp;$A81,'Project Plan'!$F$7:$F$156,"&lt;="&amp;L$60,'Project Plan'!$H$7:$H$156,"&gt;="&amp;L$60)</f>
        <v>0</v>
      </c>
      <c r="M81" s="32" t="n">
        <f aca="false">COUNTIFS('Project Plan'!$O$7:$O$156,$A81,'Project Plan'!$F$7:$F$156,"&lt;="&amp;M$60,'Project Plan'!$H$7:$H$156,"&gt;="&amp;M$60)+0.25*COUNTIFS('Project Plan'!$V$7:$V$156,"*;"&amp;$A81&amp;";*",'Project Plan'!$O$7:$O$156,"&lt;&gt;"&amp;$A81,'Project Plan'!$F$7:$F$156,"&lt;="&amp;M$60,'Project Plan'!$H$7:$H$156,"&gt;="&amp;M$60)</f>
        <v>0</v>
      </c>
      <c r="N81" s="32" t="n">
        <f aca="false">COUNTIFS('Project Plan'!$O$7:$O$156,$A81,'Project Plan'!$F$7:$F$156,"&lt;="&amp;N$60,'Project Plan'!$H$7:$H$156,"&gt;="&amp;N$60)+0.25*COUNTIFS('Project Plan'!$V$7:$V$156,"*;"&amp;$A81&amp;";*",'Project Plan'!$O$7:$O$156,"&lt;&gt;"&amp;$A81,'Project Plan'!$F$7:$F$156,"&lt;="&amp;N$60,'Project Plan'!$H$7:$H$156,"&gt;="&amp;N$60)</f>
        <v>1</v>
      </c>
      <c r="O81" s="32" t="n">
        <f aca="false">COUNTIFS('Project Plan'!$O$7:$O$156,$A81,'Project Plan'!$F$7:$F$156,"&lt;="&amp;O$60,'Project Plan'!$H$7:$H$156,"&gt;="&amp;O$60)+0.25*COUNTIFS('Project Plan'!$V$7:$V$156,"*;"&amp;$A81&amp;";*",'Project Plan'!$O$7:$O$156,"&lt;&gt;"&amp;$A81,'Project Plan'!$F$7:$F$156,"&lt;="&amp;O$60,'Project Plan'!$H$7:$H$156,"&gt;="&amp;O$60)</f>
        <v>1</v>
      </c>
      <c r="P81" s="32" t="n">
        <f aca="false">COUNTIFS('Project Plan'!$O$7:$O$156,$A81,'Project Plan'!$F$7:$F$156,"&lt;="&amp;P$60,'Project Plan'!$H$7:$H$156,"&gt;="&amp;P$60)+0.25*COUNTIFS('Project Plan'!$V$7:$V$156,"*;"&amp;$A81&amp;";*",'Project Plan'!$O$7:$O$156,"&lt;&gt;"&amp;$A81,'Project Plan'!$F$7:$F$156,"&lt;="&amp;P$60,'Project Plan'!$H$7:$H$156,"&gt;="&amp;P$60)</f>
        <v>1</v>
      </c>
      <c r="Q81" s="32" t="n">
        <f aca="false">COUNTIFS('Project Plan'!$O$7:$O$156,$A81,'Project Plan'!$F$7:$F$156,"&lt;="&amp;Q$60,'Project Plan'!$H$7:$H$156,"&gt;="&amp;Q$60)+0.25*COUNTIFS('Project Plan'!$V$7:$V$156,"*;"&amp;$A81&amp;";*",'Project Plan'!$O$7:$O$156,"&lt;&gt;"&amp;$A81,'Project Plan'!$F$7:$F$156,"&lt;="&amp;Q$60,'Project Plan'!$H$7:$H$156,"&gt;="&amp;Q$60)</f>
        <v>0</v>
      </c>
      <c r="R81" s="32" t="n">
        <f aca="false">COUNTIFS('Project Plan'!$O$7:$O$156,$A81,'Project Plan'!$F$7:$F$156,"&lt;="&amp;R$60,'Project Plan'!$H$7:$H$156,"&gt;="&amp;R$60)+0.25*COUNTIFS('Project Plan'!$V$7:$V$156,"*;"&amp;$A81&amp;";*",'Project Plan'!$O$7:$O$156,"&lt;&gt;"&amp;$A81,'Project Plan'!$F$7:$F$156,"&lt;="&amp;R$60,'Project Plan'!$H$7:$H$156,"&gt;="&amp;R$60)</f>
        <v>0</v>
      </c>
      <c r="S81" s="32" t="n">
        <f aca="false">COUNTIFS('Project Plan'!$O$7:$O$156,$A81,'Project Plan'!$F$7:$F$156,"&lt;="&amp;S$60,'Project Plan'!$H$7:$H$156,"&gt;="&amp;S$60)+0.25*COUNTIFS('Project Plan'!$V$7:$V$156,"*;"&amp;$A81&amp;";*",'Project Plan'!$O$7:$O$156,"&lt;&gt;"&amp;$A81,'Project Plan'!$F$7:$F$156,"&lt;="&amp;S$60,'Project Plan'!$H$7:$H$156,"&gt;="&amp;S$60)</f>
        <v>0.25</v>
      </c>
      <c r="T81" s="32" t="n">
        <f aca="false">COUNTIFS('Project Plan'!$O$7:$O$156,$A81,'Project Plan'!$F$7:$F$156,"&lt;="&amp;T$60,'Project Plan'!$H$7:$H$156,"&gt;="&amp;T$60)+0.25*COUNTIFS('Project Plan'!$V$7:$V$156,"*;"&amp;$A81&amp;";*",'Project Plan'!$O$7:$O$156,"&lt;&gt;"&amp;$A81,'Project Plan'!$F$7:$F$156,"&lt;="&amp;T$60,'Project Plan'!$H$7:$H$156,"&gt;="&amp;T$60)</f>
        <v>0.25</v>
      </c>
      <c r="U81" s="32" t="n">
        <f aca="false">COUNTIFS('Project Plan'!$O$7:$O$156,$A81,'Project Plan'!$F$7:$F$156,"&lt;="&amp;U$60,'Project Plan'!$H$7:$H$156,"&gt;="&amp;U$60)+0.25*COUNTIFS('Project Plan'!$V$7:$V$156,"*;"&amp;$A81&amp;";*",'Project Plan'!$O$7:$O$156,"&lt;&gt;"&amp;$A81,'Project Plan'!$F$7:$F$156,"&lt;="&amp;U$60,'Project Plan'!$H$7:$H$156,"&gt;="&amp;U$60)</f>
        <v>0.25</v>
      </c>
      <c r="V81" s="32" t="n">
        <f aca="false">COUNTIFS('Project Plan'!$O$7:$O$156,$A81,'Project Plan'!$F$7:$F$156,"&lt;="&amp;V$60,'Project Plan'!$H$7:$H$156,"&gt;="&amp;V$60)+0.25*COUNTIFS('Project Plan'!$V$7:$V$156,"*;"&amp;$A81&amp;";*",'Project Plan'!$O$7:$O$156,"&lt;&gt;"&amp;$A81,'Project Plan'!$F$7:$F$156,"&lt;="&amp;V$60,'Project Plan'!$H$7:$H$156,"&gt;="&amp;V$60)</f>
        <v>0</v>
      </c>
      <c r="W81" s="32" t="n">
        <f aca="false">COUNTIFS('Project Plan'!$O$7:$O$156,$A81,'Project Plan'!$F$7:$F$156,"&lt;="&amp;W$60,'Project Plan'!$H$7:$H$156,"&gt;="&amp;W$60)+0.25*COUNTIFS('Project Plan'!$V$7:$V$156,"*;"&amp;$A81&amp;";*",'Project Plan'!$O$7:$O$156,"&lt;&gt;"&amp;$A81,'Project Plan'!$F$7:$F$156,"&lt;="&amp;W$60,'Project Plan'!$H$7:$H$156,"&gt;="&amp;W$60)</f>
        <v>0</v>
      </c>
      <c r="X81" s="32" t="n">
        <f aca="false">COUNTIFS('Project Plan'!$O$7:$O$156,$A81,'Project Plan'!$F$7:$F$156,"&lt;="&amp;X$60,'Project Plan'!$H$7:$H$156,"&gt;="&amp;X$60)+0.25*COUNTIFS('Project Plan'!$V$7:$V$156,"*;"&amp;$A81&amp;";*",'Project Plan'!$O$7:$O$156,"&lt;&gt;"&amp;$A81,'Project Plan'!$F$7:$F$156,"&lt;="&amp;X$60,'Project Plan'!$H$7:$H$156,"&gt;="&amp;X$60)</f>
        <v>0</v>
      </c>
      <c r="Y81" s="32" t="n">
        <f aca="false">COUNTIFS('Project Plan'!$O$7:$O$156,$A81,'Project Plan'!$F$7:$F$156,"&lt;="&amp;Y$60,'Project Plan'!$H$7:$H$156,"&gt;="&amp;Y$60)+0.25*COUNTIFS('Project Plan'!$V$7:$V$156,"*;"&amp;$A81&amp;";*",'Project Plan'!$O$7:$O$156,"&lt;&gt;"&amp;$A81,'Project Plan'!$F$7:$F$156,"&lt;="&amp;Y$60,'Project Plan'!$H$7:$H$156,"&gt;="&amp;Y$60)</f>
        <v>0</v>
      </c>
      <c r="Z81" s="32" t="n">
        <f aca="false">COUNTIFS('Project Plan'!$O$7:$O$156,$A81,'Project Plan'!$F$7:$F$156,"&lt;="&amp;Z$60,'Project Plan'!$H$7:$H$156,"&gt;="&amp;Z$60)+0.25*COUNTIFS('Project Plan'!$V$7:$V$156,"*;"&amp;$A81&amp;";*",'Project Plan'!$O$7:$O$156,"&lt;&gt;"&amp;$A81,'Project Plan'!$F$7:$F$156,"&lt;="&amp;Z$60,'Project Plan'!$H$7:$H$156,"&gt;="&amp;Z$60)</f>
        <v>0</v>
      </c>
      <c r="AA81" s="32" t="n">
        <f aca="false">COUNTIFS('Project Plan'!$O$7:$O$156,$A81,'Project Plan'!$F$7:$F$156,"&lt;="&amp;AA$60,'Project Plan'!$H$7:$H$156,"&gt;="&amp;AA$60)+0.25*COUNTIFS('Project Plan'!$V$7:$V$156,"*;"&amp;$A81&amp;";*",'Project Plan'!$O$7:$O$156,"&lt;&gt;"&amp;$A81,'Project Plan'!$F$7:$F$156,"&lt;="&amp;AA$60,'Project Plan'!$H$7:$H$156,"&gt;="&amp;AA$60)</f>
        <v>0</v>
      </c>
      <c r="AB81" s="32" t="n">
        <f aca="false">COUNTIFS('Project Plan'!$O$7:$O$156,$A81,'Project Plan'!$F$7:$F$156,"&lt;="&amp;AB$60,'Project Plan'!$H$7:$H$156,"&gt;="&amp;AB$60)+0.25*COUNTIFS('Project Plan'!$V$7:$V$156,"*;"&amp;$A81&amp;";*",'Project Plan'!$O$7:$O$156,"&lt;&gt;"&amp;$A81,'Project Plan'!$F$7:$F$156,"&lt;="&amp;AB$60,'Project Plan'!$H$7:$H$156,"&gt;="&amp;AB$60)</f>
        <v>0</v>
      </c>
      <c r="AC81" s="32" t="n">
        <f aca="false">COUNTIFS('Project Plan'!$O$7:$O$156,$A81,'Project Plan'!$F$7:$F$156,"&lt;="&amp;AC$60,'Project Plan'!$H$7:$H$156,"&gt;="&amp;AC$60)+0.25*COUNTIFS('Project Plan'!$V$7:$V$156,"*;"&amp;$A81&amp;";*",'Project Plan'!$O$7:$O$156,"&lt;&gt;"&amp;$A81,'Project Plan'!$F$7:$F$156,"&lt;="&amp;AC$60,'Project Plan'!$H$7:$H$156,"&gt;="&amp;AC$60)</f>
        <v>0</v>
      </c>
    </row>
    <row r="82" customFormat="false" ht="15" hidden="false" customHeight="false" outlineLevel="0" collapsed="false">
      <c r="A82" s="0" t="str">
        <f aca="false">A26</f>
        <v>ENG</v>
      </c>
      <c r="B82" s="0" t="n">
        <f aca="false">4*E26</f>
        <v>0</v>
      </c>
      <c r="C82" s="32" t="n">
        <f aca="false">COUNTIFS('Project Plan'!$O$7:$O$156,$A82,'Project Plan'!$F$7:$F$156,"&lt;="&amp;C$60,'Project Plan'!$H$7:$H$156,"&gt;="&amp;C$60)+0.25*COUNTIFS('Project Plan'!$V$7:$V$156,"*;"&amp;$A82&amp;";*",'Project Plan'!$O$7:$O$156,"&lt;&gt;"&amp;$A82,'Project Plan'!$F$7:$F$156,"&lt;="&amp;C$60,'Project Plan'!$H$7:$H$156,"&gt;="&amp;C$60)</f>
        <v>0.5</v>
      </c>
      <c r="D82" s="32" t="n">
        <f aca="false">COUNTIFS('Project Plan'!$O$7:$O$156,$A82,'Project Plan'!$F$7:$F$156,"&lt;="&amp;D$60,'Project Plan'!$H$7:$H$156,"&gt;="&amp;D$60)+0.25*COUNTIFS('Project Plan'!$V$7:$V$156,"*;"&amp;$A82&amp;";*",'Project Plan'!$O$7:$O$156,"&lt;&gt;"&amp;$A82,'Project Plan'!$F$7:$F$156,"&lt;="&amp;D$60,'Project Plan'!$H$7:$H$156,"&gt;="&amp;D$60)</f>
        <v>0.5</v>
      </c>
      <c r="E82" s="32" t="n">
        <f aca="false">COUNTIFS('Project Plan'!$O$7:$O$156,$A82,'Project Plan'!$F$7:$F$156,"&lt;="&amp;E$60,'Project Plan'!$H$7:$H$156,"&gt;="&amp;E$60)+0.25*COUNTIFS('Project Plan'!$V$7:$V$156,"*;"&amp;$A82&amp;";*",'Project Plan'!$O$7:$O$156,"&lt;&gt;"&amp;$A82,'Project Plan'!$F$7:$F$156,"&lt;="&amp;E$60,'Project Plan'!$H$7:$H$156,"&gt;="&amp;E$60)</f>
        <v>1.25</v>
      </c>
      <c r="F82" s="32" t="n">
        <f aca="false">COUNTIFS('Project Plan'!$O$7:$O$156,$A82,'Project Plan'!$F$7:$F$156,"&lt;="&amp;F$60,'Project Plan'!$H$7:$H$156,"&gt;="&amp;F$60)+0.25*COUNTIFS('Project Plan'!$V$7:$V$156,"*;"&amp;$A82&amp;";*",'Project Plan'!$O$7:$O$156,"&lt;&gt;"&amp;$A82,'Project Plan'!$F$7:$F$156,"&lt;="&amp;F$60,'Project Plan'!$H$7:$H$156,"&gt;="&amp;F$60)</f>
        <v>1</v>
      </c>
      <c r="G82" s="32" t="n">
        <f aca="false">COUNTIFS('Project Plan'!$O$7:$O$156,$A82,'Project Plan'!$F$7:$F$156,"&lt;="&amp;G$60,'Project Plan'!$H$7:$H$156,"&gt;="&amp;G$60)+0.25*COUNTIFS('Project Plan'!$V$7:$V$156,"*;"&amp;$A82&amp;";*",'Project Plan'!$O$7:$O$156,"&lt;&gt;"&amp;$A82,'Project Plan'!$F$7:$F$156,"&lt;="&amp;G$60,'Project Plan'!$H$7:$H$156,"&gt;="&amp;G$60)</f>
        <v>1</v>
      </c>
      <c r="H82" s="32" t="n">
        <f aca="false">COUNTIFS('Project Plan'!$O$7:$O$156,$A82,'Project Plan'!$F$7:$F$156,"&lt;="&amp;H$60,'Project Plan'!$H$7:$H$156,"&gt;="&amp;H$60)+0.25*COUNTIFS('Project Plan'!$V$7:$V$156,"*;"&amp;$A82&amp;";*",'Project Plan'!$O$7:$O$156,"&lt;&gt;"&amp;$A82,'Project Plan'!$F$7:$F$156,"&lt;="&amp;H$60,'Project Plan'!$H$7:$H$156,"&gt;="&amp;H$60)</f>
        <v>1</v>
      </c>
      <c r="I82" s="32" t="n">
        <f aca="false">COUNTIFS('Project Plan'!$O$7:$O$156,$A82,'Project Plan'!$F$7:$F$156,"&lt;="&amp;I$60,'Project Plan'!$H$7:$H$156,"&gt;="&amp;I$60)+0.25*COUNTIFS('Project Plan'!$V$7:$V$156,"*;"&amp;$A82&amp;";*",'Project Plan'!$O$7:$O$156,"&lt;&gt;"&amp;$A82,'Project Plan'!$F$7:$F$156,"&lt;="&amp;I$60,'Project Plan'!$H$7:$H$156,"&gt;="&amp;I$60)</f>
        <v>2</v>
      </c>
      <c r="J82" s="32" t="n">
        <f aca="false">COUNTIFS('Project Plan'!$O$7:$O$156,$A82,'Project Plan'!$F$7:$F$156,"&lt;="&amp;J$60,'Project Plan'!$H$7:$H$156,"&gt;="&amp;J$60)+0.25*COUNTIFS('Project Plan'!$V$7:$V$156,"*;"&amp;$A82&amp;";*",'Project Plan'!$O$7:$O$156,"&lt;&gt;"&amp;$A82,'Project Plan'!$F$7:$F$156,"&lt;="&amp;J$60,'Project Plan'!$H$7:$H$156,"&gt;="&amp;J$60)</f>
        <v>2</v>
      </c>
      <c r="K82" s="32" t="n">
        <f aca="false">COUNTIFS('Project Plan'!$O$7:$O$156,$A82,'Project Plan'!$F$7:$F$156,"&lt;="&amp;K$60,'Project Plan'!$H$7:$H$156,"&gt;="&amp;K$60)+0.25*COUNTIFS('Project Plan'!$V$7:$V$156,"*;"&amp;$A82&amp;";*",'Project Plan'!$O$7:$O$156,"&lt;&gt;"&amp;$A82,'Project Plan'!$F$7:$F$156,"&lt;="&amp;K$60,'Project Plan'!$H$7:$H$156,"&gt;="&amp;K$60)</f>
        <v>1.5</v>
      </c>
      <c r="L82" s="32" t="n">
        <f aca="false">COUNTIFS('Project Plan'!$O$7:$O$156,$A82,'Project Plan'!$F$7:$F$156,"&lt;="&amp;L$60,'Project Plan'!$H$7:$H$156,"&gt;="&amp;L$60)+0.25*COUNTIFS('Project Plan'!$V$7:$V$156,"*;"&amp;$A82&amp;";*",'Project Plan'!$O$7:$O$156,"&lt;&gt;"&amp;$A82,'Project Plan'!$F$7:$F$156,"&lt;="&amp;L$60,'Project Plan'!$H$7:$H$156,"&gt;="&amp;L$60)</f>
        <v>2</v>
      </c>
      <c r="M82" s="32" t="n">
        <f aca="false">COUNTIFS('Project Plan'!$O$7:$O$156,$A82,'Project Plan'!$F$7:$F$156,"&lt;="&amp;M$60,'Project Plan'!$H$7:$H$156,"&gt;="&amp;M$60)+0.25*COUNTIFS('Project Plan'!$V$7:$V$156,"*;"&amp;$A82&amp;";*",'Project Plan'!$O$7:$O$156,"&lt;&gt;"&amp;$A82,'Project Plan'!$F$7:$F$156,"&lt;="&amp;M$60,'Project Plan'!$H$7:$H$156,"&gt;="&amp;M$60)</f>
        <v>2</v>
      </c>
      <c r="N82" s="32" t="n">
        <f aca="false">COUNTIFS('Project Plan'!$O$7:$O$156,$A82,'Project Plan'!$F$7:$F$156,"&lt;="&amp;N$60,'Project Plan'!$H$7:$H$156,"&gt;="&amp;N$60)+0.25*COUNTIFS('Project Plan'!$V$7:$V$156,"*;"&amp;$A82&amp;";*",'Project Plan'!$O$7:$O$156,"&lt;&gt;"&amp;$A82,'Project Plan'!$F$7:$F$156,"&lt;="&amp;N$60,'Project Plan'!$H$7:$H$156,"&gt;="&amp;N$60)</f>
        <v>2.5</v>
      </c>
      <c r="O82" s="32" t="n">
        <f aca="false">COUNTIFS('Project Plan'!$O$7:$O$156,$A82,'Project Plan'!$F$7:$F$156,"&lt;="&amp;O$60,'Project Plan'!$H$7:$H$156,"&gt;="&amp;O$60)+0.25*COUNTIFS('Project Plan'!$V$7:$V$156,"*;"&amp;$A82&amp;";*",'Project Plan'!$O$7:$O$156,"&lt;&gt;"&amp;$A82,'Project Plan'!$F$7:$F$156,"&lt;="&amp;O$60,'Project Plan'!$H$7:$H$156,"&gt;="&amp;O$60)</f>
        <v>2.75</v>
      </c>
      <c r="P82" s="32" t="n">
        <f aca="false">COUNTIFS('Project Plan'!$O$7:$O$156,$A82,'Project Plan'!$F$7:$F$156,"&lt;="&amp;P$60,'Project Plan'!$H$7:$H$156,"&gt;="&amp;P$60)+0.25*COUNTIFS('Project Plan'!$V$7:$V$156,"*;"&amp;$A82&amp;";*",'Project Plan'!$O$7:$O$156,"&lt;&gt;"&amp;$A82,'Project Plan'!$F$7:$F$156,"&lt;="&amp;P$60,'Project Plan'!$H$7:$H$156,"&gt;="&amp;P$60)</f>
        <v>2.75</v>
      </c>
      <c r="Q82" s="32" t="n">
        <f aca="false">COUNTIFS('Project Plan'!$O$7:$O$156,$A82,'Project Plan'!$F$7:$F$156,"&lt;="&amp;Q$60,'Project Plan'!$H$7:$H$156,"&gt;="&amp;Q$60)+0.25*COUNTIFS('Project Plan'!$V$7:$V$156,"*;"&amp;$A82&amp;";*",'Project Plan'!$O$7:$O$156,"&lt;&gt;"&amp;$A82,'Project Plan'!$F$7:$F$156,"&lt;="&amp;Q$60,'Project Plan'!$H$7:$H$156,"&gt;="&amp;Q$60)</f>
        <v>2</v>
      </c>
      <c r="R82" s="32" t="n">
        <f aca="false">COUNTIFS('Project Plan'!$O$7:$O$156,$A82,'Project Plan'!$F$7:$F$156,"&lt;="&amp;R$60,'Project Plan'!$H$7:$H$156,"&gt;="&amp;R$60)+0.25*COUNTIFS('Project Plan'!$V$7:$V$156,"*;"&amp;$A82&amp;";*",'Project Plan'!$O$7:$O$156,"&lt;&gt;"&amp;$A82,'Project Plan'!$F$7:$F$156,"&lt;="&amp;R$60,'Project Plan'!$H$7:$H$156,"&gt;="&amp;R$60)</f>
        <v>2</v>
      </c>
      <c r="S82" s="32" t="n">
        <f aca="false">COUNTIFS('Project Plan'!$O$7:$O$156,$A82,'Project Plan'!$F$7:$F$156,"&lt;="&amp;S$60,'Project Plan'!$H$7:$H$156,"&gt;="&amp;S$60)+0.25*COUNTIFS('Project Plan'!$V$7:$V$156,"*;"&amp;$A82&amp;";*",'Project Plan'!$O$7:$O$156,"&lt;&gt;"&amp;$A82,'Project Plan'!$F$7:$F$156,"&lt;="&amp;S$60,'Project Plan'!$H$7:$H$156,"&gt;="&amp;S$60)</f>
        <v>1.5</v>
      </c>
      <c r="T82" s="32" t="n">
        <f aca="false">COUNTIFS('Project Plan'!$O$7:$O$156,$A82,'Project Plan'!$F$7:$F$156,"&lt;="&amp;T$60,'Project Plan'!$H$7:$H$156,"&gt;="&amp;T$60)+0.25*COUNTIFS('Project Plan'!$V$7:$V$156,"*;"&amp;$A82&amp;";*",'Project Plan'!$O$7:$O$156,"&lt;&gt;"&amp;$A82,'Project Plan'!$F$7:$F$156,"&lt;="&amp;T$60,'Project Plan'!$H$7:$H$156,"&gt;="&amp;T$60)</f>
        <v>1.5</v>
      </c>
      <c r="U82" s="32" t="n">
        <f aca="false">COUNTIFS('Project Plan'!$O$7:$O$156,$A82,'Project Plan'!$F$7:$F$156,"&lt;="&amp;U$60,'Project Plan'!$H$7:$H$156,"&gt;="&amp;U$60)+0.25*COUNTIFS('Project Plan'!$V$7:$V$156,"*;"&amp;$A82&amp;";*",'Project Plan'!$O$7:$O$156,"&lt;&gt;"&amp;$A82,'Project Plan'!$F$7:$F$156,"&lt;="&amp;U$60,'Project Plan'!$H$7:$H$156,"&gt;="&amp;U$60)</f>
        <v>1</v>
      </c>
      <c r="V82" s="32" t="n">
        <f aca="false">COUNTIFS('Project Plan'!$O$7:$O$156,$A82,'Project Plan'!$F$7:$F$156,"&lt;="&amp;V$60,'Project Plan'!$H$7:$H$156,"&gt;="&amp;V$60)+0.25*COUNTIFS('Project Plan'!$V$7:$V$156,"*;"&amp;$A82&amp;";*",'Project Plan'!$O$7:$O$156,"&lt;&gt;"&amp;$A82,'Project Plan'!$F$7:$F$156,"&lt;="&amp;V$60,'Project Plan'!$H$7:$H$156,"&gt;="&amp;V$60)</f>
        <v>0.75</v>
      </c>
      <c r="W82" s="32" t="n">
        <f aca="false">COUNTIFS('Project Plan'!$O$7:$O$156,$A82,'Project Plan'!$F$7:$F$156,"&lt;="&amp;W$60,'Project Plan'!$H$7:$H$156,"&gt;="&amp;W$60)+0.25*COUNTIFS('Project Plan'!$V$7:$V$156,"*;"&amp;$A82&amp;";*",'Project Plan'!$O$7:$O$156,"&lt;&gt;"&amp;$A82,'Project Plan'!$F$7:$F$156,"&lt;="&amp;W$60,'Project Plan'!$H$7:$H$156,"&gt;="&amp;W$60)</f>
        <v>0.75</v>
      </c>
      <c r="X82" s="32" t="n">
        <f aca="false">COUNTIFS('Project Plan'!$O$7:$O$156,$A82,'Project Plan'!$F$7:$F$156,"&lt;="&amp;X$60,'Project Plan'!$H$7:$H$156,"&gt;="&amp;X$60)+0.25*COUNTIFS('Project Plan'!$V$7:$V$156,"*;"&amp;$A82&amp;";*",'Project Plan'!$O$7:$O$156,"&lt;&gt;"&amp;$A82,'Project Plan'!$F$7:$F$156,"&lt;="&amp;X$60,'Project Plan'!$H$7:$H$156,"&gt;="&amp;X$60)</f>
        <v>0.5</v>
      </c>
      <c r="Y82" s="32" t="n">
        <f aca="false">COUNTIFS('Project Plan'!$O$7:$O$156,$A82,'Project Plan'!$F$7:$F$156,"&lt;="&amp;Y$60,'Project Plan'!$H$7:$H$156,"&gt;="&amp;Y$60)+0.25*COUNTIFS('Project Plan'!$V$7:$V$156,"*;"&amp;$A82&amp;";*",'Project Plan'!$O$7:$O$156,"&lt;&gt;"&amp;$A82,'Project Plan'!$F$7:$F$156,"&lt;="&amp;Y$60,'Project Plan'!$H$7:$H$156,"&gt;="&amp;Y$60)</f>
        <v>0.5</v>
      </c>
      <c r="Z82" s="32" t="n">
        <f aca="false">COUNTIFS('Project Plan'!$O$7:$O$156,$A82,'Project Plan'!$F$7:$F$156,"&lt;="&amp;Z$60,'Project Plan'!$H$7:$H$156,"&gt;="&amp;Z$60)+0.25*COUNTIFS('Project Plan'!$V$7:$V$156,"*;"&amp;$A82&amp;";*",'Project Plan'!$O$7:$O$156,"&lt;&gt;"&amp;$A82,'Project Plan'!$F$7:$F$156,"&lt;="&amp;Z$60,'Project Plan'!$H$7:$H$156,"&gt;="&amp;Z$60)</f>
        <v>0</v>
      </c>
      <c r="AA82" s="32" t="n">
        <f aca="false">COUNTIFS('Project Plan'!$O$7:$O$156,$A82,'Project Plan'!$F$7:$F$156,"&lt;="&amp;AA$60,'Project Plan'!$H$7:$H$156,"&gt;="&amp;AA$60)+0.25*COUNTIFS('Project Plan'!$V$7:$V$156,"*;"&amp;$A82&amp;";*",'Project Plan'!$O$7:$O$156,"&lt;&gt;"&amp;$A82,'Project Plan'!$F$7:$F$156,"&lt;="&amp;AA$60,'Project Plan'!$H$7:$H$156,"&gt;="&amp;AA$60)</f>
        <v>0</v>
      </c>
      <c r="AB82" s="32" t="n">
        <f aca="false">COUNTIFS('Project Plan'!$O$7:$O$156,$A82,'Project Plan'!$F$7:$F$156,"&lt;="&amp;AB$60,'Project Plan'!$H$7:$H$156,"&gt;="&amp;AB$60)+0.25*COUNTIFS('Project Plan'!$V$7:$V$156,"*;"&amp;$A82&amp;";*",'Project Plan'!$O$7:$O$156,"&lt;&gt;"&amp;$A82,'Project Plan'!$F$7:$F$156,"&lt;="&amp;AB$60,'Project Plan'!$H$7:$H$156,"&gt;="&amp;AB$60)</f>
        <v>0</v>
      </c>
      <c r="AC82" s="32" t="n">
        <f aca="false">COUNTIFS('Project Plan'!$O$7:$O$156,$A82,'Project Plan'!$F$7:$F$156,"&lt;="&amp;AC$60,'Project Plan'!$H$7:$H$156,"&gt;="&amp;AC$60)+0.25*COUNTIFS('Project Plan'!$V$7:$V$156,"*;"&amp;$A82&amp;";*",'Project Plan'!$O$7:$O$156,"&lt;&gt;"&amp;$A82,'Project Plan'!$F$7:$F$156,"&lt;="&amp;AC$60,'Project Plan'!$H$7:$H$156,"&gt;="&amp;AC$60)</f>
        <v>0</v>
      </c>
    </row>
  </sheetData>
  <conditionalFormatting sqref="C36:AC57">
    <cfRule type="expression" priority="2" aboveAverage="0" equalAverage="0" bottom="0" percent="0" rank="0" text="" dxfId="11">
      <formula>C36&gt;$B36</formula>
    </cfRule>
    <cfRule type="expression" priority="3" aboveAverage="0" equalAverage="0" bottom="0" percent="0" rank="0" text="" dxfId="14">
      <formula>AND(C36&gt;0,C36=$B36)</formula>
    </cfRule>
  </conditionalFormatting>
  <conditionalFormatting sqref="C61:AC82">
    <cfRule type="expression" priority="4" aboveAverage="0" equalAverage="0" bottom="0" percent="0" rank="0" text="" dxfId="11">
      <formula>AND($B61&gt;0,C61&gt;$B61)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4"/>
    <col collapsed="false" customWidth="true" hidden="false" outlineLevel="0" max="24" min="3" style="0" width="5"/>
    <col collapsed="false" customWidth="true" hidden="false" outlineLevel="0" max="25" min="25" style="0" width="10"/>
  </cols>
  <sheetData>
    <row r="1" customFormat="false" ht="17.35" hidden="false" customHeight="false" outlineLevel="0" collapsed="false">
      <c r="A1" s="1" t="s">
        <v>1234</v>
      </c>
    </row>
    <row r="2" customFormat="false" ht="15" hidden="false" customHeight="false" outlineLevel="0" collapsed="false">
      <c r="A2" s="2" t="s">
        <v>1235</v>
      </c>
    </row>
    <row r="4" customFormat="false" ht="35.05" hidden="false" customHeight="false" outlineLevel="0" collapsed="false">
      <c r="A4" s="10" t="s">
        <v>1236</v>
      </c>
      <c r="B4" s="10" t="s">
        <v>99</v>
      </c>
      <c r="C4" s="10" t="s">
        <v>121</v>
      </c>
      <c r="D4" s="10" t="s">
        <v>174</v>
      </c>
      <c r="E4" s="10" t="s">
        <v>184</v>
      </c>
      <c r="F4" s="10" t="s">
        <v>140</v>
      </c>
      <c r="G4" s="10" t="s">
        <v>150</v>
      </c>
      <c r="H4" s="10" t="s">
        <v>318</v>
      </c>
      <c r="I4" s="10" t="s">
        <v>343</v>
      </c>
      <c r="J4" s="10" t="s">
        <v>429</v>
      </c>
      <c r="K4" s="10" t="s">
        <v>388</v>
      </c>
      <c r="L4" s="10" t="s">
        <v>158</v>
      </c>
      <c r="M4" s="10" t="s">
        <v>415</v>
      </c>
      <c r="N4" s="10" t="s">
        <v>284</v>
      </c>
      <c r="O4" s="10" t="s">
        <v>224</v>
      </c>
      <c r="P4" s="10" t="s">
        <v>983</v>
      </c>
      <c r="Q4" s="10" t="s">
        <v>796</v>
      </c>
      <c r="R4" s="10" t="s">
        <v>1044</v>
      </c>
      <c r="S4" s="10" t="s">
        <v>1037</v>
      </c>
      <c r="T4" s="10" t="s">
        <v>1096</v>
      </c>
      <c r="U4" s="10" t="s">
        <v>571</v>
      </c>
      <c r="V4" s="10" t="s">
        <v>1104</v>
      </c>
      <c r="W4" s="10" t="s">
        <v>944</v>
      </c>
      <c r="X4" s="10" t="s">
        <v>175</v>
      </c>
      <c r="Y4" s="10" t="s">
        <v>1237</v>
      </c>
    </row>
    <row r="5" customFormat="false" ht="15" hidden="false" customHeight="false" outlineLevel="0" collapsed="false">
      <c r="A5" s="11" t="s">
        <v>171</v>
      </c>
      <c r="B5" s="11" t="s">
        <v>1238</v>
      </c>
      <c r="C5" s="35" t="s">
        <v>1239</v>
      </c>
      <c r="D5" s="35" t="s">
        <v>1240</v>
      </c>
      <c r="E5" s="35" t="s">
        <v>1241</v>
      </c>
      <c r="F5" s="35" t="s">
        <v>1241</v>
      </c>
      <c r="G5" s="35" t="s">
        <v>1239</v>
      </c>
      <c r="H5" s="35" t="s">
        <v>1242</v>
      </c>
      <c r="I5" s="35" t="s">
        <v>1242</v>
      </c>
      <c r="J5" s="35" t="s">
        <v>1239</v>
      </c>
      <c r="K5" s="35" t="s">
        <v>1243</v>
      </c>
      <c r="L5" s="35" t="s">
        <v>1243</v>
      </c>
      <c r="M5" s="35" t="s">
        <v>1243</v>
      </c>
      <c r="N5" s="35" t="s">
        <v>1239</v>
      </c>
      <c r="O5" s="35" t="s">
        <v>1239</v>
      </c>
      <c r="P5" s="35" t="s">
        <v>1243</v>
      </c>
      <c r="Q5" s="35" t="s">
        <v>1239</v>
      </c>
      <c r="R5" s="35" t="s">
        <v>1241</v>
      </c>
      <c r="S5" s="35" t="s">
        <v>1243</v>
      </c>
      <c r="T5" s="35" t="s">
        <v>1243</v>
      </c>
      <c r="U5" s="35" t="s">
        <v>1243</v>
      </c>
      <c r="V5" s="35" t="s">
        <v>1243</v>
      </c>
      <c r="W5" s="35" t="s">
        <v>1243</v>
      </c>
      <c r="X5" s="35" t="s">
        <v>1242</v>
      </c>
      <c r="Y5" s="36" t="n">
        <f aca="false">COUNTIF(C5:X5,"A")</f>
        <v>1</v>
      </c>
    </row>
    <row r="6" customFormat="false" ht="22.35" hidden="false" customHeight="false" outlineLevel="0" collapsed="false">
      <c r="A6" s="11" t="s">
        <v>98</v>
      </c>
      <c r="B6" s="11" t="s">
        <v>1244</v>
      </c>
      <c r="C6" s="35" t="s">
        <v>1239</v>
      </c>
      <c r="D6" s="35" t="s">
        <v>1241</v>
      </c>
      <c r="E6" s="35" t="s">
        <v>1240</v>
      </c>
      <c r="F6" s="35" t="s">
        <v>1241</v>
      </c>
      <c r="G6" s="35" t="s">
        <v>1242</v>
      </c>
      <c r="H6" s="35" t="s">
        <v>1243</v>
      </c>
      <c r="I6" s="35" t="s">
        <v>1242</v>
      </c>
      <c r="J6" s="35" t="s">
        <v>1241</v>
      </c>
      <c r="K6" s="35" t="s">
        <v>1242</v>
      </c>
      <c r="L6" s="35" t="s">
        <v>1243</v>
      </c>
      <c r="M6" s="35" t="s">
        <v>1242</v>
      </c>
      <c r="N6" s="35" t="s">
        <v>1239</v>
      </c>
      <c r="O6" s="35" t="s">
        <v>1239</v>
      </c>
      <c r="P6" s="35" t="s">
        <v>1243</v>
      </c>
      <c r="Q6" s="35" t="s">
        <v>1239</v>
      </c>
      <c r="R6" s="35" t="s">
        <v>1241</v>
      </c>
      <c r="S6" s="35" t="s">
        <v>1243</v>
      </c>
      <c r="T6" s="35" t="s">
        <v>1243</v>
      </c>
      <c r="U6" s="35" t="s">
        <v>1243</v>
      </c>
      <c r="V6" s="35" t="s">
        <v>1243</v>
      </c>
      <c r="W6" s="35" t="s">
        <v>1241</v>
      </c>
      <c r="X6" s="35" t="s">
        <v>1242</v>
      </c>
      <c r="Y6" s="36" t="n">
        <f aca="false">COUNTIF(C6:X6,"A")</f>
        <v>1</v>
      </c>
    </row>
    <row r="7" customFormat="false" ht="15" hidden="false" customHeight="false" outlineLevel="0" collapsed="false">
      <c r="A7" s="11" t="s">
        <v>181</v>
      </c>
      <c r="B7" s="11" t="s">
        <v>1245</v>
      </c>
      <c r="C7" s="35" t="s">
        <v>1241</v>
      </c>
      <c r="D7" s="35" t="s">
        <v>1242</v>
      </c>
      <c r="E7" s="35" t="s">
        <v>1240</v>
      </c>
      <c r="F7" s="35" t="s">
        <v>1241</v>
      </c>
      <c r="G7" s="35" t="s">
        <v>1242</v>
      </c>
      <c r="H7" s="35" t="s">
        <v>1241</v>
      </c>
      <c r="I7" s="35" t="s">
        <v>1242</v>
      </c>
      <c r="J7" s="35" t="s">
        <v>1242</v>
      </c>
      <c r="K7" s="35" t="s">
        <v>1241</v>
      </c>
      <c r="L7" s="35" t="s">
        <v>1242</v>
      </c>
      <c r="M7" s="35" t="s">
        <v>1243</v>
      </c>
      <c r="N7" s="35" t="s">
        <v>1239</v>
      </c>
      <c r="O7" s="35" t="s">
        <v>1239</v>
      </c>
      <c r="P7" s="35" t="s">
        <v>1243</v>
      </c>
      <c r="Q7" s="35" t="s">
        <v>1242</v>
      </c>
      <c r="R7" s="35" t="s">
        <v>1242</v>
      </c>
      <c r="S7" s="35" t="s">
        <v>1243</v>
      </c>
      <c r="T7" s="35" t="s">
        <v>1243</v>
      </c>
      <c r="U7" s="35" t="s">
        <v>1241</v>
      </c>
      <c r="V7" s="35" t="s">
        <v>1243</v>
      </c>
      <c r="W7" s="35" t="s">
        <v>1243</v>
      </c>
      <c r="X7" s="35" t="s">
        <v>1241</v>
      </c>
      <c r="Y7" s="36" t="n">
        <f aca="false">COUNTIF(C7:X7,"A")</f>
        <v>1</v>
      </c>
    </row>
    <row r="8" customFormat="false" ht="15" hidden="false" customHeight="false" outlineLevel="0" collapsed="false">
      <c r="A8" s="11" t="s">
        <v>147</v>
      </c>
      <c r="B8" s="11" t="s">
        <v>1246</v>
      </c>
      <c r="C8" s="35" t="s">
        <v>1241</v>
      </c>
      <c r="D8" s="35" t="s">
        <v>1241</v>
      </c>
      <c r="E8" s="35" t="s">
        <v>1241</v>
      </c>
      <c r="F8" s="35" t="s">
        <v>1241</v>
      </c>
      <c r="G8" s="35" t="s">
        <v>1240</v>
      </c>
      <c r="H8" s="35" t="s">
        <v>1243</v>
      </c>
      <c r="I8" s="35" t="s">
        <v>1243</v>
      </c>
      <c r="J8" s="35" t="s">
        <v>1241</v>
      </c>
      <c r="K8" s="35" t="s">
        <v>1243</v>
      </c>
      <c r="L8" s="35" t="s">
        <v>1242</v>
      </c>
      <c r="M8" s="35" t="s">
        <v>1242</v>
      </c>
      <c r="N8" s="35" t="s">
        <v>1239</v>
      </c>
      <c r="O8" s="35" t="s">
        <v>1239</v>
      </c>
      <c r="P8" s="35" t="s">
        <v>1242</v>
      </c>
      <c r="Q8" s="35" t="s">
        <v>1239</v>
      </c>
      <c r="R8" s="35" t="s">
        <v>1241</v>
      </c>
      <c r="S8" s="35" t="s">
        <v>1243</v>
      </c>
      <c r="T8" s="35" t="s">
        <v>1243</v>
      </c>
      <c r="U8" s="35" t="s">
        <v>1241</v>
      </c>
      <c r="V8" s="35" t="s">
        <v>1243</v>
      </c>
      <c r="W8" s="35" t="s">
        <v>1243</v>
      </c>
      <c r="X8" s="35" t="s">
        <v>1242</v>
      </c>
      <c r="Y8" s="36" t="n">
        <f aca="false">COUNTIF(C8:X8,"A")</f>
        <v>1</v>
      </c>
    </row>
    <row r="9" customFormat="false" ht="15" hidden="false" customHeight="false" outlineLevel="0" collapsed="false">
      <c r="A9" s="11" t="s">
        <v>137</v>
      </c>
      <c r="B9" s="11" t="s">
        <v>1247</v>
      </c>
      <c r="C9" s="35" t="s">
        <v>1241</v>
      </c>
      <c r="D9" s="35" t="s">
        <v>1241</v>
      </c>
      <c r="E9" s="35" t="s">
        <v>1241</v>
      </c>
      <c r="F9" s="35" t="s">
        <v>1240</v>
      </c>
      <c r="G9" s="35" t="s">
        <v>1241</v>
      </c>
      <c r="H9" s="35" t="s">
        <v>1243</v>
      </c>
      <c r="I9" s="35" t="s">
        <v>1243</v>
      </c>
      <c r="J9" s="35" t="s">
        <v>1243</v>
      </c>
      <c r="K9" s="35" t="s">
        <v>1243</v>
      </c>
      <c r="L9" s="35" t="s">
        <v>1242</v>
      </c>
      <c r="M9" s="35" t="s">
        <v>1243</v>
      </c>
      <c r="N9" s="35" t="s">
        <v>1242</v>
      </c>
      <c r="O9" s="35" t="s">
        <v>1242</v>
      </c>
      <c r="P9" s="35" t="s">
        <v>1243</v>
      </c>
      <c r="Q9" s="35" t="s">
        <v>1243</v>
      </c>
      <c r="R9" s="35" t="s">
        <v>1243</v>
      </c>
      <c r="S9" s="35" t="s">
        <v>1242</v>
      </c>
      <c r="T9" s="35" t="s">
        <v>1242</v>
      </c>
      <c r="U9" s="35" t="s">
        <v>1242</v>
      </c>
      <c r="V9" s="35" t="s">
        <v>1242</v>
      </c>
      <c r="W9" s="35" t="s">
        <v>1242</v>
      </c>
      <c r="X9" s="35" t="s">
        <v>1239</v>
      </c>
      <c r="Y9" s="36" t="n">
        <f aca="false">COUNTIF(C9:X9,"A")</f>
        <v>1</v>
      </c>
    </row>
    <row r="10" customFormat="false" ht="15" hidden="false" customHeight="false" outlineLevel="0" collapsed="false">
      <c r="A10" s="11" t="s">
        <v>118</v>
      </c>
      <c r="B10" s="11" t="s">
        <v>1248</v>
      </c>
      <c r="C10" s="35" t="s">
        <v>1240</v>
      </c>
      <c r="D10" s="35" t="s">
        <v>1242</v>
      </c>
      <c r="E10" s="35" t="s">
        <v>1242</v>
      </c>
      <c r="F10" s="35" t="s">
        <v>1242</v>
      </c>
      <c r="G10" s="35" t="s">
        <v>1242</v>
      </c>
      <c r="H10" s="35" t="s">
        <v>1239</v>
      </c>
      <c r="I10" s="35" t="s">
        <v>1239</v>
      </c>
      <c r="J10" s="35" t="s">
        <v>1239</v>
      </c>
      <c r="K10" s="35" t="s">
        <v>1239</v>
      </c>
      <c r="L10" s="35" t="s">
        <v>1239</v>
      </c>
      <c r="M10" s="35" t="s">
        <v>1239</v>
      </c>
      <c r="N10" s="35" t="s">
        <v>1239</v>
      </c>
      <c r="O10" s="35" t="s">
        <v>1242</v>
      </c>
      <c r="P10" s="35" t="s">
        <v>1239</v>
      </c>
      <c r="Q10" s="35" t="s">
        <v>1239</v>
      </c>
      <c r="R10" s="35" t="s">
        <v>1239</v>
      </c>
      <c r="S10" s="35" t="s">
        <v>1239</v>
      </c>
      <c r="T10" s="35" t="s">
        <v>1239</v>
      </c>
      <c r="U10" s="35" t="s">
        <v>1239</v>
      </c>
      <c r="V10" s="35" t="s">
        <v>1239</v>
      </c>
      <c r="W10" s="35" t="s">
        <v>1239</v>
      </c>
      <c r="X10" s="35" t="s">
        <v>1239</v>
      </c>
      <c r="Y10" s="36" t="n">
        <f aca="false">COUNTIF(C10:X10,"A")</f>
        <v>1</v>
      </c>
    </row>
    <row r="12" customFormat="false" ht="15" hidden="false" customHeight="false" outlineLevel="0" collapsed="false">
      <c r="A12" s="3" t="s">
        <v>1249</v>
      </c>
    </row>
    <row r="13" customFormat="false" ht="15" hidden="false" customHeight="false" outlineLevel="0" collapsed="false">
      <c r="A13" s="37" t="s">
        <v>121</v>
      </c>
      <c r="B13" s="37" t="s">
        <v>1145</v>
      </c>
    </row>
    <row r="14" customFormat="false" ht="15" hidden="false" customHeight="false" outlineLevel="0" collapsed="false">
      <c r="A14" s="37" t="s">
        <v>174</v>
      </c>
      <c r="B14" s="37" t="s">
        <v>1150</v>
      </c>
    </row>
    <row r="15" customFormat="false" ht="15" hidden="false" customHeight="false" outlineLevel="0" collapsed="false">
      <c r="A15" s="37" t="s">
        <v>184</v>
      </c>
      <c r="B15" s="37" t="s">
        <v>1153</v>
      </c>
    </row>
    <row r="16" customFormat="false" ht="15" hidden="false" customHeight="false" outlineLevel="0" collapsed="false">
      <c r="A16" s="37" t="s">
        <v>140</v>
      </c>
      <c r="B16" s="37" t="s">
        <v>1156</v>
      </c>
    </row>
    <row r="17" customFormat="false" ht="15" hidden="false" customHeight="false" outlineLevel="0" collapsed="false">
      <c r="A17" s="37" t="s">
        <v>150</v>
      </c>
      <c r="B17" s="37" t="s">
        <v>1159</v>
      </c>
    </row>
    <row r="18" customFormat="false" ht="15" hidden="false" customHeight="false" outlineLevel="0" collapsed="false">
      <c r="A18" s="37" t="s">
        <v>318</v>
      </c>
      <c r="B18" s="37" t="s">
        <v>1162</v>
      </c>
    </row>
    <row r="19" customFormat="false" ht="15" hidden="false" customHeight="false" outlineLevel="0" collapsed="false">
      <c r="A19" s="37" t="s">
        <v>343</v>
      </c>
      <c r="B19" s="37" t="s">
        <v>1167</v>
      </c>
    </row>
    <row r="20" customFormat="false" ht="15" hidden="false" customHeight="false" outlineLevel="0" collapsed="false">
      <c r="A20" s="37" t="s">
        <v>429</v>
      </c>
      <c r="B20" s="37" t="s">
        <v>1170</v>
      </c>
    </row>
    <row r="21" customFormat="false" ht="15" hidden="false" customHeight="false" outlineLevel="0" collapsed="false">
      <c r="A21" s="37" t="s">
        <v>388</v>
      </c>
      <c r="B21" s="37" t="s">
        <v>1173</v>
      </c>
    </row>
    <row r="22" customFormat="false" ht="15" hidden="false" customHeight="false" outlineLevel="0" collapsed="false">
      <c r="A22" s="37" t="s">
        <v>158</v>
      </c>
      <c r="B22" s="37" t="s">
        <v>1176</v>
      </c>
    </row>
    <row r="23" customFormat="false" ht="15" hidden="false" customHeight="false" outlineLevel="0" collapsed="false">
      <c r="A23" s="37" t="s">
        <v>415</v>
      </c>
      <c r="B23" s="37" t="s">
        <v>1179</v>
      </c>
    </row>
    <row r="24" customFormat="false" ht="15" hidden="false" customHeight="false" outlineLevel="0" collapsed="false">
      <c r="A24" s="37" t="s">
        <v>284</v>
      </c>
      <c r="B24" s="37" t="s">
        <v>1182</v>
      </c>
    </row>
    <row r="25" customFormat="false" ht="15" hidden="false" customHeight="false" outlineLevel="0" collapsed="false">
      <c r="A25" s="37" t="s">
        <v>224</v>
      </c>
      <c r="B25" s="37" t="s">
        <v>1186</v>
      </c>
    </row>
    <row r="26" customFormat="false" ht="15" hidden="false" customHeight="false" outlineLevel="0" collapsed="false">
      <c r="A26" s="37" t="s">
        <v>983</v>
      </c>
      <c r="B26" s="37" t="s">
        <v>1189</v>
      </c>
    </row>
    <row r="27" customFormat="false" ht="15" hidden="false" customHeight="false" outlineLevel="0" collapsed="false">
      <c r="A27" s="37" t="s">
        <v>796</v>
      </c>
      <c r="B27" s="37" t="s">
        <v>1194</v>
      </c>
    </row>
    <row r="28" customFormat="false" ht="15" hidden="false" customHeight="false" outlineLevel="0" collapsed="false">
      <c r="A28" s="37" t="s">
        <v>1044</v>
      </c>
      <c r="B28" s="37" t="s">
        <v>1198</v>
      </c>
    </row>
    <row r="29" customFormat="false" ht="15" hidden="false" customHeight="false" outlineLevel="0" collapsed="false">
      <c r="A29" s="37" t="s">
        <v>1037</v>
      </c>
      <c r="B29" s="37" t="s">
        <v>1201</v>
      </c>
    </row>
    <row r="30" customFormat="false" ht="15" hidden="false" customHeight="false" outlineLevel="0" collapsed="false">
      <c r="A30" s="37" t="s">
        <v>1096</v>
      </c>
      <c r="B30" s="37" t="s">
        <v>1205</v>
      </c>
    </row>
    <row r="31" customFormat="false" ht="15" hidden="false" customHeight="false" outlineLevel="0" collapsed="false">
      <c r="A31" s="37" t="s">
        <v>571</v>
      </c>
      <c r="B31" s="37" t="s">
        <v>1209</v>
      </c>
    </row>
    <row r="32" customFormat="false" ht="15" hidden="false" customHeight="false" outlineLevel="0" collapsed="false">
      <c r="A32" s="37" t="s">
        <v>1104</v>
      </c>
      <c r="B32" s="37" t="s">
        <v>1212</v>
      </c>
    </row>
    <row r="33" customFormat="false" ht="15" hidden="false" customHeight="false" outlineLevel="0" collapsed="false">
      <c r="A33" s="37" t="s">
        <v>944</v>
      </c>
      <c r="B33" s="37" t="s">
        <v>1215</v>
      </c>
    </row>
    <row r="34" customFormat="false" ht="15" hidden="false" customHeight="false" outlineLevel="0" collapsed="false">
      <c r="A34" s="37" t="s">
        <v>175</v>
      </c>
      <c r="B34" s="37" t="s">
        <v>1220</v>
      </c>
    </row>
  </sheetData>
  <conditionalFormatting sqref="C5:X10">
    <cfRule type="expression" priority="2" aboveAverage="0" equalAverage="0" bottom="0" percent="0" rank="0" text="" dxfId="15">
      <formula>C5="A"</formula>
    </cfRule>
    <cfRule type="expression" priority="3" aboveAverage="0" equalAverage="0" bottom="0" percent="0" rank="0" text="" dxfId="16">
      <formula>C5="R"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0"/>
    <col collapsed="false" customWidth="true" hidden="false" outlineLevel="0" max="4" min="3" style="0" width="40"/>
    <col collapsed="false" customWidth="true" hidden="false" outlineLevel="0" max="5" min="5" style="0" width="30"/>
    <col collapsed="false" customWidth="true" hidden="false" outlineLevel="0" max="6" min="6" style="0" width="26"/>
  </cols>
  <sheetData>
    <row r="1" customFormat="false" ht="17.35" hidden="false" customHeight="false" outlineLevel="0" collapsed="false">
      <c r="A1" s="1" t="s">
        <v>1250</v>
      </c>
    </row>
    <row r="4" customFormat="false" ht="15" hidden="false" customHeight="false" outlineLevel="0" collapsed="false">
      <c r="A4" s="10" t="s">
        <v>1251</v>
      </c>
      <c r="B4" s="10" t="s">
        <v>1252</v>
      </c>
      <c r="C4" s="10" t="s">
        <v>1253</v>
      </c>
      <c r="D4" s="10" t="s">
        <v>1254</v>
      </c>
      <c r="E4" s="10" t="s">
        <v>1255</v>
      </c>
      <c r="F4" s="10" t="s">
        <v>1256</v>
      </c>
    </row>
    <row r="5" customFormat="false" ht="32.8" hidden="false" customHeight="false" outlineLevel="0" collapsed="false">
      <c r="A5" s="11" t="s">
        <v>1257</v>
      </c>
      <c r="B5" s="11" t="s">
        <v>1258</v>
      </c>
      <c r="C5" s="11" t="s">
        <v>1259</v>
      </c>
      <c r="D5" s="11" t="s">
        <v>1260</v>
      </c>
      <c r="E5" s="11" t="s">
        <v>1261</v>
      </c>
      <c r="F5" s="11" t="s">
        <v>1262</v>
      </c>
    </row>
    <row r="6" customFormat="false" ht="32.8" hidden="false" customHeight="false" outlineLevel="0" collapsed="false">
      <c r="A6" s="11" t="s">
        <v>1263</v>
      </c>
      <c r="B6" s="11" t="s">
        <v>1264</v>
      </c>
      <c r="C6" s="11" t="s">
        <v>1265</v>
      </c>
      <c r="D6" s="11" t="s">
        <v>1266</v>
      </c>
      <c r="E6" s="11" t="s">
        <v>1267</v>
      </c>
      <c r="F6" s="11" t="s">
        <v>1268</v>
      </c>
    </row>
    <row r="7" customFormat="false" ht="43.25" hidden="false" customHeight="false" outlineLevel="0" collapsed="false">
      <c r="A7" s="11" t="s">
        <v>1269</v>
      </c>
      <c r="B7" s="11" t="s">
        <v>1270</v>
      </c>
      <c r="C7" s="11" t="s">
        <v>1271</v>
      </c>
      <c r="D7" s="11" t="s">
        <v>1272</v>
      </c>
      <c r="E7" s="11" t="s">
        <v>1273</v>
      </c>
      <c r="F7" s="11" t="s">
        <v>1274</v>
      </c>
    </row>
    <row r="8" customFormat="false" ht="32.8" hidden="false" customHeight="false" outlineLevel="0" collapsed="false">
      <c r="A8" s="11" t="s">
        <v>1275</v>
      </c>
      <c r="B8" s="11" t="s">
        <v>1276</v>
      </c>
      <c r="C8" s="11" t="s">
        <v>1277</v>
      </c>
      <c r="D8" s="11" t="s">
        <v>1278</v>
      </c>
      <c r="E8" s="11" t="s">
        <v>1279</v>
      </c>
      <c r="F8" s="11" t="s">
        <v>1280</v>
      </c>
    </row>
    <row r="9" customFormat="false" ht="43.25" hidden="false" customHeight="false" outlineLevel="0" collapsed="false">
      <c r="A9" s="11" t="s">
        <v>1281</v>
      </c>
      <c r="B9" s="11" t="s">
        <v>1282</v>
      </c>
      <c r="C9" s="11" t="s">
        <v>1283</v>
      </c>
      <c r="D9" s="11" t="s">
        <v>1284</v>
      </c>
      <c r="E9" s="11" t="s">
        <v>1285</v>
      </c>
      <c r="F9" s="11" t="s">
        <v>1286</v>
      </c>
    </row>
    <row r="10" customFormat="false" ht="32.8" hidden="false" customHeight="false" outlineLevel="0" collapsed="false">
      <c r="A10" s="11" t="s">
        <v>1287</v>
      </c>
      <c r="B10" s="11" t="s">
        <v>1288</v>
      </c>
      <c r="C10" s="11" t="s">
        <v>1289</v>
      </c>
      <c r="D10" s="11" t="s">
        <v>1290</v>
      </c>
      <c r="E10" s="11" t="s">
        <v>1291</v>
      </c>
      <c r="F10" s="11" t="s">
        <v>1292</v>
      </c>
    </row>
    <row r="12" customFormat="false" ht="15" hidden="false" customHeight="false" outlineLevel="0" collapsed="false">
      <c r="A12" s="33" t="s">
        <v>1293</v>
      </c>
    </row>
    <row r="13" customFormat="false" ht="15" hidden="false" customHeight="false" outlineLevel="0" collapsed="false">
      <c r="A13" s="10" t="s">
        <v>1294</v>
      </c>
      <c r="B13" s="10" t="s">
        <v>1295</v>
      </c>
      <c r="C13" s="10" t="s">
        <v>1296</v>
      </c>
    </row>
    <row r="14" customFormat="false" ht="32.8" hidden="false" customHeight="false" outlineLevel="0" collapsed="false">
      <c r="A14" s="11" t="s">
        <v>1297</v>
      </c>
      <c r="B14" s="11" t="s">
        <v>1298</v>
      </c>
      <c r="C14" s="11" t="s">
        <v>1299</v>
      </c>
    </row>
    <row r="15" customFormat="false" ht="32.8" hidden="false" customHeight="false" outlineLevel="0" collapsed="false">
      <c r="A15" s="11" t="s">
        <v>1300</v>
      </c>
      <c r="B15" s="11" t="s">
        <v>1301</v>
      </c>
      <c r="C15" s="11" t="s">
        <v>1302</v>
      </c>
    </row>
    <row r="16" customFormat="false" ht="32.8" hidden="false" customHeight="false" outlineLevel="0" collapsed="false">
      <c r="A16" s="11" t="s">
        <v>1303</v>
      </c>
      <c r="B16" s="11" t="s">
        <v>1304</v>
      </c>
      <c r="C16" s="11" t="s">
        <v>1305</v>
      </c>
    </row>
    <row r="18" customFormat="false" ht="15" hidden="false" customHeight="false" outlineLevel="0" collapsed="false">
      <c r="A18" s="33" t="s">
        <v>1306</v>
      </c>
    </row>
    <row r="19" customFormat="false" ht="15" hidden="false" customHeight="false" outlineLevel="0" collapsed="false">
      <c r="A19" s="10" t="s">
        <v>1307</v>
      </c>
      <c r="B19" s="10" t="s">
        <v>1308</v>
      </c>
      <c r="C19" s="10" t="s">
        <v>1309</v>
      </c>
    </row>
    <row r="20" customFormat="false" ht="32.8" hidden="false" customHeight="false" outlineLevel="0" collapsed="false">
      <c r="A20" s="11" t="s">
        <v>1310</v>
      </c>
      <c r="B20" s="11" t="s">
        <v>1311</v>
      </c>
      <c r="C20" s="11" t="s">
        <v>1312</v>
      </c>
    </row>
    <row r="21" customFormat="false" ht="22.35" hidden="false" customHeight="false" outlineLevel="0" collapsed="false">
      <c r="A21" s="11" t="s">
        <v>1313</v>
      </c>
      <c r="B21" s="11" t="s">
        <v>1314</v>
      </c>
      <c r="C21" s="11" t="s">
        <v>1315</v>
      </c>
    </row>
    <row r="22" customFormat="false" ht="32.8" hidden="false" customHeight="false" outlineLevel="0" collapsed="false">
      <c r="A22" s="11" t="s">
        <v>1316</v>
      </c>
      <c r="B22" s="11" t="s">
        <v>1317</v>
      </c>
      <c r="C22" s="11" t="s">
        <v>1318</v>
      </c>
    </row>
    <row r="23" customFormat="false" ht="32.8" hidden="false" customHeight="false" outlineLevel="0" collapsed="false">
      <c r="A23" s="11" t="s">
        <v>1319</v>
      </c>
      <c r="B23" s="11" t="s">
        <v>1320</v>
      </c>
      <c r="C23" s="11" t="s">
        <v>1315</v>
      </c>
    </row>
    <row r="24" customFormat="false" ht="22.35" hidden="false" customHeight="false" outlineLevel="0" collapsed="false">
      <c r="A24" s="11" t="s">
        <v>1321</v>
      </c>
      <c r="B24" s="11" t="s">
        <v>1322</v>
      </c>
      <c r="C24" s="11" t="s">
        <v>1323</v>
      </c>
    </row>
    <row r="25" customFormat="false" ht="22.35" hidden="false" customHeight="false" outlineLevel="0" collapsed="false">
      <c r="A25" s="11" t="s">
        <v>1324</v>
      </c>
      <c r="B25" s="11" t="s">
        <v>1325</v>
      </c>
      <c r="C25" s="11" t="s">
        <v>1312</v>
      </c>
    </row>
    <row r="26" customFormat="false" ht="22.35" hidden="false" customHeight="false" outlineLevel="0" collapsed="false">
      <c r="A26" s="11" t="s">
        <v>1326</v>
      </c>
      <c r="B26" s="11" t="s">
        <v>1327</v>
      </c>
      <c r="C26" s="11" t="s">
        <v>1315</v>
      </c>
    </row>
    <row r="28" customFormat="false" ht="15" hidden="false" customHeight="false" outlineLevel="0" collapsed="false">
      <c r="A28" s="33" t="s">
        <v>1328</v>
      </c>
    </row>
    <row r="29" customFormat="false" ht="15" hidden="false" customHeight="false" outlineLevel="0" collapsed="false">
      <c r="A29" s="10" t="s">
        <v>1329</v>
      </c>
      <c r="B29" s="10" t="s">
        <v>1330</v>
      </c>
      <c r="C29" s="10" t="s">
        <v>1309</v>
      </c>
    </row>
    <row r="30" customFormat="false" ht="43.25" hidden="false" customHeight="false" outlineLevel="0" collapsed="false">
      <c r="A30" s="11" t="s">
        <v>1331</v>
      </c>
      <c r="B30" s="11" t="s">
        <v>1332</v>
      </c>
      <c r="C30" s="11" t="s">
        <v>1333</v>
      </c>
    </row>
    <row r="31" customFormat="false" ht="22.35" hidden="false" customHeight="false" outlineLevel="0" collapsed="false">
      <c r="A31" s="11" t="s">
        <v>1334</v>
      </c>
      <c r="B31" s="11" t="s">
        <v>1335</v>
      </c>
      <c r="C31" s="11" t="s">
        <v>1336</v>
      </c>
    </row>
    <row r="32" customFormat="false" ht="32.8" hidden="false" customHeight="false" outlineLevel="0" collapsed="false">
      <c r="A32" s="11" t="s">
        <v>1337</v>
      </c>
      <c r="B32" s="11" t="s">
        <v>1338</v>
      </c>
      <c r="C32" s="11" t="s">
        <v>1339</v>
      </c>
    </row>
    <row r="33" customFormat="false" ht="32.8" hidden="false" customHeight="false" outlineLevel="0" collapsed="false">
      <c r="A33" s="11" t="s">
        <v>1340</v>
      </c>
      <c r="B33" s="11" t="s">
        <v>1341</v>
      </c>
      <c r="C33" s="11" t="s">
        <v>1342</v>
      </c>
    </row>
    <row r="34" customFormat="false" ht="32.8" hidden="false" customHeight="false" outlineLevel="0" collapsed="false">
      <c r="A34" s="11" t="s">
        <v>1343</v>
      </c>
      <c r="B34" s="11" t="s">
        <v>1344</v>
      </c>
      <c r="C34" s="11" t="s">
        <v>1345</v>
      </c>
    </row>
    <row r="36" customFormat="false" ht="15" hidden="false" customHeight="false" outlineLevel="0" collapsed="false">
      <c r="A36" s="33" t="s">
        <v>1346</v>
      </c>
    </row>
    <row r="37" customFormat="false" ht="15" hidden="false" customHeight="false" outlineLevel="0" collapsed="false">
      <c r="A37" s="10" t="s">
        <v>1252</v>
      </c>
      <c r="B37" s="10" t="s">
        <v>1347</v>
      </c>
    </row>
    <row r="38" customFormat="false" ht="53.7" hidden="false" customHeight="false" outlineLevel="0" collapsed="false">
      <c r="A38" s="11" t="s">
        <v>1348</v>
      </c>
      <c r="B38" s="11" t="s">
        <v>1349</v>
      </c>
    </row>
    <row r="39" customFormat="false" ht="64.15" hidden="false" customHeight="false" outlineLevel="0" collapsed="false">
      <c r="A39" s="11" t="s">
        <v>1350</v>
      </c>
      <c r="B39" s="11" t="s">
        <v>1351</v>
      </c>
    </row>
    <row r="40" customFormat="false" ht="85.05" hidden="false" customHeight="false" outlineLevel="0" collapsed="false">
      <c r="A40" s="11" t="s">
        <v>1352</v>
      </c>
      <c r="B40" s="11" t="s">
        <v>1353</v>
      </c>
    </row>
    <row r="41" customFormat="false" ht="43.25" hidden="false" customHeight="false" outlineLevel="0" collapsed="false">
      <c r="A41" s="11" t="s">
        <v>1354</v>
      </c>
      <c r="B41" s="11" t="s">
        <v>1355</v>
      </c>
    </row>
    <row r="42" customFormat="false" ht="95.5" hidden="false" customHeight="false" outlineLevel="0" collapsed="false">
      <c r="A42" s="11" t="s">
        <v>1356</v>
      </c>
      <c r="B42" s="11" t="s">
        <v>1357</v>
      </c>
    </row>
    <row r="44" customFormat="false" ht="15" hidden="false" customHeight="false" outlineLevel="0" collapsed="false">
      <c r="A44" s="33" t="s">
        <v>1358</v>
      </c>
    </row>
    <row r="45" customFormat="false" ht="15" hidden="false" customHeight="false" outlineLevel="0" collapsed="false">
      <c r="A45" s="10" t="s">
        <v>1359</v>
      </c>
      <c r="B45" s="10" t="s">
        <v>1360</v>
      </c>
    </row>
    <row r="46" customFormat="false" ht="32.8" hidden="false" customHeight="false" outlineLevel="0" collapsed="false">
      <c r="A46" s="11" t="s">
        <v>1361</v>
      </c>
      <c r="B46" s="11" t="s">
        <v>1362</v>
      </c>
    </row>
    <row r="47" customFormat="false" ht="32.8" hidden="false" customHeight="false" outlineLevel="0" collapsed="false">
      <c r="A47" s="11" t="s">
        <v>1363</v>
      </c>
      <c r="B47" s="11" t="s">
        <v>1364</v>
      </c>
    </row>
    <row r="48" customFormat="false" ht="22.35" hidden="false" customHeight="false" outlineLevel="0" collapsed="false">
      <c r="A48" s="11" t="s">
        <v>1365</v>
      </c>
      <c r="B48" s="11" t="s">
        <v>1366</v>
      </c>
    </row>
    <row r="49" customFormat="false" ht="32.8" hidden="false" customHeight="false" outlineLevel="0" collapsed="false">
      <c r="A49" s="11" t="s">
        <v>1367</v>
      </c>
      <c r="B49" s="11" t="s">
        <v>1368</v>
      </c>
    </row>
    <row r="50" customFormat="false" ht="22.35" hidden="false" customHeight="false" outlineLevel="0" collapsed="false">
      <c r="A50" s="11" t="s">
        <v>1369</v>
      </c>
      <c r="B50" s="11" t="s">
        <v>1370</v>
      </c>
    </row>
    <row r="51" customFormat="false" ht="22.35" hidden="false" customHeight="false" outlineLevel="0" collapsed="false">
      <c r="A51" s="11" t="s">
        <v>1371</v>
      </c>
      <c r="B51" s="11" t="s">
        <v>1372</v>
      </c>
    </row>
    <row r="52" customFormat="false" ht="32.8" hidden="false" customHeight="false" outlineLevel="0" collapsed="false">
      <c r="A52" s="11" t="s">
        <v>1373</v>
      </c>
      <c r="B52" s="11" t="s">
        <v>1374</v>
      </c>
    </row>
    <row r="53" customFormat="false" ht="22.35" hidden="false" customHeight="false" outlineLevel="0" collapsed="false">
      <c r="A53" s="11" t="s">
        <v>1375</v>
      </c>
      <c r="B53" s="11" t="s">
        <v>1376</v>
      </c>
    </row>
    <row r="54" customFormat="false" ht="32.8" hidden="false" customHeight="false" outlineLevel="0" collapsed="false">
      <c r="A54" s="11" t="s">
        <v>1377</v>
      </c>
      <c r="B54" s="11" t="s">
        <v>1378</v>
      </c>
    </row>
    <row r="55" customFormat="false" ht="32.8" hidden="false" customHeight="false" outlineLevel="0" collapsed="false">
      <c r="A55" s="11" t="s">
        <v>1379</v>
      </c>
      <c r="B55" s="11" t="s">
        <v>1380</v>
      </c>
    </row>
    <row r="57" customFormat="false" ht="15" hidden="false" customHeight="false" outlineLevel="0" collapsed="false">
      <c r="A57" s="33" t="s">
        <v>1381</v>
      </c>
    </row>
    <row r="58" customFormat="false" ht="57.45" hidden="false" customHeight="false" outlineLevel="0" collapsed="false">
      <c r="A58" s="10" t="s">
        <v>1236</v>
      </c>
      <c r="B58" s="10" t="s">
        <v>1382</v>
      </c>
      <c r="C58" s="10" t="s">
        <v>1383</v>
      </c>
      <c r="D58" s="10" t="s">
        <v>1384</v>
      </c>
      <c r="E58" s="10" t="s">
        <v>1385</v>
      </c>
      <c r="F58" s="10" t="s">
        <v>1386</v>
      </c>
      <c r="G58" s="10" t="s">
        <v>1387</v>
      </c>
    </row>
    <row r="59" customFormat="false" ht="283.55" hidden="false" customHeight="false" outlineLevel="0" collapsed="false">
      <c r="A59" s="11" t="s">
        <v>171</v>
      </c>
      <c r="B59" s="11" t="s">
        <v>1388</v>
      </c>
      <c r="C59" s="11" t="s">
        <v>1389</v>
      </c>
      <c r="D59" s="11" t="s">
        <v>1390</v>
      </c>
      <c r="E59" s="11" t="s">
        <v>1391</v>
      </c>
      <c r="F59" s="11" t="s">
        <v>1392</v>
      </c>
      <c r="G59" s="11" t="s">
        <v>1393</v>
      </c>
    </row>
    <row r="60" customFormat="false" ht="43.25" hidden="false" customHeight="false" outlineLevel="0" collapsed="false">
      <c r="A60" s="11" t="s">
        <v>98</v>
      </c>
      <c r="B60" s="11" t="s">
        <v>1394</v>
      </c>
      <c r="C60" s="11" t="s">
        <v>1395</v>
      </c>
      <c r="D60" s="11" t="s">
        <v>1396</v>
      </c>
      <c r="E60" s="11" t="s">
        <v>1397</v>
      </c>
      <c r="F60" s="11" t="s">
        <v>1398</v>
      </c>
      <c r="G60" s="11" t="s">
        <v>1399</v>
      </c>
    </row>
    <row r="61" customFormat="false" ht="95.5" hidden="false" customHeight="false" outlineLevel="0" collapsed="false">
      <c r="A61" s="11" t="s">
        <v>181</v>
      </c>
      <c r="B61" s="11" t="s">
        <v>1400</v>
      </c>
      <c r="C61" s="11" t="s">
        <v>1401</v>
      </c>
      <c r="D61" s="11" t="s">
        <v>1402</v>
      </c>
      <c r="E61" s="11" t="s">
        <v>1403</v>
      </c>
      <c r="F61" s="11" t="s">
        <v>1404</v>
      </c>
      <c r="G61" s="11" t="s">
        <v>1405</v>
      </c>
    </row>
    <row r="62" customFormat="false" ht="32.8" hidden="false" customHeight="false" outlineLevel="0" collapsed="false">
      <c r="A62" s="11" t="s">
        <v>147</v>
      </c>
      <c r="B62" s="11" t="s">
        <v>1406</v>
      </c>
      <c r="C62" s="11" t="s">
        <v>1407</v>
      </c>
      <c r="D62" s="11" t="s">
        <v>1408</v>
      </c>
      <c r="E62" s="11" t="s">
        <v>1409</v>
      </c>
      <c r="F62" s="11" t="s">
        <v>1410</v>
      </c>
      <c r="G62" s="11" t="s">
        <v>1411</v>
      </c>
    </row>
    <row r="63" customFormat="false" ht="43.25" hidden="false" customHeight="false" outlineLevel="0" collapsed="false">
      <c r="A63" s="11" t="s">
        <v>137</v>
      </c>
      <c r="B63" s="11" t="s">
        <v>1412</v>
      </c>
      <c r="C63" s="11" t="s">
        <v>1413</v>
      </c>
      <c r="D63" s="11" t="s">
        <v>1414</v>
      </c>
      <c r="E63" s="11" t="s">
        <v>1415</v>
      </c>
      <c r="F63" s="11" t="s">
        <v>1416</v>
      </c>
      <c r="G63" s="11" t="s">
        <v>1417</v>
      </c>
    </row>
    <row r="64" customFormat="false" ht="15" hidden="false" customHeight="false" outlineLevel="0" collapsed="false">
      <c r="A64" s="11" t="s">
        <v>118</v>
      </c>
      <c r="B64" s="11" t="s">
        <v>1418</v>
      </c>
      <c r="C64" s="11" t="s">
        <v>1419</v>
      </c>
      <c r="D64" s="11" t="s">
        <v>1243</v>
      </c>
      <c r="E64" s="11" t="s">
        <v>312</v>
      </c>
      <c r="F64" s="11" t="s">
        <v>1420</v>
      </c>
      <c r="G64" s="11" t="s">
        <v>1243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46"/>
    <col collapsed="false" customWidth="true" hidden="false" outlineLevel="0" max="4" min="4" style="0" width="22"/>
    <col collapsed="false" customWidth="true" hidden="false" outlineLevel="0" max="5" min="5" style="0" width="26"/>
    <col collapsed="false" customWidth="true" hidden="false" outlineLevel="0" max="6" min="6" style="0" width="10"/>
    <col collapsed="false" customWidth="true" hidden="false" outlineLevel="0" max="8" min="7" style="0" width="12"/>
    <col collapsed="false" customWidth="true" hidden="false" outlineLevel="0" max="9" min="9" style="0" width="16"/>
    <col collapsed="false" customWidth="true" hidden="false" outlineLevel="0" max="10" min="10" style="0" width="8"/>
  </cols>
  <sheetData>
    <row r="1" customFormat="false" ht="17.35" hidden="false" customHeight="false" outlineLevel="0" collapsed="false">
      <c r="A1" s="1" t="s">
        <v>1421</v>
      </c>
    </row>
    <row r="2" customFormat="false" ht="15" hidden="false" customHeight="false" outlineLevel="0" collapsed="false">
      <c r="A2" s="2" t="s">
        <v>1422</v>
      </c>
    </row>
    <row r="4" customFormat="false" ht="23.85" hidden="false" customHeight="false" outlineLevel="0" collapsed="false">
      <c r="A4" s="10" t="s">
        <v>98</v>
      </c>
      <c r="B4" s="10" t="s">
        <v>1423</v>
      </c>
      <c r="C4" s="10" t="s">
        <v>1424</v>
      </c>
      <c r="D4" s="10" t="s">
        <v>1425</v>
      </c>
      <c r="E4" s="10" t="s">
        <v>1426</v>
      </c>
      <c r="F4" s="10" t="s">
        <v>1427</v>
      </c>
      <c r="G4" s="10" t="s">
        <v>1428</v>
      </c>
      <c r="H4" s="10" t="s">
        <v>1429</v>
      </c>
      <c r="I4" s="10" t="s">
        <v>1430</v>
      </c>
      <c r="J4" s="10" t="s">
        <v>1431</v>
      </c>
    </row>
    <row r="5" customFormat="false" ht="22.35" hidden="false" customHeight="false" outlineLevel="0" collapsed="false">
      <c r="A5" s="11" t="s">
        <v>1432</v>
      </c>
      <c r="B5" s="11" t="s">
        <v>1433</v>
      </c>
      <c r="C5" s="11" t="s">
        <v>1434</v>
      </c>
      <c r="D5" s="11" t="s">
        <v>1435</v>
      </c>
      <c r="E5" s="11" t="s">
        <v>1436</v>
      </c>
      <c r="F5" s="11" t="s">
        <v>1348</v>
      </c>
      <c r="G5" s="11" t="s">
        <v>174</v>
      </c>
      <c r="H5" s="38"/>
      <c r="I5" s="38"/>
      <c r="J5" s="38"/>
    </row>
    <row r="6" customFormat="false" ht="22.35" hidden="false" customHeight="false" outlineLevel="0" collapsed="false">
      <c r="A6" s="11" t="s">
        <v>1437</v>
      </c>
      <c r="B6" s="11" t="s">
        <v>1438</v>
      </c>
      <c r="C6" s="11" t="s">
        <v>1439</v>
      </c>
      <c r="D6" s="11" t="s">
        <v>1440</v>
      </c>
      <c r="E6" s="11" t="s">
        <v>1441</v>
      </c>
      <c r="F6" s="11" t="s">
        <v>1348</v>
      </c>
      <c r="G6" s="11" t="s">
        <v>174</v>
      </c>
      <c r="H6" s="38"/>
      <c r="I6" s="38"/>
      <c r="J6" s="38"/>
    </row>
    <row r="7" customFormat="false" ht="22.35" hidden="false" customHeight="false" outlineLevel="0" collapsed="false">
      <c r="A7" s="11" t="s">
        <v>1442</v>
      </c>
      <c r="B7" s="11" t="s">
        <v>1443</v>
      </c>
      <c r="C7" s="11" t="s">
        <v>1444</v>
      </c>
      <c r="D7" s="11" t="s">
        <v>1445</v>
      </c>
      <c r="E7" s="11" t="s">
        <v>1446</v>
      </c>
      <c r="F7" s="11" t="s">
        <v>1348</v>
      </c>
      <c r="G7" s="11" t="s">
        <v>174</v>
      </c>
      <c r="H7" s="38"/>
      <c r="I7" s="38"/>
      <c r="J7" s="38"/>
    </row>
    <row r="8" customFormat="false" ht="15" hidden="false" customHeight="false" outlineLevel="0" collapsed="false">
      <c r="A8" s="11" t="s">
        <v>1447</v>
      </c>
      <c r="B8" s="11" t="s">
        <v>1448</v>
      </c>
      <c r="C8" s="11" t="s">
        <v>1449</v>
      </c>
      <c r="D8" s="11" t="s">
        <v>1450</v>
      </c>
      <c r="E8" s="11" t="s">
        <v>1451</v>
      </c>
      <c r="F8" s="11" t="s">
        <v>1348</v>
      </c>
      <c r="G8" s="11" t="s">
        <v>1452</v>
      </c>
      <c r="H8" s="38"/>
      <c r="I8" s="38"/>
      <c r="J8" s="38"/>
    </row>
    <row r="9" customFormat="false" ht="15" hidden="false" customHeight="false" outlineLevel="0" collapsed="false">
      <c r="A9" s="11" t="s">
        <v>1453</v>
      </c>
      <c r="B9" s="11" t="s">
        <v>1454</v>
      </c>
      <c r="C9" s="11" t="s">
        <v>1455</v>
      </c>
      <c r="D9" s="11" t="s">
        <v>1456</v>
      </c>
      <c r="E9" s="11" t="s">
        <v>1457</v>
      </c>
      <c r="F9" s="11" t="s">
        <v>1348</v>
      </c>
      <c r="G9" s="11" t="s">
        <v>174</v>
      </c>
      <c r="H9" s="38"/>
      <c r="I9" s="38"/>
      <c r="J9" s="38"/>
    </row>
    <row r="10" customFormat="false" ht="22.35" hidden="false" customHeight="false" outlineLevel="0" collapsed="false">
      <c r="A10" s="11" t="s">
        <v>1458</v>
      </c>
      <c r="B10" s="11" t="s">
        <v>1459</v>
      </c>
      <c r="C10" s="11" t="s">
        <v>1460</v>
      </c>
      <c r="D10" s="11" t="s">
        <v>1435</v>
      </c>
      <c r="E10" s="11" t="s">
        <v>1461</v>
      </c>
      <c r="F10" s="11" t="s">
        <v>1348</v>
      </c>
      <c r="G10" s="11" t="s">
        <v>174</v>
      </c>
      <c r="H10" s="38"/>
      <c r="I10" s="38"/>
      <c r="J10" s="38"/>
    </row>
    <row r="11" customFormat="false" ht="15" hidden="false" customHeight="false" outlineLevel="0" collapsed="false">
      <c r="A11" s="11" t="s">
        <v>1462</v>
      </c>
      <c r="B11" s="11" t="s">
        <v>1463</v>
      </c>
      <c r="C11" s="11" t="s">
        <v>1464</v>
      </c>
      <c r="D11" s="11" t="s">
        <v>1465</v>
      </c>
      <c r="E11" s="11" t="s">
        <v>1466</v>
      </c>
      <c r="F11" s="11" t="s">
        <v>1348</v>
      </c>
      <c r="G11" s="11" t="s">
        <v>1452</v>
      </c>
      <c r="H11" s="38"/>
      <c r="I11" s="38"/>
      <c r="J11" s="38"/>
    </row>
    <row r="12" customFormat="false" ht="22.35" hidden="false" customHeight="false" outlineLevel="0" collapsed="false">
      <c r="A12" s="11" t="s">
        <v>1467</v>
      </c>
      <c r="B12" s="11" t="s">
        <v>1468</v>
      </c>
      <c r="C12" s="11" t="s">
        <v>1469</v>
      </c>
      <c r="D12" s="11" t="s">
        <v>1470</v>
      </c>
      <c r="E12" s="11" t="s">
        <v>1471</v>
      </c>
      <c r="F12" s="11" t="s">
        <v>1348</v>
      </c>
      <c r="G12" s="11" t="s">
        <v>184</v>
      </c>
      <c r="H12" s="38"/>
      <c r="I12" s="38"/>
      <c r="J12" s="38"/>
    </row>
    <row r="13" customFormat="false" ht="15" hidden="false" customHeight="false" outlineLevel="0" collapsed="false">
      <c r="A13" s="11" t="s">
        <v>1472</v>
      </c>
      <c r="B13" s="11" t="s">
        <v>1473</v>
      </c>
      <c r="C13" s="11" t="s">
        <v>1474</v>
      </c>
      <c r="D13" s="11" t="s">
        <v>1475</v>
      </c>
      <c r="E13" s="11" t="s">
        <v>1476</v>
      </c>
      <c r="F13" s="11" t="s">
        <v>1348</v>
      </c>
      <c r="G13" s="11" t="s">
        <v>184</v>
      </c>
      <c r="H13" s="38"/>
      <c r="I13" s="38"/>
      <c r="J13" s="38"/>
    </row>
    <row r="14" customFormat="false" ht="22.35" hidden="false" customHeight="false" outlineLevel="0" collapsed="false">
      <c r="A14" s="11" t="s">
        <v>1477</v>
      </c>
      <c r="B14" s="11" t="s">
        <v>1478</v>
      </c>
      <c r="C14" s="11" t="s">
        <v>1479</v>
      </c>
      <c r="D14" s="11" t="s">
        <v>1480</v>
      </c>
      <c r="E14" s="11" t="s">
        <v>1481</v>
      </c>
      <c r="F14" s="11" t="s">
        <v>1350</v>
      </c>
      <c r="G14" s="11" t="s">
        <v>184</v>
      </c>
      <c r="H14" s="38"/>
      <c r="I14" s="38"/>
      <c r="J14" s="38"/>
    </row>
    <row r="15" customFormat="false" ht="22.35" hidden="false" customHeight="false" outlineLevel="0" collapsed="false">
      <c r="A15" s="11" t="s">
        <v>1482</v>
      </c>
      <c r="B15" s="11" t="s">
        <v>1483</v>
      </c>
      <c r="C15" s="11" t="s">
        <v>1484</v>
      </c>
      <c r="D15" s="11" t="s">
        <v>1485</v>
      </c>
      <c r="E15" s="11" t="s">
        <v>1486</v>
      </c>
      <c r="F15" s="11" t="s">
        <v>1350</v>
      </c>
      <c r="G15" s="11" t="s">
        <v>184</v>
      </c>
      <c r="H15" s="38"/>
      <c r="I15" s="38"/>
      <c r="J15" s="38"/>
    </row>
    <row r="16" customFormat="false" ht="22.35" hidden="false" customHeight="false" outlineLevel="0" collapsed="false">
      <c r="A16" s="11" t="s">
        <v>1487</v>
      </c>
      <c r="B16" s="11" t="s">
        <v>1488</v>
      </c>
      <c r="C16" s="11" t="s">
        <v>1489</v>
      </c>
      <c r="D16" s="11" t="s">
        <v>1490</v>
      </c>
      <c r="E16" s="11" t="s">
        <v>1491</v>
      </c>
      <c r="F16" s="11" t="s">
        <v>1350</v>
      </c>
      <c r="G16" s="11" t="s">
        <v>150</v>
      </c>
      <c r="H16" s="38"/>
      <c r="I16" s="38"/>
      <c r="J16" s="38"/>
    </row>
    <row r="17" customFormat="false" ht="15" hidden="false" customHeight="false" outlineLevel="0" collapsed="false">
      <c r="A17" s="11" t="s">
        <v>1492</v>
      </c>
      <c r="B17" s="11" t="s">
        <v>1493</v>
      </c>
      <c r="C17" s="11" t="s">
        <v>1494</v>
      </c>
      <c r="D17" s="11" t="s">
        <v>1495</v>
      </c>
      <c r="E17" s="11" t="s">
        <v>1496</v>
      </c>
      <c r="F17" s="11" t="s">
        <v>1350</v>
      </c>
      <c r="G17" s="11" t="s">
        <v>184</v>
      </c>
      <c r="H17" s="38"/>
      <c r="I17" s="38"/>
      <c r="J17" s="38"/>
    </row>
    <row r="18" customFormat="false" ht="22.35" hidden="false" customHeight="false" outlineLevel="0" collapsed="false">
      <c r="A18" s="11" t="s">
        <v>1497</v>
      </c>
      <c r="B18" s="11" t="s">
        <v>1498</v>
      </c>
      <c r="C18" s="11" t="s">
        <v>1499</v>
      </c>
      <c r="D18" s="11" t="s">
        <v>1500</v>
      </c>
      <c r="E18" s="11" t="s">
        <v>1501</v>
      </c>
      <c r="F18" s="11" t="s">
        <v>1350</v>
      </c>
      <c r="G18" s="11" t="s">
        <v>184</v>
      </c>
      <c r="H18" s="38"/>
      <c r="I18" s="38"/>
      <c r="J18" s="38"/>
    </row>
    <row r="19" customFormat="false" ht="22.35" hidden="false" customHeight="false" outlineLevel="0" collapsed="false">
      <c r="A19" s="11" t="s">
        <v>1502</v>
      </c>
      <c r="B19" s="11" t="s">
        <v>1503</v>
      </c>
      <c r="C19" s="11" t="s">
        <v>1504</v>
      </c>
      <c r="D19" s="11" t="s">
        <v>1505</v>
      </c>
      <c r="E19" s="11" t="s">
        <v>1506</v>
      </c>
      <c r="F19" s="11" t="s">
        <v>1350</v>
      </c>
      <c r="G19" s="11" t="s">
        <v>150</v>
      </c>
      <c r="H19" s="38"/>
      <c r="I19" s="38"/>
      <c r="J19" s="38"/>
    </row>
    <row r="20" customFormat="false" ht="22.35" hidden="false" customHeight="false" outlineLevel="0" collapsed="false">
      <c r="A20" s="11" t="s">
        <v>1507</v>
      </c>
      <c r="B20" s="11" t="s">
        <v>1508</v>
      </c>
      <c r="C20" s="11" t="s">
        <v>1509</v>
      </c>
      <c r="D20" s="11" t="s">
        <v>1510</v>
      </c>
      <c r="E20" s="11" t="s">
        <v>1511</v>
      </c>
      <c r="F20" s="11" t="s">
        <v>1348</v>
      </c>
      <c r="G20" s="11" t="s">
        <v>150</v>
      </c>
      <c r="H20" s="38"/>
      <c r="I20" s="38"/>
      <c r="J20" s="38"/>
    </row>
    <row r="21" customFormat="false" ht="22.35" hidden="false" customHeight="false" outlineLevel="0" collapsed="false">
      <c r="A21" s="11" t="s">
        <v>1512</v>
      </c>
      <c r="B21" s="11" t="s">
        <v>1513</v>
      </c>
      <c r="C21" s="11" t="s">
        <v>1514</v>
      </c>
      <c r="D21" s="11" t="s">
        <v>1515</v>
      </c>
      <c r="E21" s="11" t="s">
        <v>1516</v>
      </c>
      <c r="F21" s="11" t="s">
        <v>1348</v>
      </c>
      <c r="G21" s="11" t="s">
        <v>150</v>
      </c>
      <c r="H21" s="38"/>
      <c r="I21" s="38"/>
      <c r="J21" s="38"/>
    </row>
    <row r="22" customFormat="false" ht="22.35" hidden="false" customHeight="false" outlineLevel="0" collapsed="false">
      <c r="A22" s="11" t="s">
        <v>1517</v>
      </c>
      <c r="B22" s="11" t="s">
        <v>1518</v>
      </c>
      <c r="C22" s="11" t="s">
        <v>1519</v>
      </c>
      <c r="D22" s="11" t="s">
        <v>1520</v>
      </c>
      <c r="E22" s="11" t="s">
        <v>545</v>
      </c>
      <c r="F22" s="11" t="s">
        <v>1348</v>
      </c>
      <c r="G22" s="11" t="s">
        <v>140</v>
      </c>
      <c r="H22" s="38"/>
      <c r="I22" s="38"/>
      <c r="J22" s="38"/>
    </row>
    <row r="23" customFormat="false" ht="22.35" hidden="false" customHeight="false" outlineLevel="0" collapsed="false">
      <c r="A23" s="11" t="s">
        <v>1521</v>
      </c>
      <c r="B23" s="11" t="s">
        <v>1522</v>
      </c>
      <c r="C23" s="11" t="s">
        <v>1523</v>
      </c>
      <c r="D23" s="11" t="s">
        <v>1524</v>
      </c>
      <c r="E23" s="11" t="s">
        <v>1525</v>
      </c>
      <c r="F23" s="11" t="s">
        <v>1352</v>
      </c>
      <c r="G23" s="11" t="s">
        <v>184</v>
      </c>
      <c r="H23" s="38"/>
      <c r="I23" s="38"/>
      <c r="J23" s="38"/>
    </row>
    <row r="24" customFormat="false" ht="15" hidden="false" customHeight="false" outlineLevel="0" collapsed="false">
      <c r="A24" s="11" t="s">
        <v>1526</v>
      </c>
      <c r="B24" s="11" t="s">
        <v>1527</v>
      </c>
      <c r="C24" s="11" t="s">
        <v>1528</v>
      </c>
      <c r="D24" s="11" t="s">
        <v>1529</v>
      </c>
      <c r="E24" s="11" t="s">
        <v>1530</v>
      </c>
      <c r="F24" s="11" t="s">
        <v>1350</v>
      </c>
      <c r="G24" s="11" t="s">
        <v>140</v>
      </c>
      <c r="H24" s="38"/>
      <c r="I24" s="38"/>
      <c r="J24" s="38"/>
    </row>
    <row r="25" customFormat="false" ht="22.35" hidden="false" customHeight="false" outlineLevel="0" collapsed="false">
      <c r="A25" s="11" t="s">
        <v>1531</v>
      </c>
      <c r="B25" s="11" t="s">
        <v>1532</v>
      </c>
      <c r="C25" s="11" t="s">
        <v>1533</v>
      </c>
      <c r="D25" s="11" t="s">
        <v>1534</v>
      </c>
      <c r="E25" s="11" t="s">
        <v>1535</v>
      </c>
      <c r="F25" s="11" t="s">
        <v>1352</v>
      </c>
      <c r="G25" s="11" t="s">
        <v>174</v>
      </c>
      <c r="H25" s="38"/>
      <c r="I25" s="38"/>
      <c r="J25" s="38"/>
    </row>
    <row r="26" customFormat="false" ht="22.35" hidden="false" customHeight="false" outlineLevel="0" collapsed="false">
      <c r="A26" s="11" t="s">
        <v>1536</v>
      </c>
      <c r="B26" s="11" t="s">
        <v>1537</v>
      </c>
      <c r="C26" s="11" t="s">
        <v>1538</v>
      </c>
      <c r="D26" s="11" t="s">
        <v>1539</v>
      </c>
      <c r="E26" s="11" t="s">
        <v>1540</v>
      </c>
      <c r="F26" s="11" t="s">
        <v>1350</v>
      </c>
      <c r="G26" s="11" t="s">
        <v>140</v>
      </c>
      <c r="H26" s="38"/>
      <c r="I26" s="38"/>
      <c r="J26" s="38"/>
    </row>
    <row r="27" customFormat="false" ht="15" hidden="false" customHeight="false" outlineLevel="0" collapsed="false">
      <c r="A27" s="11" t="s">
        <v>1541</v>
      </c>
      <c r="B27" s="11" t="s">
        <v>1542</v>
      </c>
      <c r="C27" s="11" t="s">
        <v>1543</v>
      </c>
      <c r="D27" s="11" t="s">
        <v>1544</v>
      </c>
      <c r="E27" s="11" t="s">
        <v>1545</v>
      </c>
      <c r="F27" s="11" t="s">
        <v>1350</v>
      </c>
      <c r="G27" s="11" t="s">
        <v>140</v>
      </c>
      <c r="H27" s="38"/>
      <c r="I27" s="38"/>
      <c r="J27" s="38"/>
    </row>
    <row r="28" customFormat="false" ht="15" hidden="false" customHeight="false" outlineLevel="0" collapsed="false">
      <c r="A28" s="11" t="s">
        <v>1546</v>
      </c>
      <c r="B28" s="11" t="s">
        <v>1547</v>
      </c>
      <c r="C28" s="11" t="s">
        <v>1548</v>
      </c>
      <c r="D28" s="11" t="s">
        <v>1549</v>
      </c>
      <c r="E28" s="11" t="s">
        <v>1550</v>
      </c>
      <c r="F28" s="11" t="s">
        <v>1350</v>
      </c>
      <c r="G28" s="11" t="s">
        <v>121</v>
      </c>
      <c r="H28" s="38"/>
      <c r="I28" s="38"/>
      <c r="J28" s="38"/>
    </row>
    <row r="29" customFormat="false" ht="15" hidden="false" customHeight="false" outlineLevel="0" collapsed="false">
      <c r="A29" s="11" t="s">
        <v>1551</v>
      </c>
      <c r="B29" s="11" t="s">
        <v>1552</v>
      </c>
      <c r="C29" s="11" t="s">
        <v>1553</v>
      </c>
      <c r="D29" s="11" t="s">
        <v>1554</v>
      </c>
      <c r="E29" s="11" t="s">
        <v>1555</v>
      </c>
      <c r="F29" s="11" t="s">
        <v>1352</v>
      </c>
      <c r="G29" s="11" t="s">
        <v>140</v>
      </c>
      <c r="H29" s="38"/>
      <c r="I29" s="38"/>
      <c r="J29" s="38"/>
    </row>
    <row r="31" customFormat="false" ht="15" hidden="false" customHeight="false" outlineLevel="0" collapsed="false">
      <c r="A31" s="33" t="s">
        <v>1556</v>
      </c>
    </row>
    <row r="32" customFormat="false" ht="23.85" hidden="false" customHeight="false" outlineLevel="0" collapsed="false">
      <c r="A32" s="10" t="s">
        <v>98</v>
      </c>
      <c r="B32" s="10" t="s">
        <v>1557</v>
      </c>
      <c r="C32" s="10" t="s">
        <v>1558</v>
      </c>
      <c r="D32" s="10" t="s">
        <v>1426</v>
      </c>
      <c r="E32" s="10" t="s">
        <v>1427</v>
      </c>
      <c r="F32" s="10" t="s">
        <v>1559</v>
      </c>
      <c r="G32" s="10" t="s">
        <v>1429</v>
      </c>
      <c r="H32" s="10" t="s">
        <v>1430</v>
      </c>
    </row>
    <row r="33" customFormat="false" ht="22.35" hidden="false" customHeight="false" outlineLevel="0" collapsed="false">
      <c r="A33" s="11" t="s">
        <v>1560</v>
      </c>
      <c r="B33" s="11" t="s">
        <v>1561</v>
      </c>
      <c r="C33" s="11" t="s">
        <v>1562</v>
      </c>
      <c r="D33" s="11" t="s">
        <v>1563</v>
      </c>
      <c r="E33" s="11" t="s">
        <v>1350</v>
      </c>
      <c r="F33" s="11" t="s">
        <v>121</v>
      </c>
      <c r="G33" s="38"/>
      <c r="H33" s="38"/>
    </row>
    <row r="34" customFormat="false" ht="15" hidden="false" customHeight="false" outlineLevel="0" collapsed="false">
      <c r="A34" s="11" t="s">
        <v>1564</v>
      </c>
      <c r="B34" s="11" t="s">
        <v>1565</v>
      </c>
      <c r="C34" s="11" t="s">
        <v>1529</v>
      </c>
      <c r="D34" s="11" t="s">
        <v>1566</v>
      </c>
      <c r="E34" s="11" t="s">
        <v>1350</v>
      </c>
      <c r="F34" s="11" t="s">
        <v>121</v>
      </c>
      <c r="G34" s="38"/>
      <c r="H34" s="38"/>
    </row>
    <row r="35" customFormat="false" ht="15" hidden="false" customHeight="false" outlineLevel="0" collapsed="false">
      <c r="A35" s="11" t="s">
        <v>1567</v>
      </c>
      <c r="B35" s="11" t="s">
        <v>1568</v>
      </c>
      <c r="C35" s="11" t="s">
        <v>1569</v>
      </c>
      <c r="D35" s="11" t="s">
        <v>1570</v>
      </c>
      <c r="E35" s="11" t="s">
        <v>1350</v>
      </c>
      <c r="F35" s="11" t="s">
        <v>184</v>
      </c>
      <c r="G35" s="38"/>
      <c r="H35" s="38"/>
    </row>
  </sheetData>
  <dataValidations count="1">
    <dataValidation allowBlank="true" errorStyle="stop" operator="between" showDropDown="false" showErrorMessage="false" showInputMessage="false" sqref="J5:J29" type="list">
      <formula1>"G,A,R"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6"/>
    <col collapsed="false" customWidth="true" hidden="false" outlineLevel="0" max="3" min="3" style="0" width="40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13"/>
    <col collapsed="false" customWidth="true" hidden="false" outlineLevel="0" max="7" min="7" style="0" width="22"/>
    <col collapsed="false" customWidth="true" hidden="false" outlineLevel="0" max="9" min="8" style="0" width="10"/>
    <col collapsed="false" customWidth="true" hidden="false" outlineLevel="0" max="10" min="10" style="0" width="11"/>
    <col collapsed="false" customWidth="true" hidden="false" outlineLevel="0" max="11" min="11" style="0" width="16"/>
  </cols>
  <sheetData>
    <row r="1" customFormat="false" ht="17.35" hidden="false" customHeight="false" outlineLevel="0" collapsed="false">
      <c r="A1" s="1" t="s">
        <v>1571</v>
      </c>
    </row>
    <row r="4" customFormat="false" ht="23.85" hidden="false" customHeight="false" outlineLevel="0" collapsed="false">
      <c r="A4" s="10" t="s">
        <v>98</v>
      </c>
      <c r="B4" s="10" t="s">
        <v>1572</v>
      </c>
      <c r="C4" s="10" t="s">
        <v>1573</v>
      </c>
      <c r="D4" s="10" t="s">
        <v>1574</v>
      </c>
      <c r="E4" s="10" t="s">
        <v>1575</v>
      </c>
      <c r="F4" s="10" t="s">
        <v>1576</v>
      </c>
      <c r="G4" s="10" t="s">
        <v>1577</v>
      </c>
      <c r="H4" s="10" t="s">
        <v>1309</v>
      </c>
    </row>
    <row r="5" customFormat="false" ht="43.25" hidden="false" customHeight="false" outlineLevel="0" collapsed="false">
      <c r="A5" s="11" t="s">
        <v>1578</v>
      </c>
      <c r="B5" s="11" t="s">
        <v>1579</v>
      </c>
      <c r="C5" s="28" t="n">
        <v>4</v>
      </c>
      <c r="D5" s="28" t="n">
        <v>4</v>
      </c>
      <c r="E5" s="11" t="n">
        <f aca="false">C5*D5</f>
        <v>16</v>
      </c>
      <c r="F5" s="11" t="str">
        <f aca="false">IF(E5&gt;=15,"High",IF(E5&gt;=8,"Medium","Low"))</f>
        <v>High</v>
      </c>
      <c r="G5" s="11" t="s">
        <v>1580</v>
      </c>
      <c r="H5" s="11" t="s">
        <v>174</v>
      </c>
    </row>
    <row r="6" customFormat="false" ht="32.8" hidden="false" customHeight="false" outlineLevel="0" collapsed="false">
      <c r="A6" s="11" t="s">
        <v>1581</v>
      </c>
      <c r="B6" s="11" t="s">
        <v>1582</v>
      </c>
      <c r="C6" s="28" t="n">
        <v>3</v>
      </c>
      <c r="D6" s="28" t="n">
        <v>4</v>
      </c>
      <c r="E6" s="11" t="n">
        <f aca="false">C6*D6</f>
        <v>12</v>
      </c>
      <c r="F6" s="11" t="str">
        <f aca="false">IF(E6&gt;=15,"High",IF(E6&gt;=8,"Medium","Low"))</f>
        <v>Medium</v>
      </c>
      <c r="G6" s="11" t="s">
        <v>1583</v>
      </c>
      <c r="H6" s="11" t="s">
        <v>174</v>
      </c>
    </row>
    <row r="7" customFormat="false" ht="32.8" hidden="false" customHeight="false" outlineLevel="0" collapsed="false">
      <c r="A7" s="11" t="s">
        <v>1584</v>
      </c>
      <c r="B7" s="11" t="s">
        <v>1585</v>
      </c>
      <c r="C7" s="28" t="n">
        <v>3</v>
      </c>
      <c r="D7" s="28" t="n">
        <v>3</v>
      </c>
      <c r="E7" s="11" t="n">
        <f aca="false">C7*D7</f>
        <v>9</v>
      </c>
      <c r="F7" s="11" t="str">
        <f aca="false">IF(E7&gt;=15,"High",IF(E7&gt;=8,"Medium","Low"))</f>
        <v>Medium</v>
      </c>
      <c r="G7" s="11" t="s">
        <v>1586</v>
      </c>
      <c r="H7" s="11" t="s">
        <v>150</v>
      </c>
    </row>
    <row r="8" customFormat="false" ht="64.15" hidden="false" customHeight="false" outlineLevel="0" collapsed="false">
      <c r="A8" s="11" t="s">
        <v>1587</v>
      </c>
      <c r="B8" s="11" t="s">
        <v>1588</v>
      </c>
      <c r="C8" s="28" t="n">
        <v>3</v>
      </c>
      <c r="D8" s="28" t="n">
        <v>5</v>
      </c>
      <c r="E8" s="11" t="n">
        <f aca="false">C8*D8</f>
        <v>15</v>
      </c>
      <c r="F8" s="11" t="str">
        <f aca="false">IF(E8&gt;=15,"High",IF(E8&gt;=8,"Medium","Low"))</f>
        <v>High</v>
      </c>
      <c r="G8" s="11" t="s">
        <v>1589</v>
      </c>
      <c r="H8" s="11" t="s">
        <v>150</v>
      </c>
    </row>
    <row r="9" customFormat="false" ht="53.7" hidden="false" customHeight="false" outlineLevel="0" collapsed="false">
      <c r="A9" s="11" t="s">
        <v>1590</v>
      </c>
      <c r="B9" s="11" t="s">
        <v>1591</v>
      </c>
      <c r="C9" s="28" t="n">
        <v>3</v>
      </c>
      <c r="D9" s="28" t="n">
        <v>4</v>
      </c>
      <c r="E9" s="11" t="n">
        <f aca="false">C9*D9</f>
        <v>12</v>
      </c>
      <c r="F9" s="11" t="str">
        <f aca="false">IF(E9&gt;=15,"High",IF(E9&gt;=8,"Medium","Low"))</f>
        <v>Medium</v>
      </c>
      <c r="G9" s="11" t="s">
        <v>1592</v>
      </c>
      <c r="H9" s="11" t="s">
        <v>121</v>
      </c>
    </row>
    <row r="10" customFormat="false" ht="53.7" hidden="false" customHeight="false" outlineLevel="0" collapsed="false">
      <c r="A10" s="11" t="s">
        <v>1593</v>
      </c>
      <c r="B10" s="11" t="s">
        <v>1594</v>
      </c>
      <c r="C10" s="28" t="n">
        <v>4</v>
      </c>
      <c r="D10" s="28" t="n">
        <v>4</v>
      </c>
      <c r="E10" s="11" t="n">
        <f aca="false">C10*D10</f>
        <v>16</v>
      </c>
      <c r="F10" s="11" t="str">
        <f aca="false">IF(E10&gt;=15,"High",IF(E10&gt;=8,"Medium","Low"))</f>
        <v>High</v>
      </c>
      <c r="G10" s="11" t="s">
        <v>1595</v>
      </c>
      <c r="H10" s="11" t="s">
        <v>121</v>
      </c>
    </row>
    <row r="11" customFormat="false" ht="43.25" hidden="false" customHeight="false" outlineLevel="0" collapsed="false">
      <c r="A11" s="11" t="s">
        <v>1596</v>
      </c>
      <c r="B11" s="11" t="s">
        <v>1597</v>
      </c>
      <c r="C11" s="28" t="n">
        <v>3</v>
      </c>
      <c r="D11" s="28" t="n">
        <v>3</v>
      </c>
      <c r="E11" s="11" t="n">
        <f aca="false">C11*D11</f>
        <v>9</v>
      </c>
      <c r="F11" s="11" t="str">
        <f aca="false">IF(E11&gt;=15,"High",IF(E11&gt;=8,"Medium","Low"))</f>
        <v>Medium</v>
      </c>
      <c r="G11" s="11" t="s">
        <v>1598</v>
      </c>
      <c r="H11" s="11" t="s">
        <v>121</v>
      </c>
    </row>
    <row r="12" customFormat="false" ht="32.8" hidden="false" customHeight="false" outlineLevel="0" collapsed="false">
      <c r="A12" s="11" t="s">
        <v>1599</v>
      </c>
      <c r="B12" s="11" t="s">
        <v>1600</v>
      </c>
      <c r="C12" s="28" t="n">
        <v>4</v>
      </c>
      <c r="D12" s="28" t="n">
        <v>3</v>
      </c>
      <c r="E12" s="11" t="n">
        <f aca="false">C12*D12</f>
        <v>12</v>
      </c>
      <c r="F12" s="11" t="str">
        <f aca="false">IF(E12&gt;=15,"High",IF(E12&gt;=8,"Medium","Low"))</f>
        <v>Medium</v>
      </c>
      <c r="G12" s="11" t="s">
        <v>1601</v>
      </c>
      <c r="H12" s="11" t="s">
        <v>184</v>
      </c>
    </row>
    <row r="13" customFormat="false" ht="32.8" hidden="false" customHeight="false" outlineLevel="0" collapsed="false">
      <c r="A13" s="11" t="s">
        <v>1602</v>
      </c>
      <c r="B13" s="11" t="s">
        <v>1603</v>
      </c>
      <c r="C13" s="28" t="n">
        <v>3</v>
      </c>
      <c r="D13" s="28" t="n">
        <v>4</v>
      </c>
      <c r="E13" s="11" t="n">
        <f aca="false">C13*D13</f>
        <v>12</v>
      </c>
      <c r="F13" s="11" t="str">
        <f aca="false">IF(E13&gt;=15,"High",IF(E13&gt;=8,"Medium","Low"))</f>
        <v>Medium</v>
      </c>
      <c r="G13" s="11" t="s">
        <v>1604</v>
      </c>
      <c r="H13" s="11" t="s">
        <v>184</v>
      </c>
    </row>
    <row r="14" customFormat="false" ht="32.8" hidden="false" customHeight="false" outlineLevel="0" collapsed="false">
      <c r="A14" s="11" t="s">
        <v>1605</v>
      </c>
      <c r="B14" s="11" t="s">
        <v>1606</v>
      </c>
      <c r="C14" s="28" t="n">
        <v>2</v>
      </c>
      <c r="D14" s="28" t="n">
        <v>5</v>
      </c>
      <c r="E14" s="11" t="n">
        <f aca="false">C14*D14</f>
        <v>10</v>
      </c>
      <c r="F14" s="11" t="str">
        <f aca="false">IF(E14&gt;=15,"High",IF(E14&gt;=8,"Medium","Low"))</f>
        <v>Medium</v>
      </c>
      <c r="G14" s="11" t="s">
        <v>1607</v>
      </c>
      <c r="H14" s="11" t="s">
        <v>140</v>
      </c>
    </row>
    <row r="15" customFormat="false" ht="32.8" hidden="false" customHeight="false" outlineLevel="0" collapsed="false">
      <c r="A15" s="11" t="s">
        <v>1608</v>
      </c>
      <c r="B15" s="11" t="s">
        <v>1609</v>
      </c>
      <c r="C15" s="28" t="n">
        <v>3</v>
      </c>
      <c r="D15" s="28" t="n">
        <v>3</v>
      </c>
      <c r="E15" s="11" t="n">
        <f aca="false">C15*D15</f>
        <v>9</v>
      </c>
      <c r="F15" s="11" t="str">
        <f aca="false">IF(E15&gt;=15,"High",IF(E15&gt;=8,"Medium","Low"))</f>
        <v>Medium</v>
      </c>
      <c r="G15" s="11" t="s">
        <v>1610</v>
      </c>
      <c r="H15" s="11" t="s">
        <v>150</v>
      </c>
    </row>
    <row r="16" customFormat="false" ht="32.8" hidden="false" customHeight="false" outlineLevel="0" collapsed="false">
      <c r="A16" s="11" t="s">
        <v>1611</v>
      </c>
      <c r="B16" s="11" t="s">
        <v>1612</v>
      </c>
      <c r="C16" s="28" t="n">
        <v>4</v>
      </c>
      <c r="D16" s="28" t="n">
        <v>2</v>
      </c>
      <c r="E16" s="11" t="n">
        <f aca="false">C16*D16</f>
        <v>8</v>
      </c>
      <c r="F16" s="11" t="str">
        <f aca="false">IF(E16&gt;=15,"High",IF(E16&gt;=8,"Medium","Low"))</f>
        <v>Medium</v>
      </c>
      <c r="G16" s="11" t="s">
        <v>1613</v>
      </c>
      <c r="H16" s="11" t="s">
        <v>121</v>
      </c>
    </row>
    <row r="17" customFormat="false" ht="32.8" hidden="false" customHeight="false" outlineLevel="0" collapsed="false">
      <c r="A17" s="11" t="s">
        <v>1614</v>
      </c>
      <c r="B17" s="11" t="s">
        <v>1615</v>
      </c>
      <c r="C17" s="28" t="n">
        <v>3</v>
      </c>
      <c r="D17" s="28" t="n">
        <v>3</v>
      </c>
      <c r="E17" s="11" t="n">
        <f aca="false">C17*D17</f>
        <v>9</v>
      </c>
      <c r="F17" s="11" t="str">
        <f aca="false">IF(E17&gt;=15,"High",IF(E17&gt;=8,"Medium","Low"))</f>
        <v>Medium</v>
      </c>
      <c r="G17" s="11" t="s">
        <v>1616</v>
      </c>
      <c r="H17" s="11" t="s">
        <v>140</v>
      </c>
    </row>
    <row r="18" customFormat="false" ht="22.35" hidden="false" customHeight="false" outlineLevel="0" collapsed="false">
      <c r="A18" s="11" t="s">
        <v>1617</v>
      </c>
      <c r="B18" s="11" t="s">
        <v>1618</v>
      </c>
      <c r="C18" s="28" t="n">
        <v>3</v>
      </c>
      <c r="D18" s="28" t="n">
        <v>4</v>
      </c>
      <c r="E18" s="11" t="n">
        <f aca="false">C18*D18</f>
        <v>12</v>
      </c>
      <c r="F18" s="11" t="str">
        <f aca="false">IF(E18&gt;=15,"High",IF(E18&gt;=8,"Medium","Low"))</f>
        <v>Medium</v>
      </c>
      <c r="G18" s="11" t="s">
        <v>1619</v>
      </c>
      <c r="H18" s="11" t="s">
        <v>121</v>
      </c>
    </row>
    <row r="19" customFormat="false" ht="32.8" hidden="false" customHeight="false" outlineLevel="0" collapsed="false">
      <c r="A19" s="11" t="s">
        <v>1620</v>
      </c>
      <c r="B19" s="11" t="s">
        <v>1621</v>
      </c>
      <c r="C19" s="28" t="n">
        <v>2</v>
      </c>
      <c r="D19" s="28" t="n">
        <v>4</v>
      </c>
      <c r="E19" s="11" t="n">
        <f aca="false">C19*D19</f>
        <v>8</v>
      </c>
      <c r="F19" s="11" t="str">
        <f aca="false">IF(E19&gt;=15,"High",IF(E19&gt;=8,"Medium","Low"))</f>
        <v>Medium</v>
      </c>
      <c r="G19" s="11" t="s">
        <v>1622</v>
      </c>
      <c r="H19" s="11" t="s">
        <v>150</v>
      </c>
    </row>
    <row r="20" customFormat="false" ht="32.8" hidden="false" customHeight="false" outlineLevel="0" collapsed="false">
      <c r="A20" s="11" t="s">
        <v>1623</v>
      </c>
      <c r="B20" s="11" t="s">
        <v>1624</v>
      </c>
      <c r="C20" s="28" t="n">
        <v>2</v>
      </c>
      <c r="D20" s="28" t="n">
        <v>5</v>
      </c>
      <c r="E20" s="11" t="n">
        <f aca="false">C20*D20</f>
        <v>10</v>
      </c>
      <c r="F20" s="11" t="str">
        <f aca="false">IF(E20&gt;=15,"High",IF(E20&gt;=8,"Medium","Low"))</f>
        <v>Medium</v>
      </c>
      <c r="G20" s="11" t="s">
        <v>1625</v>
      </c>
      <c r="H20" s="11" t="s">
        <v>140</v>
      </c>
    </row>
    <row r="21" customFormat="false" ht="22.35" hidden="false" customHeight="false" outlineLevel="0" collapsed="false">
      <c r="A21" s="11" t="s">
        <v>1626</v>
      </c>
      <c r="B21" s="11" t="s">
        <v>1627</v>
      </c>
      <c r="C21" s="28" t="n">
        <v>3</v>
      </c>
      <c r="D21" s="28" t="n">
        <v>5</v>
      </c>
      <c r="E21" s="11" t="n">
        <f aca="false">C21*D21</f>
        <v>15</v>
      </c>
      <c r="F21" s="11" t="str">
        <f aca="false">IF(E21&gt;=15,"High",IF(E21&gt;=8,"Medium","Low"))</f>
        <v>High</v>
      </c>
      <c r="G21" s="11" t="s">
        <v>1628</v>
      </c>
      <c r="H21" s="11" t="s">
        <v>140</v>
      </c>
    </row>
    <row r="22" customFormat="false" ht="32.8" hidden="false" customHeight="false" outlineLevel="0" collapsed="false">
      <c r="A22" s="11" t="s">
        <v>1629</v>
      </c>
      <c r="B22" s="11" t="s">
        <v>1630</v>
      </c>
      <c r="C22" s="28" t="n">
        <v>2</v>
      </c>
      <c r="D22" s="28" t="n">
        <v>4</v>
      </c>
      <c r="E22" s="11" t="n">
        <f aca="false">C22*D22</f>
        <v>8</v>
      </c>
      <c r="F22" s="11" t="str">
        <f aca="false">IF(E22&gt;=15,"High",IF(E22&gt;=8,"Medium","Low"))</f>
        <v>Medium</v>
      </c>
      <c r="G22" s="11" t="s">
        <v>1631</v>
      </c>
      <c r="H22" s="11" t="s">
        <v>174</v>
      </c>
    </row>
    <row r="23" customFormat="false" ht="15" hidden="false" customHeight="false" outlineLevel="0" collapsed="false">
      <c r="A23" s="11" t="s">
        <v>1632</v>
      </c>
      <c r="B23" s="11" t="s">
        <v>1633</v>
      </c>
      <c r="C23" s="28" t="n">
        <v>4</v>
      </c>
      <c r="D23" s="28" t="n">
        <v>3</v>
      </c>
      <c r="E23" s="11" t="n">
        <f aca="false">C23*D23</f>
        <v>12</v>
      </c>
      <c r="F23" s="11" t="str">
        <f aca="false">IF(E23&gt;=15,"High",IF(E23&gt;=8,"Medium","Low"))</f>
        <v>Medium</v>
      </c>
      <c r="G23" s="11" t="s">
        <v>1634</v>
      </c>
      <c r="H23" s="11" t="s">
        <v>174</v>
      </c>
    </row>
    <row r="24" customFormat="false" ht="22.35" hidden="false" customHeight="false" outlineLevel="0" collapsed="false">
      <c r="A24" s="11" t="s">
        <v>1635</v>
      </c>
      <c r="B24" s="11" t="s">
        <v>1636</v>
      </c>
      <c r="C24" s="28" t="n">
        <v>3</v>
      </c>
      <c r="D24" s="28" t="n">
        <v>3</v>
      </c>
      <c r="E24" s="11" t="n">
        <f aca="false">C24*D24</f>
        <v>9</v>
      </c>
      <c r="F24" s="11" t="str">
        <f aca="false">IF(E24&gt;=15,"High",IF(E24&gt;=8,"Medium","Low"))</f>
        <v>Medium</v>
      </c>
      <c r="G24" s="11" t="s">
        <v>1637</v>
      </c>
      <c r="H24" s="11" t="s">
        <v>121</v>
      </c>
    </row>
    <row r="25" customFormat="false" ht="32.8" hidden="false" customHeight="false" outlineLevel="0" collapsed="false">
      <c r="A25" s="11" t="s">
        <v>1638</v>
      </c>
      <c r="B25" s="11" t="s">
        <v>1639</v>
      </c>
      <c r="C25" s="28" t="n">
        <v>3</v>
      </c>
      <c r="D25" s="28" t="n">
        <v>4</v>
      </c>
      <c r="E25" s="11" t="n">
        <f aca="false">C25*D25</f>
        <v>12</v>
      </c>
      <c r="F25" s="11" t="str">
        <f aca="false">IF(E25&gt;=15,"High",IF(E25&gt;=8,"Medium","Low"))</f>
        <v>Medium</v>
      </c>
      <c r="G25" s="11" t="s">
        <v>1640</v>
      </c>
      <c r="H25" s="11" t="s">
        <v>184</v>
      </c>
    </row>
    <row r="26" customFormat="false" ht="43.25" hidden="false" customHeight="false" outlineLevel="0" collapsed="false">
      <c r="A26" s="11" t="s">
        <v>1641</v>
      </c>
      <c r="B26" s="11" t="s">
        <v>1642</v>
      </c>
      <c r="C26" s="28" t="n">
        <v>3</v>
      </c>
      <c r="D26" s="28" t="n">
        <v>3</v>
      </c>
      <c r="E26" s="11" t="n">
        <f aca="false">C26*D26</f>
        <v>9</v>
      </c>
      <c r="F26" s="11" t="str">
        <f aca="false">IF(E26&gt;=15,"High",IF(E26&gt;=8,"Medium","Low"))</f>
        <v>Medium</v>
      </c>
      <c r="G26" s="11" t="s">
        <v>1643</v>
      </c>
      <c r="H26" s="11" t="s">
        <v>121</v>
      </c>
    </row>
    <row r="28" customFormat="false" ht="15" hidden="false" customHeight="false" outlineLevel="0" collapsed="false">
      <c r="A28" s="33" t="s">
        <v>1644</v>
      </c>
    </row>
    <row r="29" customFormat="false" ht="35.05" hidden="false" customHeight="false" outlineLevel="0" collapsed="false">
      <c r="A29" s="10" t="s">
        <v>98</v>
      </c>
      <c r="B29" s="10" t="s">
        <v>1645</v>
      </c>
      <c r="C29" s="10" t="s">
        <v>1646</v>
      </c>
      <c r="D29" s="10" t="s">
        <v>1647</v>
      </c>
      <c r="E29" s="10" t="s">
        <v>1648</v>
      </c>
      <c r="F29" s="10" t="s">
        <v>1649</v>
      </c>
      <c r="G29" s="10" t="s">
        <v>1650</v>
      </c>
      <c r="H29" s="10" t="s">
        <v>1651</v>
      </c>
      <c r="I29" s="10" t="s">
        <v>1652</v>
      </c>
      <c r="J29" s="10" t="s">
        <v>1653</v>
      </c>
      <c r="K29" s="10" t="s">
        <v>1654</v>
      </c>
    </row>
    <row r="30" customFormat="false" ht="22.35" hidden="false" customHeight="false" outlineLevel="0" collapsed="false">
      <c r="A30" s="11" t="s">
        <v>1655</v>
      </c>
      <c r="B30" s="11" t="s">
        <v>1656</v>
      </c>
      <c r="C30" s="11" t="s">
        <v>1657</v>
      </c>
      <c r="D30" s="11" t="s">
        <v>136</v>
      </c>
      <c r="E30" s="11" t="n">
        <v>4</v>
      </c>
      <c r="F30" s="12" t="n">
        <f aca="false">Overview!$B$4+7*(E30-1)+4</f>
        <v>46346</v>
      </c>
      <c r="G30" s="11" t="s">
        <v>1658</v>
      </c>
      <c r="H30" s="11" t="n">
        <f aca="false">INDEX('Project Plan'!$H$7:$H$156,MATCH(D30,'Project Plan'!$A$7:$A$156,0))</f>
        <v>4</v>
      </c>
      <c r="I30" s="11" t="n">
        <f aca="false">SUMPRODUCT(MIN('Project Plan'!$F$7:$F$156+999*(1-ISNUMBER(SEARCH(","&amp;'Project Plan'!$A$7:$A$156&amp;",",","&amp;SUBSTITUTE(G30," ","")&amp;",")))))</f>
        <v>5</v>
      </c>
      <c r="J30" s="11" t="str">
        <f aca="false">IF(AND(H30&lt;=E30,I30&gt;=E30),"ALIGNED","MISALIGNED")</f>
        <v>ALIGNED</v>
      </c>
      <c r="K30" s="38"/>
    </row>
    <row r="31" customFormat="false" ht="22.35" hidden="false" customHeight="false" outlineLevel="0" collapsed="false">
      <c r="A31" s="11" t="s">
        <v>1659</v>
      </c>
      <c r="B31" s="11" t="s">
        <v>1660</v>
      </c>
      <c r="C31" s="11" t="s">
        <v>1661</v>
      </c>
      <c r="D31" s="11" t="s">
        <v>384</v>
      </c>
      <c r="E31" s="11" t="n">
        <v>5</v>
      </c>
      <c r="F31" s="12" t="n">
        <f aca="false">Overview!$B$4+7*(E31-1)+4</f>
        <v>46353</v>
      </c>
      <c r="G31" s="11" t="s">
        <v>1662</v>
      </c>
      <c r="H31" s="11" t="n">
        <f aca="false">INDEX('Project Plan'!$H$7:$H$156,MATCH(D31,'Project Plan'!$A$7:$A$156,0))</f>
        <v>5</v>
      </c>
      <c r="I31" s="11" t="n">
        <f aca="false">SUMPRODUCT(MIN('Project Plan'!$F$7:$F$156+999*(1-ISNUMBER(SEARCH(","&amp;'Project Plan'!$A$7:$A$156&amp;",",","&amp;SUBSTITUTE(G31," ","")&amp;",")))))</f>
        <v>7</v>
      </c>
      <c r="J31" s="11" t="str">
        <f aca="false">IF(AND(H31&lt;=E31,I31&gt;=E31),"ALIGNED","MISALIGNED")</f>
        <v>ALIGNED</v>
      </c>
      <c r="K31" s="38"/>
    </row>
    <row r="32" customFormat="false" ht="22.35" hidden="false" customHeight="false" outlineLevel="0" collapsed="false">
      <c r="A32" s="11" t="s">
        <v>1663</v>
      </c>
      <c r="B32" s="11" t="s">
        <v>1664</v>
      </c>
      <c r="C32" s="11" t="s">
        <v>1665</v>
      </c>
      <c r="D32" s="11" t="s">
        <v>269</v>
      </c>
      <c r="E32" s="11" t="n">
        <v>4</v>
      </c>
      <c r="F32" s="12" t="n">
        <f aca="false">Overview!$B$4+7*(E32-1)+4</f>
        <v>46346</v>
      </c>
      <c r="G32" s="11" t="s">
        <v>792</v>
      </c>
      <c r="H32" s="11" t="n">
        <f aca="false">INDEX('Project Plan'!$H$7:$H$156,MATCH(D32,'Project Plan'!$A$7:$A$156,0))</f>
        <v>4</v>
      </c>
      <c r="I32" s="11" t="n">
        <f aca="false">SUMPRODUCT(MIN('Project Plan'!$F$7:$F$156+999*(1-ISNUMBER(SEARCH(","&amp;'Project Plan'!$A$7:$A$156&amp;",",","&amp;SUBSTITUTE(G32," ","")&amp;",")))))</f>
        <v>5</v>
      </c>
      <c r="J32" s="11" t="str">
        <f aca="false">IF(AND(H32&lt;=E32,I32&gt;=E32),"ALIGNED","MISALIGNED")</f>
        <v>ALIGNED</v>
      </c>
      <c r="K32" s="38"/>
    </row>
    <row r="33" customFormat="false" ht="15" hidden="false" customHeight="false" outlineLevel="0" collapsed="false">
      <c r="A33" s="11" t="s">
        <v>1666</v>
      </c>
      <c r="B33" s="11" t="s">
        <v>545</v>
      </c>
      <c r="C33" s="11" t="s">
        <v>1667</v>
      </c>
      <c r="D33" s="11" t="s">
        <v>281</v>
      </c>
      <c r="E33" s="11" t="n">
        <v>4</v>
      </c>
      <c r="F33" s="12" t="n">
        <f aca="false">Overview!$B$4+7*(E33-1)+4</f>
        <v>46346</v>
      </c>
      <c r="G33" s="11" t="s">
        <v>542</v>
      </c>
      <c r="H33" s="11" t="n">
        <f aca="false">INDEX('Project Plan'!$H$7:$H$156,MATCH(D33,'Project Plan'!$A$7:$A$156,0))</f>
        <v>4</v>
      </c>
      <c r="I33" s="11" t="n">
        <f aca="false">SUMPRODUCT(MIN('Project Plan'!$F$7:$F$156+999*(1-ISNUMBER(SEARCH(","&amp;'Project Plan'!$A$7:$A$156&amp;",",","&amp;SUBSTITUTE(G33," ","")&amp;",")))))</f>
        <v>6</v>
      </c>
      <c r="J33" s="11" t="str">
        <f aca="false">IF(AND(H33&lt;=E33,I33&gt;=E33),"ALIGNED","MISALIGNED")</f>
        <v>ALIGNED</v>
      </c>
      <c r="K33" s="38"/>
    </row>
    <row r="34" customFormat="false" ht="22.35" hidden="false" customHeight="false" outlineLevel="0" collapsed="false">
      <c r="A34" s="11" t="s">
        <v>1668</v>
      </c>
      <c r="B34" s="11" t="s">
        <v>1669</v>
      </c>
      <c r="C34" s="11" t="s">
        <v>1670</v>
      </c>
      <c r="D34" s="11" t="s">
        <v>322</v>
      </c>
      <c r="E34" s="11" t="n">
        <v>4</v>
      </c>
      <c r="F34" s="12" t="n">
        <f aca="false">Overview!$B$4+7*(E34-1)+4</f>
        <v>46346</v>
      </c>
      <c r="G34" s="11" t="s">
        <v>1671</v>
      </c>
      <c r="H34" s="11" t="n">
        <f aca="false">INDEX('Project Plan'!$H$7:$H$156,MATCH(D34,'Project Plan'!$A$7:$A$156,0))</f>
        <v>4</v>
      </c>
      <c r="I34" s="11" t="n">
        <f aca="false">SUMPRODUCT(MIN('Project Plan'!$F$7:$F$156+999*(1-ISNUMBER(SEARCH(","&amp;'Project Plan'!$A$7:$A$156&amp;",",","&amp;SUBSTITUTE(G34," ","")&amp;",")))))</f>
        <v>5</v>
      </c>
      <c r="J34" s="11" t="str">
        <f aca="false">IF(AND(H34&lt;=E34,I34&gt;=E34),"ALIGNED","MISALIGNED")</f>
        <v>ALIGNED</v>
      </c>
      <c r="K34" s="38"/>
    </row>
    <row r="35" customFormat="false" ht="22.35" hidden="false" customHeight="false" outlineLevel="0" collapsed="false">
      <c r="A35" s="11" t="s">
        <v>1672</v>
      </c>
      <c r="B35" s="11" t="s">
        <v>1673</v>
      </c>
      <c r="C35" s="11" t="s">
        <v>1674</v>
      </c>
      <c r="D35" s="11" t="s">
        <v>755</v>
      </c>
      <c r="E35" s="11" t="n">
        <v>15</v>
      </c>
      <c r="F35" s="12" t="n">
        <f aca="false">Overview!$B$4+7*(E35-1)+4</f>
        <v>46423</v>
      </c>
      <c r="G35" s="11" t="s">
        <v>1115</v>
      </c>
      <c r="H35" s="11" t="n">
        <f aca="false">INDEX('Project Plan'!$H$7:$H$156,MATCH(D35,'Project Plan'!$A$7:$A$156,0))</f>
        <v>15</v>
      </c>
      <c r="I35" s="11" t="n">
        <f aca="false">SUMPRODUCT(MIN('Project Plan'!$F$7:$F$156+999*(1-ISNUMBER(SEARCH(","&amp;'Project Plan'!$A$7:$A$156&amp;",",","&amp;SUBSTITUTE(G35," ","")&amp;",")))))</f>
        <v>25</v>
      </c>
      <c r="J35" s="11" t="str">
        <f aca="false">IF(AND(H35&lt;=E35,I35&gt;=E35),"ALIGNED","MISALIGNED")</f>
        <v>ALIGNED</v>
      </c>
      <c r="K35" s="38"/>
    </row>
    <row r="36" customFormat="false" ht="22.35" hidden="false" customHeight="false" outlineLevel="0" collapsed="false">
      <c r="A36" s="11" t="s">
        <v>1675</v>
      </c>
      <c r="B36" s="11" t="s">
        <v>1676</v>
      </c>
      <c r="C36" s="11" t="s">
        <v>1677</v>
      </c>
      <c r="D36" s="11" t="s">
        <v>502</v>
      </c>
      <c r="E36" s="11" t="n">
        <v>6</v>
      </c>
      <c r="F36" s="12" t="n">
        <f aca="false">Overview!$B$4+7*(E36-1)+4</f>
        <v>46360</v>
      </c>
      <c r="G36" s="11" t="s">
        <v>806</v>
      </c>
      <c r="H36" s="11" t="n">
        <f aca="false">INDEX('Project Plan'!$H$7:$H$156,MATCH(D36,'Project Plan'!$A$7:$A$156,0))</f>
        <v>6</v>
      </c>
      <c r="I36" s="11" t="n">
        <f aca="false">SUMPRODUCT(MIN('Project Plan'!$F$7:$F$156+999*(1-ISNUMBER(SEARCH(","&amp;'Project Plan'!$A$7:$A$156&amp;",",","&amp;SUBSTITUTE(G36," ","")&amp;",")))))</f>
        <v>7</v>
      </c>
      <c r="J36" s="11" t="str">
        <f aca="false">IF(AND(H36&lt;=E36,I36&gt;=E36),"ALIGNED","MISALIGNED")</f>
        <v>ALIGNED</v>
      </c>
      <c r="K36" s="38"/>
    </row>
    <row r="37" customFormat="false" ht="22.35" hidden="false" customHeight="false" outlineLevel="0" collapsed="false">
      <c r="A37" s="11" t="s">
        <v>1678</v>
      </c>
      <c r="B37" s="11" t="s">
        <v>1679</v>
      </c>
      <c r="C37" s="11" t="s">
        <v>1680</v>
      </c>
      <c r="D37" s="11" t="s">
        <v>521</v>
      </c>
      <c r="E37" s="11" t="n">
        <v>7</v>
      </c>
      <c r="F37" s="12" t="n">
        <f aca="false">Overview!$B$4+7*(E37-1)+4</f>
        <v>46367</v>
      </c>
      <c r="G37" s="11" t="s">
        <v>1681</v>
      </c>
      <c r="H37" s="11" t="n">
        <f aca="false">INDEX('Project Plan'!$H$7:$H$156,MATCH(D37,'Project Plan'!$A$7:$A$156,0))</f>
        <v>7</v>
      </c>
      <c r="I37" s="11" t="n">
        <f aca="false">SUMPRODUCT(MIN('Project Plan'!$F$7:$F$156+999*(1-ISNUMBER(SEARCH(","&amp;'Project Plan'!$A$7:$A$156&amp;",",","&amp;SUBSTITUTE(G37," ","")&amp;",")))))</f>
        <v>8</v>
      </c>
      <c r="J37" s="11" t="str">
        <f aca="false">IF(AND(H37&lt;=E37,I37&gt;=E37),"ALIGNED","MISALIGNED")</f>
        <v>ALIGNED</v>
      </c>
      <c r="K37" s="38"/>
    </row>
    <row r="38" customFormat="false" ht="15" hidden="false" customHeight="false" outlineLevel="0" collapsed="false">
      <c r="A38" s="11" t="s">
        <v>1682</v>
      </c>
      <c r="B38" s="11" t="s">
        <v>1683</v>
      </c>
      <c r="C38" s="11" t="s">
        <v>1684</v>
      </c>
      <c r="D38" s="11" t="s">
        <v>1108</v>
      </c>
      <c r="E38" s="11" t="n">
        <v>24</v>
      </c>
      <c r="F38" s="12" t="n">
        <f aca="false">Overview!$B$4+7*(E38-1)+4</f>
        <v>46486</v>
      </c>
      <c r="G38" s="11" t="s">
        <v>88</v>
      </c>
      <c r="H38" s="11" t="n">
        <f aca="false">INDEX('Project Plan'!$H$7:$H$156,MATCH(D38,'Project Plan'!$A$7:$A$156,0))</f>
        <v>24</v>
      </c>
      <c r="I38" s="11" t="n">
        <f aca="false">SUMPRODUCT(MIN('Project Plan'!$F$7:$F$156+999*(1-ISNUMBER(SEARCH(","&amp;'Project Plan'!$A$7:$A$156&amp;",",","&amp;SUBSTITUTE(G38," ","")&amp;",")))))</f>
        <v>26</v>
      </c>
      <c r="J38" s="11" t="str">
        <f aca="false">IF(AND(H38&lt;=E38,I38&gt;=E38),"ALIGNED","MISALIGNED")</f>
        <v>ALIGNED</v>
      </c>
      <c r="K38" s="38"/>
    </row>
    <row r="39" customFormat="false" ht="22.35" hidden="false" customHeight="false" outlineLevel="0" collapsed="false">
      <c r="A39" s="11" t="s">
        <v>1685</v>
      </c>
      <c r="B39" s="11" t="s">
        <v>1686</v>
      </c>
      <c r="C39" s="11" t="s">
        <v>1687</v>
      </c>
      <c r="D39" s="11" t="s">
        <v>170</v>
      </c>
      <c r="E39" s="11" t="n">
        <v>2</v>
      </c>
      <c r="F39" s="12" t="n">
        <f aca="false">Overview!$B$4+7*(E39-1)+4</f>
        <v>46332</v>
      </c>
      <c r="G39" s="11" t="s">
        <v>346</v>
      </c>
      <c r="H39" s="11" t="n">
        <f aca="false">INDEX('Project Plan'!$H$7:$H$156,MATCH(D39,'Project Plan'!$A$7:$A$156,0))</f>
        <v>1</v>
      </c>
      <c r="I39" s="11" t="n">
        <f aca="false">SUMPRODUCT(MIN('Project Plan'!$F$7:$F$156+999*(1-ISNUMBER(SEARCH(","&amp;'Project Plan'!$A$7:$A$156&amp;",",","&amp;SUBSTITUTE(G39," ","")&amp;",")))))</f>
        <v>2</v>
      </c>
      <c r="J39" s="11" t="str">
        <f aca="false">IF(AND(H39&lt;=E39,I39&gt;=E39),"ALIGNED","MISALIGNED")</f>
        <v>ALIGNED</v>
      </c>
      <c r="K39" s="38"/>
    </row>
    <row r="40" customFormat="false" ht="22.35" hidden="false" customHeight="false" outlineLevel="0" collapsed="false">
      <c r="A40" s="11" t="s">
        <v>1688</v>
      </c>
      <c r="B40" s="11" t="s">
        <v>1689</v>
      </c>
      <c r="C40" s="11" t="s">
        <v>1690</v>
      </c>
      <c r="D40" s="11" t="s">
        <v>367</v>
      </c>
      <c r="E40" s="11" t="n">
        <v>6</v>
      </c>
      <c r="F40" s="12" t="n">
        <f aca="false">Overview!$B$4+7*(E40-1)+4</f>
        <v>46360</v>
      </c>
      <c r="G40" s="11" t="s">
        <v>1691</v>
      </c>
      <c r="H40" s="11" t="n">
        <f aca="false">INDEX('Project Plan'!$H$7:$H$156,MATCH(D40,'Project Plan'!$A$7:$A$156,0))</f>
        <v>6</v>
      </c>
      <c r="I40" s="11" t="n">
        <f aca="false">SUMPRODUCT(MIN('Project Plan'!$F$7:$F$156+999*(1-ISNUMBER(SEARCH(","&amp;'Project Plan'!$A$7:$A$156&amp;",",","&amp;SUBSTITUTE(G40," ","")&amp;",")))))</f>
        <v>11</v>
      </c>
      <c r="J40" s="11" t="str">
        <f aca="false">IF(AND(H40&lt;=E40,I40&gt;=E40),"ALIGNED","MISALIGNED")</f>
        <v>ALIGNED</v>
      </c>
      <c r="K40" s="38"/>
    </row>
    <row r="41" customFormat="false" ht="22.35" hidden="false" customHeight="false" outlineLevel="0" collapsed="false">
      <c r="A41" s="11" t="s">
        <v>1692</v>
      </c>
      <c r="B41" s="11" t="s">
        <v>1693</v>
      </c>
      <c r="C41" s="11" t="s">
        <v>1694</v>
      </c>
      <c r="D41" s="11" t="s">
        <v>521</v>
      </c>
      <c r="E41" s="11" t="n">
        <v>7</v>
      </c>
      <c r="F41" s="12" t="n">
        <f aca="false">Overview!$B$4+7*(E41-1)+4</f>
        <v>46367</v>
      </c>
      <c r="G41" s="11" t="s">
        <v>1093</v>
      </c>
      <c r="H41" s="11" t="n">
        <f aca="false">INDEX('Project Plan'!$H$7:$H$156,MATCH(D41,'Project Plan'!$A$7:$A$156,0))</f>
        <v>7</v>
      </c>
      <c r="I41" s="11" t="n">
        <f aca="false">SUMPRODUCT(MIN('Project Plan'!$F$7:$F$156+999*(1-ISNUMBER(SEARCH(","&amp;'Project Plan'!$A$7:$A$156&amp;",",","&amp;SUBSTITUTE(G41," ","")&amp;",")))))</f>
        <v>22</v>
      </c>
      <c r="J41" s="11" t="str">
        <f aca="false">IF(AND(H41&lt;=E41,I41&gt;=E41),"ALIGNED","MISALIGNED")</f>
        <v>ALIGNED</v>
      </c>
      <c r="K41" s="38"/>
    </row>
    <row r="42" customFormat="false" ht="15" hidden="false" customHeight="false" outlineLevel="0" collapsed="false">
      <c r="A42" s="11" t="s">
        <v>1695</v>
      </c>
      <c r="B42" s="11" t="s">
        <v>1696</v>
      </c>
      <c r="C42" s="11" t="s">
        <v>1697</v>
      </c>
      <c r="D42" s="11" t="s">
        <v>406</v>
      </c>
      <c r="E42" s="11" t="n">
        <v>7</v>
      </c>
      <c r="F42" s="12" t="n">
        <f aca="false">Overview!$B$4+7*(E42-1)+4</f>
        <v>46367</v>
      </c>
      <c r="G42" s="11" t="s">
        <v>727</v>
      </c>
      <c r="H42" s="11" t="n">
        <f aca="false">INDEX('Project Plan'!$H$7:$H$156,MATCH(D42,'Project Plan'!$A$7:$A$156,0))</f>
        <v>7</v>
      </c>
      <c r="I42" s="11" t="n">
        <f aca="false">SUMPRODUCT(MIN('Project Plan'!$F$7:$F$156+999*(1-ISNUMBER(SEARCH(","&amp;'Project Plan'!$A$7:$A$156&amp;",",","&amp;SUBSTITUTE(G42," ","")&amp;",")))))</f>
        <v>9</v>
      </c>
      <c r="J42" s="11" t="str">
        <f aca="false">IF(AND(H42&lt;=E42,I42&gt;=E42),"ALIGNED","MISALIGNED")</f>
        <v>ALIGNED</v>
      </c>
      <c r="K42" s="38"/>
    </row>
    <row r="43" customFormat="false" ht="15" hidden="false" customHeight="false" outlineLevel="0" collapsed="false">
      <c r="A43" s="11" t="s">
        <v>1698</v>
      </c>
      <c r="B43" s="11" t="s">
        <v>1699</v>
      </c>
      <c r="C43" s="11" t="s">
        <v>1700</v>
      </c>
      <c r="D43" s="11" t="s">
        <v>235</v>
      </c>
      <c r="E43" s="11" t="n">
        <v>3</v>
      </c>
      <c r="F43" s="12" t="n">
        <f aca="false">Overview!$B$4+7*(E43-1)+4</f>
        <v>46339</v>
      </c>
      <c r="G43" s="11" t="s">
        <v>862</v>
      </c>
      <c r="H43" s="11" t="n">
        <f aca="false">INDEX('Project Plan'!$H$7:$H$156,MATCH(D43,'Project Plan'!$A$7:$A$156,0))</f>
        <v>3</v>
      </c>
      <c r="I43" s="11" t="n">
        <f aca="false">SUMPRODUCT(MIN('Project Plan'!$F$7:$F$156+999*(1-ISNUMBER(SEARCH(","&amp;'Project Plan'!$A$7:$A$156&amp;",",","&amp;SUBSTITUTE(G43," ","")&amp;",")))))</f>
        <v>11</v>
      </c>
      <c r="J43" s="11" t="str">
        <f aca="false">IF(AND(H43&lt;=E43,I43&gt;=E43),"ALIGNED","MISALIGNED")</f>
        <v>ALIGNED</v>
      </c>
      <c r="K43" s="38"/>
    </row>
    <row r="44" customFormat="false" ht="22.35" hidden="false" customHeight="false" outlineLevel="0" collapsed="false">
      <c r="A44" s="11" t="s">
        <v>1701</v>
      </c>
      <c r="B44" s="11" t="s">
        <v>1702</v>
      </c>
      <c r="C44" s="11" t="s">
        <v>1703</v>
      </c>
      <c r="D44" s="11" t="s">
        <v>275</v>
      </c>
      <c r="E44" s="11" t="n">
        <v>4</v>
      </c>
      <c r="F44" s="12" t="n">
        <f aca="false">Overview!$B$4+7*(E44-1)+4</f>
        <v>46346</v>
      </c>
      <c r="G44" s="11" t="s">
        <v>1704</v>
      </c>
      <c r="H44" s="11" t="n">
        <f aca="false">INDEX('Project Plan'!$H$7:$H$156,MATCH(D44,'Project Plan'!$A$7:$A$156,0))</f>
        <v>4</v>
      </c>
      <c r="I44" s="11" t="n">
        <f aca="false">SUMPRODUCT(MIN('Project Plan'!$F$7:$F$156+999*(1-ISNUMBER(SEARCH(","&amp;'Project Plan'!$A$7:$A$156&amp;",",","&amp;SUBSTITUTE(G44," ","")&amp;",")))))</f>
        <v>7</v>
      </c>
      <c r="J44" s="11" t="str">
        <f aca="false">IF(AND(H44&lt;=E44,I44&gt;=E44),"ALIGNED","MISALIGNED")</f>
        <v>ALIGNED</v>
      </c>
      <c r="K44" s="38"/>
    </row>
    <row r="45" customFormat="false" ht="22.35" hidden="false" customHeight="false" outlineLevel="0" collapsed="false">
      <c r="A45" s="11" t="s">
        <v>1705</v>
      </c>
      <c r="B45" s="11" t="s">
        <v>1706</v>
      </c>
      <c r="C45" s="11" t="s">
        <v>1707</v>
      </c>
      <c r="D45" s="11" t="s">
        <v>221</v>
      </c>
      <c r="E45" s="11" t="n">
        <v>1</v>
      </c>
      <c r="F45" s="12" t="n">
        <f aca="false">Overview!$B$4+7*(E45-1)+4</f>
        <v>46325</v>
      </c>
      <c r="G45" s="11" t="s">
        <v>228</v>
      </c>
      <c r="H45" s="11" t="n">
        <f aca="false">INDEX('Project Plan'!$H$7:$H$156,MATCH(D45,'Project Plan'!$A$7:$A$156,0))</f>
        <v>0</v>
      </c>
      <c r="I45" s="11" t="n">
        <f aca="false">SUMPRODUCT(MIN('Project Plan'!$F$7:$F$156+999*(1-ISNUMBER(SEARCH(","&amp;'Project Plan'!$A$7:$A$156&amp;",",","&amp;SUBSTITUTE(G45," ","")&amp;",")))))</f>
        <v>1</v>
      </c>
      <c r="J45" s="11" t="str">
        <f aca="false">IF(AND(H45&lt;=E45,I45&gt;=E45),"ALIGNED","MISALIGNED")</f>
        <v>ALIGNED</v>
      </c>
      <c r="K45" s="38"/>
    </row>
    <row r="46" customFormat="false" ht="22.35" hidden="false" customHeight="false" outlineLevel="0" collapsed="false">
      <c r="A46" s="11" t="s">
        <v>1708</v>
      </c>
      <c r="B46" s="11" t="s">
        <v>1709</v>
      </c>
      <c r="C46" s="11" t="s">
        <v>1710</v>
      </c>
      <c r="D46" s="11" t="s">
        <v>392</v>
      </c>
      <c r="E46" s="11" t="n">
        <v>5</v>
      </c>
      <c r="F46" s="12" t="n">
        <f aca="false">Overview!$B$4+7*(E46-1)+4</f>
        <v>46353</v>
      </c>
      <c r="G46" s="11" t="s">
        <v>1711</v>
      </c>
      <c r="H46" s="11" t="n">
        <f aca="false">INDEX('Project Plan'!$H$7:$H$156,MATCH(D46,'Project Plan'!$A$7:$A$156,0))</f>
        <v>5</v>
      </c>
      <c r="I46" s="11" t="n">
        <f aca="false">SUMPRODUCT(MIN('Project Plan'!$F$7:$F$156+999*(1-ISNUMBER(SEARCH(","&amp;'Project Plan'!$A$7:$A$156&amp;",",","&amp;SUBSTITUTE(G46," ","")&amp;",")))))</f>
        <v>9</v>
      </c>
      <c r="J46" s="11" t="str">
        <f aca="false">IF(AND(H46&lt;=E46,I46&gt;=E46),"ALIGNED","MISALIGNED")</f>
        <v>ALIGNED</v>
      </c>
      <c r="K46" s="38"/>
    </row>
  </sheetData>
  <conditionalFormatting sqref="F5:F26">
    <cfRule type="expression" priority="2" aboveAverage="0" equalAverage="0" bottom="0" percent="0" rank="0" text="" dxfId="11">
      <formula>F5="High"</formula>
    </cfRule>
    <cfRule type="expression" priority="3" aboveAverage="0" equalAverage="0" bottom="0" percent="0" rank="0" text="" dxfId="14">
      <formula>F5="Medium"</formula>
    </cfRule>
  </conditionalFormatting>
  <conditionalFormatting sqref="J30:J46">
    <cfRule type="expression" priority="4" aboveAverage="0" equalAverage="0" bottom="0" percent="0" rank="0" text="" dxfId="11">
      <formula>J30="MISALIGNED"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9"/>
    <col collapsed="false" customWidth="true" hidden="false" outlineLevel="0" max="6" min="5" style="0" width="60"/>
    <col collapsed="false" customWidth="true" hidden="false" outlineLevel="0" max="7" min="7" style="0" width="18"/>
  </cols>
  <sheetData>
    <row r="1" customFormat="false" ht="17.35" hidden="false" customHeight="false" outlineLevel="0" collapsed="false">
      <c r="A1" s="1" t="s">
        <v>1712</v>
      </c>
    </row>
    <row r="2" customFormat="false" ht="15" hidden="false" customHeight="false" outlineLevel="0" collapsed="false">
      <c r="A2" s="2" t="s">
        <v>1713</v>
      </c>
    </row>
    <row r="4" customFormat="false" ht="15" hidden="false" customHeight="false" outlineLevel="0" collapsed="false">
      <c r="A4" s="10" t="s">
        <v>98</v>
      </c>
      <c r="B4" s="10" t="s">
        <v>1714</v>
      </c>
      <c r="C4" s="10" t="s">
        <v>1715</v>
      </c>
      <c r="D4" s="10" t="s">
        <v>1716</v>
      </c>
      <c r="E4" s="10" t="s">
        <v>1717</v>
      </c>
      <c r="F4" s="10" t="s">
        <v>1718</v>
      </c>
      <c r="G4" s="10" t="s">
        <v>113</v>
      </c>
    </row>
    <row r="5" customFormat="false" ht="32.8" hidden="false" customHeight="false" outlineLevel="0" collapsed="false">
      <c r="A5" s="11" t="s">
        <v>1719</v>
      </c>
      <c r="B5" s="11" t="s">
        <v>1720</v>
      </c>
      <c r="C5" s="11" t="s">
        <v>180</v>
      </c>
      <c r="D5" s="11" t="s">
        <v>1721</v>
      </c>
      <c r="E5" s="11" t="s">
        <v>1722</v>
      </c>
      <c r="F5" s="11" t="s">
        <v>1723</v>
      </c>
      <c r="G5" s="11" t="s">
        <v>1724</v>
      </c>
    </row>
    <row r="6" customFormat="false" ht="22.35" hidden="false" customHeight="false" outlineLevel="0" collapsed="false">
      <c r="A6" s="11" t="s">
        <v>1725</v>
      </c>
      <c r="B6" s="11" t="s">
        <v>1720</v>
      </c>
      <c r="C6" s="11" t="s">
        <v>334</v>
      </c>
      <c r="D6" s="11" t="s">
        <v>1726</v>
      </c>
      <c r="E6" s="11" t="s">
        <v>1727</v>
      </c>
      <c r="F6" s="11" t="s">
        <v>1728</v>
      </c>
      <c r="G6" s="11" t="s">
        <v>1724</v>
      </c>
    </row>
    <row r="7" customFormat="false" ht="32.8" hidden="false" customHeight="false" outlineLevel="0" collapsed="false">
      <c r="A7" s="11" t="s">
        <v>1729</v>
      </c>
      <c r="B7" s="11" t="s">
        <v>1720</v>
      </c>
      <c r="C7" s="11" t="s">
        <v>1730</v>
      </c>
      <c r="D7" s="11" t="s">
        <v>1721</v>
      </c>
      <c r="E7" s="11" t="s">
        <v>1731</v>
      </c>
      <c r="F7" s="11" t="s">
        <v>1732</v>
      </c>
      <c r="G7" s="11" t="s">
        <v>1724</v>
      </c>
    </row>
    <row r="8" customFormat="false" ht="22.35" hidden="false" customHeight="false" outlineLevel="0" collapsed="false">
      <c r="A8" s="11" t="s">
        <v>1733</v>
      </c>
      <c r="B8" s="11" t="s">
        <v>1720</v>
      </c>
      <c r="C8" s="11" t="s">
        <v>1734</v>
      </c>
      <c r="D8" s="11" t="s">
        <v>1726</v>
      </c>
      <c r="E8" s="11" t="s">
        <v>1735</v>
      </c>
      <c r="F8" s="11" t="s">
        <v>1736</v>
      </c>
      <c r="G8" s="11" t="s">
        <v>1724</v>
      </c>
    </row>
    <row r="9" customFormat="false" ht="22.35" hidden="false" customHeight="false" outlineLevel="0" collapsed="false">
      <c r="A9" s="11" t="s">
        <v>1737</v>
      </c>
      <c r="B9" s="11" t="s">
        <v>1720</v>
      </c>
      <c r="C9" s="11" t="s">
        <v>1738</v>
      </c>
      <c r="D9" s="11" t="s">
        <v>1739</v>
      </c>
      <c r="E9" s="11" t="s">
        <v>1740</v>
      </c>
      <c r="F9" s="11" t="s">
        <v>1741</v>
      </c>
      <c r="G9" s="11" t="s">
        <v>1724</v>
      </c>
    </row>
    <row r="10" customFormat="false" ht="22.35" hidden="false" customHeight="false" outlineLevel="0" collapsed="false">
      <c r="A10" s="11" t="s">
        <v>1742</v>
      </c>
      <c r="B10" s="11" t="s">
        <v>1720</v>
      </c>
      <c r="C10" s="11" t="s">
        <v>1743</v>
      </c>
      <c r="D10" s="11" t="s">
        <v>1739</v>
      </c>
      <c r="E10" s="11" t="s">
        <v>1744</v>
      </c>
      <c r="F10" s="11" t="s">
        <v>1745</v>
      </c>
      <c r="G10" s="11" t="s">
        <v>1746</v>
      </c>
    </row>
    <row r="11" customFormat="false" ht="22.35" hidden="false" customHeight="false" outlineLevel="0" collapsed="false">
      <c r="A11" s="11" t="s">
        <v>1747</v>
      </c>
      <c r="B11" s="11" t="s">
        <v>1720</v>
      </c>
      <c r="C11" s="11" t="s">
        <v>448</v>
      </c>
      <c r="D11" s="11" t="s">
        <v>1739</v>
      </c>
      <c r="E11" s="11" t="s">
        <v>1748</v>
      </c>
      <c r="F11" s="11" t="s">
        <v>1749</v>
      </c>
      <c r="G11" s="11" t="s">
        <v>1750</v>
      </c>
    </row>
    <row r="12" customFormat="false" ht="15" hidden="false" customHeight="false" outlineLevel="0" collapsed="false">
      <c r="A12" s="11" t="s">
        <v>1751</v>
      </c>
      <c r="B12" s="11" t="s">
        <v>1720</v>
      </c>
      <c r="C12" s="11" t="s">
        <v>1752</v>
      </c>
      <c r="D12" s="11" t="s">
        <v>1753</v>
      </c>
      <c r="E12" s="11" t="s">
        <v>1754</v>
      </c>
      <c r="F12" s="11" t="s">
        <v>1755</v>
      </c>
      <c r="G12" s="11" t="s">
        <v>1724</v>
      </c>
    </row>
    <row r="13" customFormat="false" ht="15" hidden="false" customHeight="false" outlineLevel="0" collapsed="false">
      <c r="A13" s="11" t="s">
        <v>1756</v>
      </c>
      <c r="B13" s="11" t="s">
        <v>1720</v>
      </c>
      <c r="C13" s="11" t="s">
        <v>674</v>
      </c>
      <c r="D13" s="11" t="s">
        <v>1753</v>
      </c>
      <c r="E13" s="11" t="s">
        <v>1757</v>
      </c>
      <c r="F13" s="11" t="s">
        <v>1758</v>
      </c>
      <c r="G13" s="11" t="s">
        <v>1724</v>
      </c>
    </row>
    <row r="14" customFormat="false" ht="15" hidden="false" customHeight="false" outlineLevel="0" collapsed="false">
      <c r="A14" s="11" t="s">
        <v>1759</v>
      </c>
      <c r="B14" s="11" t="s">
        <v>1720</v>
      </c>
      <c r="C14" s="11" t="s">
        <v>373</v>
      </c>
      <c r="D14" s="11" t="s">
        <v>1753</v>
      </c>
      <c r="E14" s="11" t="s">
        <v>1760</v>
      </c>
      <c r="F14" s="11" t="s">
        <v>1761</v>
      </c>
      <c r="G14" s="11" t="s">
        <v>1724</v>
      </c>
    </row>
    <row r="15" customFormat="false" ht="32.8" hidden="false" customHeight="false" outlineLevel="0" collapsed="false">
      <c r="A15" s="11" t="s">
        <v>1762</v>
      </c>
      <c r="B15" s="11" t="s">
        <v>1720</v>
      </c>
      <c r="C15" s="11" t="s">
        <v>1763</v>
      </c>
      <c r="D15" s="11" t="s">
        <v>1726</v>
      </c>
      <c r="E15" s="11" t="s">
        <v>1764</v>
      </c>
      <c r="F15" s="11" t="s">
        <v>1765</v>
      </c>
      <c r="G15" s="11" t="s">
        <v>1724</v>
      </c>
    </row>
    <row r="16" customFormat="false" ht="22.35" hidden="false" customHeight="false" outlineLevel="0" collapsed="false">
      <c r="A16" s="11" t="s">
        <v>1766</v>
      </c>
      <c r="B16" s="11" t="s">
        <v>1767</v>
      </c>
      <c r="C16" s="11" t="s">
        <v>1768</v>
      </c>
      <c r="D16" s="11" t="s">
        <v>1721</v>
      </c>
      <c r="E16" s="11" t="s">
        <v>1769</v>
      </c>
      <c r="F16" s="11" t="s">
        <v>1770</v>
      </c>
      <c r="G16" s="11" t="s">
        <v>1724</v>
      </c>
    </row>
    <row r="17" customFormat="false" ht="22.35" hidden="false" customHeight="false" outlineLevel="0" collapsed="false">
      <c r="A17" s="11" t="s">
        <v>1771</v>
      </c>
      <c r="B17" s="11" t="s">
        <v>1767</v>
      </c>
      <c r="C17" s="11" t="s">
        <v>201</v>
      </c>
      <c r="D17" s="11" t="s">
        <v>1726</v>
      </c>
      <c r="E17" s="11" t="s">
        <v>1772</v>
      </c>
      <c r="F17" s="11" t="s">
        <v>1773</v>
      </c>
      <c r="G17" s="11" t="s">
        <v>1724</v>
      </c>
    </row>
    <row r="18" customFormat="false" ht="22.35" hidden="false" customHeight="false" outlineLevel="0" collapsed="false">
      <c r="A18" s="11" t="s">
        <v>1774</v>
      </c>
      <c r="B18" s="11" t="s">
        <v>1767</v>
      </c>
      <c r="C18" s="11" t="s">
        <v>1775</v>
      </c>
      <c r="D18" s="11" t="s">
        <v>1726</v>
      </c>
      <c r="E18" s="11" t="s">
        <v>1776</v>
      </c>
      <c r="F18" s="11" t="s">
        <v>1777</v>
      </c>
      <c r="G18" s="11" t="s">
        <v>1724</v>
      </c>
    </row>
    <row r="19" customFormat="false" ht="22.35" hidden="false" customHeight="false" outlineLevel="0" collapsed="false">
      <c r="A19" s="11" t="s">
        <v>1778</v>
      </c>
      <c r="B19" s="11" t="s">
        <v>1767</v>
      </c>
      <c r="C19" s="11" t="s">
        <v>1779</v>
      </c>
      <c r="D19" s="11" t="s">
        <v>1726</v>
      </c>
      <c r="E19" s="11" t="s">
        <v>1780</v>
      </c>
      <c r="F19" s="11" t="s">
        <v>1781</v>
      </c>
      <c r="G19" s="11" t="s">
        <v>1724</v>
      </c>
    </row>
    <row r="20" customFormat="false" ht="22.35" hidden="false" customHeight="false" outlineLevel="0" collapsed="false">
      <c r="A20" s="11" t="s">
        <v>1782</v>
      </c>
      <c r="B20" s="11" t="s">
        <v>1767</v>
      </c>
      <c r="C20" s="11" t="s">
        <v>207</v>
      </c>
      <c r="D20" s="11" t="s">
        <v>1726</v>
      </c>
      <c r="E20" s="11" t="s">
        <v>1783</v>
      </c>
      <c r="F20" s="11" t="s">
        <v>1784</v>
      </c>
      <c r="G20" s="11" t="s">
        <v>1724</v>
      </c>
    </row>
    <row r="21" customFormat="false" ht="22.35" hidden="false" customHeight="false" outlineLevel="0" collapsed="false">
      <c r="A21" s="11" t="s">
        <v>1785</v>
      </c>
      <c r="B21" s="11" t="s">
        <v>1767</v>
      </c>
      <c r="C21" s="11" t="s">
        <v>1786</v>
      </c>
      <c r="D21" s="11" t="s">
        <v>1726</v>
      </c>
      <c r="E21" s="11" t="s">
        <v>1787</v>
      </c>
      <c r="F21" s="11" t="s">
        <v>1788</v>
      </c>
      <c r="G21" s="11" t="s">
        <v>1724</v>
      </c>
    </row>
    <row r="22" customFormat="false" ht="22.35" hidden="false" customHeight="false" outlineLevel="0" collapsed="false">
      <c r="A22" s="11" t="s">
        <v>1789</v>
      </c>
      <c r="B22" s="11" t="s">
        <v>1767</v>
      </c>
      <c r="C22" s="11" t="s">
        <v>1790</v>
      </c>
      <c r="D22" s="11" t="s">
        <v>1726</v>
      </c>
      <c r="E22" s="11" t="s">
        <v>1791</v>
      </c>
      <c r="F22" s="11" t="s">
        <v>1792</v>
      </c>
      <c r="G22" s="11" t="s">
        <v>1724</v>
      </c>
    </row>
    <row r="23" customFormat="false" ht="22.35" hidden="false" customHeight="false" outlineLevel="0" collapsed="false">
      <c r="A23" s="11" t="s">
        <v>1793</v>
      </c>
      <c r="B23" s="11" t="s">
        <v>1767</v>
      </c>
      <c r="C23" s="11" t="s">
        <v>269</v>
      </c>
      <c r="D23" s="11" t="s">
        <v>1726</v>
      </c>
      <c r="E23" s="11" t="s">
        <v>1794</v>
      </c>
      <c r="F23" s="11" t="s">
        <v>1795</v>
      </c>
      <c r="G23" s="11" t="s">
        <v>1724</v>
      </c>
    </row>
    <row r="24" customFormat="false" ht="22.35" hidden="false" customHeight="false" outlineLevel="0" collapsed="false">
      <c r="A24" s="11" t="s">
        <v>1796</v>
      </c>
      <c r="B24" s="11" t="s">
        <v>1767</v>
      </c>
      <c r="C24" s="11" t="s">
        <v>727</v>
      </c>
      <c r="D24" s="11" t="s">
        <v>1739</v>
      </c>
      <c r="E24" s="11" t="s">
        <v>1797</v>
      </c>
      <c r="F24" s="11" t="s">
        <v>1798</v>
      </c>
      <c r="G24" s="11" t="s">
        <v>1724</v>
      </c>
    </row>
    <row r="25" customFormat="false" ht="22.35" hidden="false" customHeight="false" outlineLevel="0" collapsed="false">
      <c r="A25" s="11" t="s">
        <v>1799</v>
      </c>
      <c r="B25" s="11" t="s">
        <v>1767</v>
      </c>
      <c r="C25" s="11" t="s">
        <v>1800</v>
      </c>
      <c r="D25" s="11" t="s">
        <v>1739</v>
      </c>
      <c r="E25" s="11" t="s">
        <v>1801</v>
      </c>
      <c r="F25" s="11" t="s">
        <v>1802</v>
      </c>
      <c r="G25" s="11" t="s">
        <v>1724</v>
      </c>
    </row>
    <row r="26" customFormat="false" ht="22.35" hidden="false" customHeight="false" outlineLevel="0" collapsed="false">
      <c r="A26" s="11" t="s">
        <v>1803</v>
      </c>
      <c r="B26" s="11" t="s">
        <v>1767</v>
      </c>
      <c r="C26" s="11" t="s">
        <v>1804</v>
      </c>
      <c r="D26" s="11" t="s">
        <v>1739</v>
      </c>
      <c r="E26" s="11" t="s">
        <v>1805</v>
      </c>
      <c r="F26" s="11" t="s">
        <v>1806</v>
      </c>
      <c r="G26" s="11" t="s">
        <v>1724</v>
      </c>
    </row>
    <row r="27" customFormat="false" ht="22.35" hidden="false" customHeight="false" outlineLevel="0" collapsed="false">
      <c r="A27" s="11" t="s">
        <v>1807</v>
      </c>
      <c r="B27" s="11" t="s">
        <v>1767</v>
      </c>
      <c r="C27" s="11" t="s">
        <v>440</v>
      </c>
      <c r="D27" s="11" t="s">
        <v>1739</v>
      </c>
      <c r="E27" s="11" t="s">
        <v>1808</v>
      </c>
      <c r="F27" s="11" t="s">
        <v>1809</v>
      </c>
      <c r="G27" s="11" t="s">
        <v>1724</v>
      </c>
    </row>
    <row r="28" customFormat="false" ht="15" hidden="false" customHeight="false" outlineLevel="0" collapsed="false">
      <c r="A28" s="11" t="s">
        <v>1810</v>
      </c>
      <c r="B28" s="11" t="s">
        <v>1767</v>
      </c>
      <c r="C28" s="11" t="s">
        <v>1811</v>
      </c>
      <c r="D28" s="11" t="s">
        <v>1739</v>
      </c>
      <c r="E28" s="11" t="s">
        <v>1812</v>
      </c>
      <c r="F28" s="11" t="s">
        <v>1813</v>
      </c>
      <c r="G28" s="11" t="s">
        <v>1724</v>
      </c>
    </row>
    <row r="29" customFormat="false" ht="15" hidden="false" customHeight="false" outlineLevel="0" collapsed="false">
      <c r="A29" s="11" t="s">
        <v>1814</v>
      </c>
      <c r="B29" s="11" t="s">
        <v>1767</v>
      </c>
      <c r="C29" s="11" t="s">
        <v>433</v>
      </c>
      <c r="D29" s="11" t="s">
        <v>1739</v>
      </c>
      <c r="E29" s="11" t="s">
        <v>1815</v>
      </c>
      <c r="F29" s="11" t="s">
        <v>1816</v>
      </c>
      <c r="G29" s="11" t="s">
        <v>1724</v>
      </c>
    </row>
    <row r="30" customFormat="false" ht="22.35" hidden="false" customHeight="false" outlineLevel="0" collapsed="false">
      <c r="A30" s="11" t="s">
        <v>1817</v>
      </c>
      <c r="B30" s="11" t="s">
        <v>1767</v>
      </c>
      <c r="C30" s="11" t="s">
        <v>1763</v>
      </c>
      <c r="D30" s="11" t="s">
        <v>1726</v>
      </c>
      <c r="E30" s="11" t="s">
        <v>1818</v>
      </c>
      <c r="F30" s="11" t="s">
        <v>1819</v>
      </c>
      <c r="G30" s="11" t="s">
        <v>1724</v>
      </c>
    </row>
    <row r="31" customFormat="false" ht="15" hidden="false" customHeight="false" outlineLevel="0" collapsed="false">
      <c r="A31" s="11" t="s">
        <v>1820</v>
      </c>
      <c r="B31" s="11" t="s">
        <v>1767</v>
      </c>
      <c r="C31" s="11" t="s">
        <v>1599</v>
      </c>
      <c r="D31" s="11" t="s">
        <v>1753</v>
      </c>
      <c r="E31" s="11" t="s">
        <v>1821</v>
      </c>
      <c r="F31" s="11" t="s">
        <v>1822</v>
      </c>
      <c r="G31" s="11" t="s">
        <v>1724</v>
      </c>
    </row>
    <row r="32" customFormat="false" ht="15" hidden="false" customHeight="false" outlineLevel="0" collapsed="false">
      <c r="A32" s="11" t="s">
        <v>1823</v>
      </c>
      <c r="B32" s="11" t="s">
        <v>1824</v>
      </c>
      <c r="C32" s="11" t="s">
        <v>1825</v>
      </c>
      <c r="D32" s="11" t="s">
        <v>1721</v>
      </c>
      <c r="E32" s="11" t="s">
        <v>1826</v>
      </c>
      <c r="F32" s="11" t="s">
        <v>1827</v>
      </c>
      <c r="G32" s="11" t="s">
        <v>1724</v>
      </c>
    </row>
    <row r="33" customFormat="false" ht="22.35" hidden="false" customHeight="false" outlineLevel="0" collapsed="false">
      <c r="A33" s="11" t="s">
        <v>1828</v>
      </c>
      <c r="B33" s="11" t="s">
        <v>1824</v>
      </c>
      <c r="C33" s="11" t="s">
        <v>1829</v>
      </c>
      <c r="D33" s="11" t="s">
        <v>1721</v>
      </c>
      <c r="E33" s="11" t="s">
        <v>1830</v>
      </c>
      <c r="F33" s="11" t="s">
        <v>1831</v>
      </c>
      <c r="G33" s="11" t="s">
        <v>1724</v>
      </c>
    </row>
    <row r="34" customFormat="false" ht="22.35" hidden="false" customHeight="false" outlineLevel="0" collapsed="false">
      <c r="A34" s="11" t="s">
        <v>1832</v>
      </c>
      <c r="B34" s="11" t="s">
        <v>1824</v>
      </c>
      <c r="C34" s="11" t="s">
        <v>146</v>
      </c>
      <c r="D34" s="11" t="s">
        <v>1726</v>
      </c>
      <c r="E34" s="11" t="s">
        <v>1833</v>
      </c>
      <c r="F34" s="11" t="s">
        <v>1834</v>
      </c>
      <c r="G34" s="11" t="s">
        <v>1724</v>
      </c>
    </row>
    <row r="35" customFormat="false" ht="22.35" hidden="false" customHeight="false" outlineLevel="0" collapsed="false">
      <c r="A35" s="11" t="s">
        <v>1835</v>
      </c>
      <c r="B35" s="11" t="s">
        <v>1824</v>
      </c>
      <c r="C35" s="11" t="s">
        <v>812</v>
      </c>
      <c r="D35" s="11" t="s">
        <v>1726</v>
      </c>
      <c r="E35" s="11" t="s">
        <v>1836</v>
      </c>
      <c r="F35" s="11" t="s">
        <v>1837</v>
      </c>
      <c r="G35" s="11" t="s">
        <v>1838</v>
      </c>
    </row>
    <row r="36" customFormat="false" ht="15" hidden="false" customHeight="false" outlineLevel="0" collapsed="false">
      <c r="A36" s="11" t="s">
        <v>1839</v>
      </c>
      <c r="B36" s="11" t="s">
        <v>1824</v>
      </c>
      <c r="C36" s="11" t="s">
        <v>155</v>
      </c>
      <c r="D36" s="11" t="s">
        <v>1726</v>
      </c>
      <c r="E36" s="11" t="s">
        <v>1840</v>
      </c>
      <c r="F36" s="11" t="s">
        <v>1841</v>
      </c>
      <c r="G36" s="11" t="s">
        <v>1724</v>
      </c>
    </row>
    <row r="37" customFormat="false" ht="15" hidden="false" customHeight="false" outlineLevel="0" collapsed="false">
      <c r="A37" s="11" t="s">
        <v>1842</v>
      </c>
      <c r="B37" s="11" t="s">
        <v>1824</v>
      </c>
      <c r="C37" s="11" t="s">
        <v>455</v>
      </c>
      <c r="D37" s="11" t="s">
        <v>1726</v>
      </c>
      <c r="E37" s="11" t="s">
        <v>1843</v>
      </c>
      <c r="F37" s="11" t="s">
        <v>1844</v>
      </c>
      <c r="G37" s="11" t="s">
        <v>1724</v>
      </c>
    </row>
    <row r="38" customFormat="false" ht="22.35" hidden="false" customHeight="false" outlineLevel="0" collapsed="false">
      <c r="A38" s="11" t="s">
        <v>1845</v>
      </c>
      <c r="B38" s="11" t="s">
        <v>1824</v>
      </c>
      <c r="C38" s="11" t="s">
        <v>1846</v>
      </c>
      <c r="D38" s="11" t="s">
        <v>1726</v>
      </c>
      <c r="E38" s="11" t="s">
        <v>1847</v>
      </c>
      <c r="F38" s="11" t="s">
        <v>1848</v>
      </c>
      <c r="G38" s="11" t="s">
        <v>1724</v>
      </c>
    </row>
    <row r="39" customFormat="false" ht="22.35" hidden="false" customHeight="false" outlineLevel="0" collapsed="false">
      <c r="A39" s="11" t="s">
        <v>1849</v>
      </c>
      <c r="B39" s="11" t="s">
        <v>1824</v>
      </c>
      <c r="C39" s="11" t="s">
        <v>1850</v>
      </c>
      <c r="D39" s="11" t="s">
        <v>1726</v>
      </c>
      <c r="E39" s="11" t="s">
        <v>1851</v>
      </c>
      <c r="F39" s="11" t="s">
        <v>1852</v>
      </c>
      <c r="G39" s="11" t="s">
        <v>1724</v>
      </c>
    </row>
    <row r="40" customFormat="false" ht="22.35" hidden="false" customHeight="false" outlineLevel="0" collapsed="false">
      <c r="A40" s="11" t="s">
        <v>1853</v>
      </c>
      <c r="B40" s="11" t="s">
        <v>1824</v>
      </c>
      <c r="C40" s="11" t="s">
        <v>887</v>
      </c>
      <c r="D40" s="11" t="s">
        <v>1739</v>
      </c>
      <c r="E40" s="11" t="s">
        <v>1854</v>
      </c>
      <c r="F40" s="11" t="s">
        <v>1855</v>
      </c>
      <c r="G40" s="11" t="s">
        <v>1724</v>
      </c>
    </row>
    <row r="41" customFormat="false" ht="22.35" hidden="false" customHeight="false" outlineLevel="0" collapsed="false">
      <c r="A41" s="11" t="s">
        <v>1856</v>
      </c>
      <c r="B41" s="11" t="s">
        <v>1824</v>
      </c>
      <c r="C41" s="11" t="s">
        <v>1857</v>
      </c>
      <c r="D41" s="11" t="s">
        <v>1739</v>
      </c>
      <c r="E41" s="11" t="s">
        <v>1858</v>
      </c>
      <c r="F41" s="11" t="s">
        <v>1859</v>
      </c>
      <c r="G41" s="11" t="s">
        <v>1860</v>
      </c>
    </row>
    <row r="42" customFormat="false" ht="15" hidden="false" customHeight="false" outlineLevel="0" collapsed="false">
      <c r="A42" s="11" t="s">
        <v>1861</v>
      </c>
      <c r="B42" s="11" t="s">
        <v>1824</v>
      </c>
      <c r="C42" s="11" t="s">
        <v>701</v>
      </c>
      <c r="D42" s="11" t="s">
        <v>1739</v>
      </c>
      <c r="E42" s="11" t="s">
        <v>1862</v>
      </c>
      <c r="F42" s="11" t="s">
        <v>1863</v>
      </c>
      <c r="G42" s="11" t="s">
        <v>1724</v>
      </c>
    </row>
    <row r="43" customFormat="false" ht="15" hidden="false" customHeight="false" outlineLevel="0" collapsed="false">
      <c r="A43" s="11" t="s">
        <v>1864</v>
      </c>
      <c r="B43" s="11" t="s">
        <v>1824</v>
      </c>
      <c r="C43" s="11" t="s">
        <v>495</v>
      </c>
      <c r="D43" s="11" t="s">
        <v>1739</v>
      </c>
      <c r="E43" s="11" t="s">
        <v>1865</v>
      </c>
      <c r="F43" s="11" t="s">
        <v>1866</v>
      </c>
      <c r="G43" s="11" t="s">
        <v>1724</v>
      </c>
    </row>
    <row r="44" customFormat="false" ht="15" hidden="false" customHeight="false" outlineLevel="0" collapsed="false">
      <c r="A44" s="11" t="s">
        <v>1867</v>
      </c>
      <c r="B44" s="11" t="s">
        <v>1824</v>
      </c>
      <c r="C44" s="11" t="s">
        <v>806</v>
      </c>
      <c r="D44" s="11" t="s">
        <v>1739</v>
      </c>
      <c r="E44" s="11" t="s">
        <v>1868</v>
      </c>
      <c r="F44" s="11" t="s">
        <v>1869</v>
      </c>
      <c r="G44" s="11" t="s">
        <v>1724</v>
      </c>
    </row>
    <row r="45" customFormat="false" ht="15" hidden="false" customHeight="false" outlineLevel="0" collapsed="false">
      <c r="A45" s="11" t="s">
        <v>1870</v>
      </c>
      <c r="B45" s="11" t="s">
        <v>1824</v>
      </c>
      <c r="C45" s="11" t="s">
        <v>1108</v>
      </c>
      <c r="D45" s="11" t="s">
        <v>1753</v>
      </c>
      <c r="E45" s="11" t="s">
        <v>1871</v>
      </c>
      <c r="F45" s="11" t="s">
        <v>1872</v>
      </c>
      <c r="G45" s="11" t="s">
        <v>1724</v>
      </c>
    </row>
    <row r="46" customFormat="false" ht="32.8" hidden="false" customHeight="false" outlineLevel="0" collapsed="false">
      <c r="A46" s="11" t="s">
        <v>1873</v>
      </c>
      <c r="B46" s="11" t="s">
        <v>1824</v>
      </c>
      <c r="C46" s="11" t="s">
        <v>1763</v>
      </c>
      <c r="D46" s="11" t="s">
        <v>1726</v>
      </c>
      <c r="E46" s="11" t="s">
        <v>1874</v>
      </c>
      <c r="F46" s="11" t="s">
        <v>1875</v>
      </c>
      <c r="G46" s="11" t="s">
        <v>1724</v>
      </c>
    </row>
    <row r="47" customFormat="false" ht="32.8" hidden="false" customHeight="false" outlineLevel="0" collapsed="false">
      <c r="A47" s="11" t="s">
        <v>1876</v>
      </c>
      <c r="B47" s="11" t="s">
        <v>1877</v>
      </c>
      <c r="C47" s="11" t="s">
        <v>1878</v>
      </c>
      <c r="D47" s="11" t="s">
        <v>1726</v>
      </c>
      <c r="E47" s="11" t="s">
        <v>1879</v>
      </c>
      <c r="F47" s="11" t="s">
        <v>1880</v>
      </c>
      <c r="G47" s="11" t="s">
        <v>1724</v>
      </c>
    </row>
    <row r="48" customFormat="false" ht="22.35" hidden="false" customHeight="false" outlineLevel="0" collapsed="false">
      <c r="A48" s="11" t="s">
        <v>1881</v>
      </c>
      <c r="B48" s="11" t="s">
        <v>1877</v>
      </c>
      <c r="C48" s="11" t="s">
        <v>1093</v>
      </c>
      <c r="D48" s="11" t="s">
        <v>1726</v>
      </c>
      <c r="E48" s="11" t="s">
        <v>1882</v>
      </c>
      <c r="F48" s="11" t="s">
        <v>1883</v>
      </c>
      <c r="G48" s="11" t="s">
        <v>1724</v>
      </c>
    </row>
    <row r="49" customFormat="false" ht="22.35" hidden="false" customHeight="false" outlineLevel="0" collapsed="false">
      <c r="A49" s="11" t="s">
        <v>1884</v>
      </c>
      <c r="B49" s="11" t="s">
        <v>1877</v>
      </c>
      <c r="C49" s="11" t="s">
        <v>1885</v>
      </c>
      <c r="D49" s="11" t="s">
        <v>1726</v>
      </c>
      <c r="E49" s="11" t="s">
        <v>1886</v>
      </c>
      <c r="F49" s="11" t="s">
        <v>1887</v>
      </c>
      <c r="G49" s="11" t="s">
        <v>1888</v>
      </c>
    </row>
    <row r="50" customFormat="false" ht="15" hidden="false" customHeight="false" outlineLevel="0" collapsed="false">
      <c r="A50" s="11" t="s">
        <v>1889</v>
      </c>
      <c r="B50" s="11" t="s">
        <v>1877</v>
      </c>
      <c r="C50" s="11" t="s">
        <v>1890</v>
      </c>
      <c r="D50" s="11" t="s">
        <v>1726</v>
      </c>
      <c r="E50" s="11" t="s">
        <v>1891</v>
      </c>
      <c r="F50" s="11" t="s">
        <v>1892</v>
      </c>
      <c r="G50" s="11" t="s">
        <v>1724</v>
      </c>
    </row>
    <row r="51" customFormat="false" ht="22.35" hidden="false" customHeight="false" outlineLevel="0" collapsed="false">
      <c r="A51" s="11" t="s">
        <v>1893</v>
      </c>
      <c r="B51" s="11" t="s">
        <v>1877</v>
      </c>
      <c r="C51" s="11" t="s">
        <v>535</v>
      </c>
      <c r="D51" s="11" t="s">
        <v>1726</v>
      </c>
      <c r="E51" s="11" t="s">
        <v>1894</v>
      </c>
      <c r="F51" s="11" t="s">
        <v>1895</v>
      </c>
      <c r="G51" s="11" t="s">
        <v>1724</v>
      </c>
    </row>
    <row r="52" customFormat="false" ht="15" hidden="false" customHeight="false" outlineLevel="0" collapsed="false">
      <c r="A52" s="11" t="s">
        <v>1896</v>
      </c>
      <c r="B52" s="11" t="s">
        <v>1877</v>
      </c>
      <c r="C52" s="11" t="s">
        <v>448</v>
      </c>
      <c r="D52" s="11" t="s">
        <v>1726</v>
      </c>
      <c r="E52" s="11" t="s">
        <v>1897</v>
      </c>
      <c r="F52" s="11" t="s">
        <v>1898</v>
      </c>
      <c r="G52" s="11" t="s">
        <v>1724</v>
      </c>
    </row>
    <row r="53" customFormat="false" ht="15" hidden="false" customHeight="false" outlineLevel="0" collapsed="false">
      <c r="A53" s="11" t="s">
        <v>1899</v>
      </c>
      <c r="B53" s="11" t="s">
        <v>1877</v>
      </c>
      <c r="C53" s="11" t="s">
        <v>562</v>
      </c>
      <c r="D53" s="11" t="s">
        <v>1739</v>
      </c>
      <c r="E53" s="11" t="s">
        <v>1900</v>
      </c>
      <c r="F53" s="11" t="s">
        <v>1901</v>
      </c>
      <c r="G53" s="11" t="s">
        <v>1724</v>
      </c>
    </row>
    <row r="54" customFormat="false" ht="15" hidden="false" customHeight="false" outlineLevel="0" collapsed="false">
      <c r="A54" s="11" t="s">
        <v>1902</v>
      </c>
      <c r="B54" s="11" t="s">
        <v>1877</v>
      </c>
      <c r="C54" s="11" t="s">
        <v>1903</v>
      </c>
      <c r="D54" s="11" t="s">
        <v>1739</v>
      </c>
      <c r="E54" s="11" t="s">
        <v>1904</v>
      </c>
      <c r="F54" s="11" t="s">
        <v>1905</v>
      </c>
      <c r="G54" s="11" t="s">
        <v>1724</v>
      </c>
    </row>
    <row r="55" customFormat="false" ht="22.35" hidden="false" customHeight="false" outlineLevel="0" collapsed="false">
      <c r="A55" s="11" t="s">
        <v>1906</v>
      </c>
      <c r="B55" s="11" t="s">
        <v>1877</v>
      </c>
      <c r="C55" s="11" t="s">
        <v>1907</v>
      </c>
      <c r="D55" s="11" t="s">
        <v>1739</v>
      </c>
      <c r="E55" s="11" t="s">
        <v>1908</v>
      </c>
      <c r="F55" s="11" t="s">
        <v>1909</v>
      </c>
      <c r="G55" s="11" t="s">
        <v>1724</v>
      </c>
    </row>
    <row r="56" customFormat="false" ht="22.35" hidden="false" customHeight="false" outlineLevel="0" collapsed="false">
      <c r="A56" s="11" t="s">
        <v>1910</v>
      </c>
      <c r="B56" s="11" t="s">
        <v>1877</v>
      </c>
      <c r="C56" s="11" t="s">
        <v>1100</v>
      </c>
      <c r="D56" s="11" t="s">
        <v>1739</v>
      </c>
      <c r="E56" s="11" t="s">
        <v>1911</v>
      </c>
      <c r="F56" s="11" t="s">
        <v>1912</v>
      </c>
      <c r="G56" s="11" t="s">
        <v>1724</v>
      </c>
    </row>
    <row r="57" customFormat="false" ht="22.35" hidden="false" customHeight="false" outlineLevel="0" collapsed="false">
      <c r="A57" s="11" t="s">
        <v>1913</v>
      </c>
      <c r="B57" s="11" t="s">
        <v>1877</v>
      </c>
      <c r="C57" s="11" t="s">
        <v>1914</v>
      </c>
      <c r="D57" s="11" t="s">
        <v>1739</v>
      </c>
      <c r="E57" s="11" t="s">
        <v>1915</v>
      </c>
      <c r="F57" s="11" t="s">
        <v>1916</v>
      </c>
      <c r="G57" s="11" t="s">
        <v>1724</v>
      </c>
    </row>
    <row r="58" customFormat="false" ht="15" hidden="false" customHeight="false" outlineLevel="0" collapsed="false">
      <c r="A58" s="11" t="s">
        <v>1917</v>
      </c>
      <c r="B58" s="11" t="s">
        <v>1877</v>
      </c>
      <c r="C58" s="11" t="s">
        <v>1918</v>
      </c>
      <c r="D58" s="11" t="s">
        <v>1753</v>
      </c>
      <c r="E58" s="11" t="s">
        <v>1919</v>
      </c>
      <c r="F58" s="11" t="s">
        <v>1920</v>
      </c>
      <c r="G58" s="11" t="s">
        <v>1724</v>
      </c>
    </row>
    <row r="59" customFormat="false" ht="22.35" hidden="false" customHeight="false" outlineLevel="0" collapsed="false">
      <c r="A59" s="11" t="s">
        <v>1921</v>
      </c>
      <c r="B59" s="11" t="s">
        <v>1877</v>
      </c>
      <c r="C59" s="11" t="s">
        <v>22</v>
      </c>
      <c r="D59" s="11" t="s">
        <v>1739</v>
      </c>
      <c r="E59" s="11" t="s">
        <v>1922</v>
      </c>
      <c r="F59" s="11" t="s">
        <v>1923</v>
      </c>
      <c r="G59" s="11" t="s">
        <v>1724</v>
      </c>
    </row>
    <row r="60" customFormat="false" ht="22.35" hidden="false" customHeight="false" outlineLevel="0" collapsed="false">
      <c r="A60" s="11" t="s">
        <v>1924</v>
      </c>
      <c r="B60" s="11" t="s">
        <v>1877</v>
      </c>
      <c r="C60" s="11" t="s">
        <v>1925</v>
      </c>
      <c r="D60" s="11" t="s">
        <v>1739</v>
      </c>
      <c r="E60" s="11" t="s">
        <v>1926</v>
      </c>
      <c r="F60" s="11" t="s">
        <v>1927</v>
      </c>
      <c r="G60" s="11" t="s">
        <v>1724</v>
      </c>
    </row>
    <row r="61" customFormat="false" ht="15" hidden="false" customHeight="false" outlineLevel="0" collapsed="false">
      <c r="A61" s="11" t="s">
        <v>1928</v>
      </c>
      <c r="B61" s="11" t="s">
        <v>1877</v>
      </c>
      <c r="C61" s="11" t="s">
        <v>1929</v>
      </c>
      <c r="D61" s="11" t="s">
        <v>1739</v>
      </c>
      <c r="E61" s="11" t="s">
        <v>1930</v>
      </c>
      <c r="F61" s="11" t="s">
        <v>1931</v>
      </c>
      <c r="G61" s="11" t="s">
        <v>1724</v>
      </c>
    </row>
    <row r="62" customFormat="false" ht="32.8" hidden="false" customHeight="false" outlineLevel="0" collapsed="false">
      <c r="A62" s="11" t="s">
        <v>1932</v>
      </c>
      <c r="B62" s="11" t="s">
        <v>1877</v>
      </c>
      <c r="C62" s="11" t="s">
        <v>1763</v>
      </c>
      <c r="D62" s="11" t="s">
        <v>1726</v>
      </c>
      <c r="E62" s="11" t="s">
        <v>1933</v>
      </c>
      <c r="F62" s="11" t="s">
        <v>1934</v>
      </c>
      <c r="G62" s="11" t="s">
        <v>1935</v>
      </c>
    </row>
    <row r="63" customFormat="false" ht="32.8" hidden="false" customHeight="false" outlineLevel="0" collapsed="false">
      <c r="A63" s="11" t="s">
        <v>1936</v>
      </c>
      <c r="B63" s="11" t="s">
        <v>1937</v>
      </c>
      <c r="C63" s="11" t="s">
        <v>146</v>
      </c>
      <c r="D63" s="11" t="s">
        <v>1721</v>
      </c>
      <c r="E63" s="11" t="s">
        <v>1938</v>
      </c>
      <c r="F63" s="11" t="s">
        <v>1939</v>
      </c>
      <c r="G63" s="11" t="s">
        <v>1940</v>
      </c>
    </row>
    <row r="64" customFormat="false" ht="43.25" hidden="false" customHeight="false" outlineLevel="0" collapsed="false">
      <c r="A64" s="11" t="s">
        <v>1941</v>
      </c>
      <c r="B64" s="11" t="s">
        <v>1937</v>
      </c>
      <c r="C64" s="11" t="s">
        <v>1942</v>
      </c>
      <c r="D64" s="11" t="s">
        <v>1721</v>
      </c>
      <c r="E64" s="11" t="s">
        <v>1943</v>
      </c>
      <c r="F64" s="11" t="s">
        <v>1944</v>
      </c>
      <c r="G64" s="11" t="s">
        <v>1940</v>
      </c>
    </row>
    <row r="65" customFormat="false" ht="22.35" hidden="false" customHeight="false" outlineLevel="0" collapsed="false">
      <c r="A65" s="11" t="s">
        <v>1945</v>
      </c>
      <c r="B65" s="11" t="s">
        <v>1937</v>
      </c>
      <c r="C65" s="11" t="s">
        <v>188</v>
      </c>
      <c r="D65" s="11" t="s">
        <v>1726</v>
      </c>
      <c r="E65" s="11" t="s">
        <v>1946</v>
      </c>
      <c r="F65" s="11" t="s">
        <v>1947</v>
      </c>
      <c r="G65" s="11" t="s">
        <v>1940</v>
      </c>
    </row>
    <row r="66" customFormat="false" ht="43.25" hidden="false" customHeight="false" outlineLevel="0" collapsed="false">
      <c r="A66" s="11" t="s">
        <v>1948</v>
      </c>
      <c r="B66" s="11" t="s">
        <v>1937</v>
      </c>
      <c r="C66" s="11" t="s">
        <v>1949</v>
      </c>
      <c r="D66" s="11" t="s">
        <v>1753</v>
      </c>
      <c r="E66" s="11" t="s">
        <v>1950</v>
      </c>
      <c r="F66" s="11" t="s">
        <v>1951</v>
      </c>
      <c r="G66" s="11" t="s">
        <v>1952</v>
      </c>
    </row>
    <row r="68" customFormat="false" ht="15" hidden="false" customHeight="false" outlineLevel="0" collapsed="false">
      <c r="A68" s="39" t="s">
        <v>1953</v>
      </c>
    </row>
    <row r="69" customFormat="false" ht="15" hidden="false" customHeight="false" outlineLevel="0" collapsed="false">
      <c r="A69" s="0" t="s">
        <v>1721</v>
      </c>
      <c r="B69" s="0" t="n">
        <f aca="false">COUNTIF(D5:D66,"Critical")</f>
        <v>7</v>
      </c>
      <c r="D69" s="0" t="s">
        <v>1720</v>
      </c>
      <c r="E69" s="0" t="n">
        <f aca="false">COUNTIF(B5:B66,D69)</f>
        <v>11</v>
      </c>
    </row>
    <row r="70" customFormat="false" ht="15" hidden="false" customHeight="false" outlineLevel="0" collapsed="false">
      <c r="A70" s="0" t="s">
        <v>1726</v>
      </c>
      <c r="B70" s="0" t="n">
        <f aca="false">COUNTIF(D5:D66,"High")</f>
        <v>26</v>
      </c>
      <c r="D70" s="0" t="s">
        <v>1767</v>
      </c>
      <c r="E70" s="0" t="n">
        <f aca="false">COUNTIF(B5:B66,D70)</f>
        <v>16</v>
      </c>
    </row>
    <row r="71" customFormat="false" ht="15" hidden="false" customHeight="false" outlineLevel="0" collapsed="false">
      <c r="A71" s="0" t="s">
        <v>1739</v>
      </c>
      <c r="B71" s="0" t="n">
        <f aca="false">COUNTIF(D5:D66,"Medium")</f>
        <v>22</v>
      </c>
      <c r="D71" s="0" t="s">
        <v>1824</v>
      </c>
      <c r="E71" s="0" t="n">
        <f aca="false">COUNTIF(B5:B66,D71)</f>
        <v>15</v>
      </c>
    </row>
    <row r="72" customFormat="false" ht="15" hidden="false" customHeight="false" outlineLevel="0" collapsed="false">
      <c r="A72" s="0" t="s">
        <v>1753</v>
      </c>
      <c r="B72" s="0" t="n">
        <f aca="false">COUNTIF(D5:D66,"Low")</f>
        <v>7</v>
      </c>
      <c r="D72" s="0" t="s">
        <v>1877</v>
      </c>
      <c r="E72" s="0" t="n">
        <f aca="false">COUNTIF(B5:B66,D72)</f>
        <v>16</v>
      </c>
    </row>
    <row r="73" customFormat="false" ht="15" hidden="false" customHeight="false" outlineLevel="0" collapsed="false">
      <c r="D73" s="0" t="s">
        <v>1937</v>
      </c>
      <c r="E73" s="0" t="n">
        <f aca="false">COUNTIF(B5:B66,D73)</f>
        <v>4</v>
      </c>
    </row>
    <row r="74" customFormat="false" ht="15" hidden="false" customHeight="false" outlineLevel="0" collapsed="false">
      <c r="A74" s="0" t="s">
        <v>1954</v>
      </c>
      <c r="B74" s="0" t="n">
        <f aca="false">COUNTA(G5:G66)-COUNTIF(G5:G66,"Fixed")-COUNTIF(G5:G66,"Verified")</f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70"/>
    <col collapsed="false" customWidth="true" hidden="false" outlineLevel="0" max="4" min="4" style="0" width="18"/>
    <col collapsed="false" customWidth="true" hidden="false" outlineLevel="0" max="5" min="5" style="0" width="80"/>
    <col collapsed="false" customWidth="true" hidden="false" outlineLevel="0" max="6" min="6" style="0" width="11"/>
  </cols>
  <sheetData>
    <row r="1" customFormat="false" ht="17.35" hidden="false" customHeight="false" outlineLevel="0" collapsed="false">
      <c r="A1" s="1" t="s">
        <v>1955</v>
      </c>
    </row>
    <row r="4" customFormat="false" ht="15" hidden="false" customHeight="false" outlineLevel="0" collapsed="false">
      <c r="A4" s="10" t="s">
        <v>1956</v>
      </c>
      <c r="B4" s="10" t="s">
        <v>1957</v>
      </c>
      <c r="C4" s="10" t="s">
        <v>1958</v>
      </c>
      <c r="D4" s="10" t="s">
        <v>113</v>
      </c>
      <c r="E4" s="10" t="s">
        <v>1959</v>
      </c>
      <c r="F4" s="10" t="s">
        <v>1960</v>
      </c>
    </row>
    <row r="5" customFormat="false" ht="15" hidden="false" customHeight="false" outlineLevel="0" collapsed="false">
      <c r="A5" s="11" t="n">
        <v>1</v>
      </c>
      <c r="B5" s="11" t="s">
        <v>1961</v>
      </c>
      <c r="C5" s="11" t="s">
        <v>1962</v>
      </c>
      <c r="D5" s="11" t="s">
        <v>1940</v>
      </c>
      <c r="E5" s="40" t="s">
        <v>1963</v>
      </c>
      <c r="F5" s="11" t="s">
        <v>1964</v>
      </c>
    </row>
    <row r="6" customFormat="false" ht="15" hidden="false" customHeight="false" outlineLevel="0" collapsed="false">
      <c r="A6" s="11" t="n">
        <v>2</v>
      </c>
      <c r="B6" s="11" t="s">
        <v>1961</v>
      </c>
      <c r="C6" s="11" t="s">
        <v>1965</v>
      </c>
      <c r="D6" s="11" t="s">
        <v>1940</v>
      </c>
      <c r="E6" s="40" t="s">
        <v>1966</v>
      </c>
      <c r="F6" s="11" t="s">
        <v>1964</v>
      </c>
    </row>
    <row r="7" customFormat="false" ht="15" hidden="false" customHeight="false" outlineLevel="0" collapsed="false">
      <c r="A7" s="11" t="n">
        <v>3</v>
      </c>
      <c r="B7" s="11" t="s">
        <v>1961</v>
      </c>
      <c r="C7" s="11" t="s">
        <v>1967</v>
      </c>
      <c r="D7" s="11" t="s">
        <v>1940</v>
      </c>
      <c r="E7" s="40" t="s">
        <v>1968</v>
      </c>
      <c r="F7" s="11" t="s">
        <v>1964</v>
      </c>
    </row>
    <row r="8" customFormat="false" ht="15" hidden="false" customHeight="false" outlineLevel="0" collapsed="false">
      <c r="A8" s="11" t="n">
        <v>4</v>
      </c>
      <c r="B8" s="11" t="s">
        <v>1961</v>
      </c>
      <c r="C8" s="11" t="s">
        <v>1969</v>
      </c>
      <c r="D8" s="11" t="s">
        <v>1940</v>
      </c>
      <c r="E8" s="40" t="s">
        <v>1970</v>
      </c>
      <c r="F8" s="11" t="s">
        <v>1964</v>
      </c>
    </row>
    <row r="9" customFormat="false" ht="15" hidden="false" customHeight="false" outlineLevel="0" collapsed="false">
      <c r="A9" s="11" t="n">
        <v>5</v>
      </c>
      <c r="B9" s="11" t="s">
        <v>1961</v>
      </c>
      <c r="C9" s="11" t="s">
        <v>686</v>
      </c>
      <c r="D9" s="11" t="s">
        <v>1940</v>
      </c>
      <c r="E9" s="40" t="s">
        <v>1971</v>
      </c>
      <c r="F9" s="11" t="s">
        <v>1964</v>
      </c>
    </row>
    <row r="10" customFormat="false" ht="15" hidden="false" customHeight="false" outlineLevel="0" collapsed="false">
      <c r="A10" s="11" t="n">
        <v>6</v>
      </c>
      <c r="B10" s="11" t="s">
        <v>1972</v>
      </c>
      <c r="C10" s="11" t="s">
        <v>1973</v>
      </c>
      <c r="D10" s="11" t="s">
        <v>1940</v>
      </c>
      <c r="E10" s="40" t="s">
        <v>1974</v>
      </c>
      <c r="F10" s="11" t="s">
        <v>1964</v>
      </c>
    </row>
    <row r="11" customFormat="false" ht="15" hidden="false" customHeight="false" outlineLevel="0" collapsed="false">
      <c r="A11" s="11" t="n">
        <v>7</v>
      </c>
      <c r="B11" s="11" t="s">
        <v>1975</v>
      </c>
      <c r="C11" s="11" t="s">
        <v>1976</v>
      </c>
      <c r="D11" s="11" t="s">
        <v>1940</v>
      </c>
      <c r="E11" s="40" t="s">
        <v>1977</v>
      </c>
      <c r="F11" s="11" t="s">
        <v>1964</v>
      </c>
    </row>
    <row r="12" customFormat="false" ht="15" hidden="false" customHeight="false" outlineLevel="0" collapsed="false">
      <c r="A12" s="11" t="n">
        <v>8</v>
      </c>
      <c r="B12" s="11" t="s">
        <v>1975</v>
      </c>
      <c r="C12" s="11" t="s">
        <v>1978</v>
      </c>
      <c r="D12" s="11" t="s">
        <v>1940</v>
      </c>
      <c r="E12" s="40" t="s">
        <v>1979</v>
      </c>
      <c r="F12" s="11" t="s">
        <v>1964</v>
      </c>
    </row>
    <row r="13" customFormat="false" ht="22.35" hidden="false" customHeight="false" outlineLevel="0" collapsed="false">
      <c r="A13" s="11" t="n">
        <v>9</v>
      </c>
      <c r="B13" s="11" t="s">
        <v>1975</v>
      </c>
      <c r="C13" s="11" t="s">
        <v>1980</v>
      </c>
      <c r="D13" s="11" t="s">
        <v>1981</v>
      </c>
      <c r="E13" s="40" t="s">
        <v>1982</v>
      </c>
      <c r="F13" s="11" t="s">
        <v>1964</v>
      </c>
    </row>
    <row r="14" customFormat="false" ht="15" hidden="false" customHeight="false" outlineLevel="0" collapsed="false">
      <c r="A14" s="11" t="n">
        <v>10</v>
      </c>
      <c r="B14" s="11" t="s">
        <v>1975</v>
      </c>
      <c r="C14" s="11" t="s">
        <v>1983</v>
      </c>
      <c r="D14" s="11" t="s">
        <v>1940</v>
      </c>
      <c r="E14" s="40" t="s">
        <v>1984</v>
      </c>
      <c r="F14" s="11" t="s">
        <v>1964</v>
      </c>
    </row>
    <row r="15" customFormat="false" ht="15" hidden="false" customHeight="false" outlineLevel="0" collapsed="false">
      <c r="A15" s="11" t="n">
        <v>11</v>
      </c>
      <c r="B15" s="11" t="s">
        <v>1985</v>
      </c>
      <c r="C15" s="11" t="s">
        <v>1986</v>
      </c>
      <c r="D15" s="11" t="s">
        <v>1940</v>
      </c>
      <c r="E15" s="40" t="s">
        <v>1987</v>
      </c>
      <c r="F15" s="11" t="s">
        <v>1964</v>
      </c>
    </row>
    <row r="16" customFormat="false" ht="15" hidden="false" customHeight="false" outlineLevel="0" collapsed="false">
      <c r="A16" s="11" t="n">
        <v>12</v>
      </c>
      <c r="B16" s="11" t="s">
        <v>1985</v>
      </c>
      <c r="C16" s="11" t="s">
        <v>1988</v>
      </c>
      <c r="D16" s="11" t="s">
        <v>1940</v>
      </c>
      <c r="E16" s="40" t="s">
        <v>1989</v>
      </c>
      <c r="F16" s="11" t="s">
        <v>1964</v>
      </c>
    </row>
    <row r="17" customFormat="false" ht="15" hidden="false" customHeight="false" outlineLevel="0" collapsed="false">
      <c r="A17" s="11" t="n">
        <v>13</v>
      </c>
      <c r="B17" s="11" t="s">
        <v>1985</v>
      </c>
      <c r="C17" s="11" t="s">
        <v>1990</v>
      </c>
      <c r="D17" s="11" t="s">
        <v>1991</v>
      </c>
      <c r="E17" s="40" t="s">
        <v>1992</v>
      </c>
      <c r="F17" s="11" t="s">
        <v>1964</v>
      </c>
    </row>
    <row r="18" customFormat="false" ht="22.35" hidden="false" customHeight="false" outlineLevel="0" collapsed="false">
      <c r="A18" s="11" t="n">
        <v>14</v>
      </c>
      <c r="B18" s="11" t="s">
        <v>1985</v>
      </c>
      <c r="C18" s="11" t="s">
        <v>1993</v>
      </c>
      <c r="D18" s="11" t="s">
        <v>1940</v>
      </c>
      <c r="E18" s="40" t="s">
        <v>1994</v>
      </c>
      <c r="F18" s="11" t="s">
        <v>1964</v>
      </c>
    </row>
    <row r="19" customFormat="false" ht="15" hidden="false" customHeight="false" outlineLevel="0" collapsed="false">
      <c r="A19" s="11" t="n">
        <v>15</v>
      </c>
      <c r="B19" s="11" t="s">
        <v>1985</v>
      </c>
      <c r="C19" s="11" t="s">
        <v>1995</v>
      </c>
      <c r="D19" s="11" t="s">
        <v>1940</v>
      </c>
      <c r="E19" s="40" t="s">
        <v>1996</v>
      </c>
      <c r="F19" s="11" t="s">
        <v>1964</v>
      </c>
    </row>
    <row r="20" customFormat="false" ht="15" hidden="false" customHeight="false" outlineLevel="0" collapsed="false">
      <c r="A20" s="11" t="n">
        <v>16</v>
      </c>
      <c r="B20" s="11" t="s">
        <v>1985</v>
      </c>
      <c r="C20" s="11" t="s">
        <v>1997</v>
      </c>
      <c r="D20" s="11" t="s">
        <v>1940</v>
      </c>
      <c r="E20" s="40" t="s">
        <v>1998</v>
      </c>
      <c r="F20" s="11" t="s">
        <v>1964</v>
      </c>
    </row>
    <row r="21" customFormat="false" ht="22.35" hidden="false" customHeight="false" outlineLevel="0" collapsed="false">
      <c r="A21" s="11" t="n">
        <v>17</v>
      </c>
      <c r="B21" s="11" t="s">
        <v>1985</v>
      </c>
      <c r="C21" s="11" t="s">
        <v>1999</v>
      </c>
      <c r="D21" s="11" t="s">
        <v>1940</v>
      </c>
      <c r="E21" s="40" t="s">
        <v>2000</v>
      </c>
      <c r="F21" s="11" t="s">
        <v>1964</v>
      </c>
    </row>
    <row r="22" customFormat="false" ht="15" hidden="false" customHeight="false" outlineLevel="0" collapsed="false">
      <c r="A22" s="11" t="n">
        <v>18</v>
      </c>
      <c r="B22" s="11" t="s">
        <v>1985</v>
      </c>
      <c r="C22" s="11" t="s">
        <v>2001</v>
      </c>
      <c r="D22" s="11" t="s">
        <v>1940</v>
      </c>
      <c r="E22" s="40" t="s">
        <v>2002</v>
      </c>
      <c r="F22" s="11" t="s">
        <v>1964</v>
      </c>
    </row>
    <row r="23" customFormat="false" ht="15" hidden="false" customHeight="false" outlineLevel="0" collapsed="false">
      <c r="A23" s="11" t="n">
        <v>19</v>
      </c>
      <c r="B23" s="11" t="s">
        <v>1985</v>
      </c>
      <c r="C23" s="11" t="s">
        <v>2003</v>
      </c>
      <c r="D23" s="11" t="s">
        <v>1940</v>
      </c>
      <c r="E23" s="40" t="s">
        <v>2004</v>
      </c>
      <c r="F23" s="11" t="s">
        <v>1964</v>
      </c>
    </row>
    <row r="24" customFormat="false" ht="15" hidden="false" customHeight="false" outlineLevel="0" collapsed="false">
      <c r="A24" s="11" t="n">
        <v>20</v>
      </c>
      <c r="B24" s="11" t="s">
        <v>1985</v>
      </c>
      <c r="C24" s="11" t="s">
        <v>2005</v>
      </c>
      <c r="D24" s="11" t="s">
        <v>1940</v>
      </c>
      <c r="E24" s="40" t="s">
        <v>2006</v>
      </c>
      <c r="F24" s="11" t="s">
        <v>1964</v>
      </c>
    </row>
    <row r="25" customFormat="false" ht="15" hidden="false" customHeight="false" outlineLevel="0" collapsed="false">
      <c r="A25" s="11" t="n">
        <v>21</v>
      </c>
      <c r="B25" s="11" t="s">
        <v>1985</v>
      </c>
      <c r="C25" s="11" t="s">
        <v>2007</v>
      </c>
      <c r="D25" s="11" t="s">
        <v>1940</v>
      </c>
      <c r="E25" s="40" t="s">
        <v>2008</v>
      </c>
      <c r="F25" s="11" t="s">
        <v>1964</v>
      </c>
    </row>
    <row r="26" customFormat="false" ht="15" hidden="false" customHeight="false" outlineLevel="0" collapsed="false">
      <c r="A26" s="11" t="n">
        <v>22</v>
      </c>
      <c r="B26" s="11" t="s">
        <v>1985</v>
      </c>
      <c r="C26" s="11" t="s">
        <v>2009</v>
      </c>
      <c r="D26" s="11" t="s">
        <v>1940</v>
      </c>
      <c r="E26" s="40" t="s">
        <v>2010</v>
      </c>
      <c r="F26" s="11" t="s">
        <v>1964</v>
      </c>
    </row>
    <row r="27" customFormat="false" ht="15" hidden="false" customHeight="false" outlineLevel="0" collapsed="false">
      <c r="A27" s="11" t="n">
        <v>23</v>
      </c>
      <c r="B27" s="11" t="s">
        <v>1985</v>
      </c>
      <c r="C27" s="11" t="s">
        <v>2011</v>
      </c>
      <c r="D27" s="11" t="s">
        <v>1940</v>
      </c>
      <c r="E27" s="40" t="s">
        <v>2012</v>
      </c>
      <c r="F27" s="11" t="s">
        <v>1964</v>
      </c>
    </row>
    <row r="28" customFormat="false" ht="15" hidden="false" customHeight="false" outlineLevel="0" collapsed="false">
      <c r="A28" s="11" t="n">
        <v>24</v>
      </c>
      <c r="B28" s="11" t="s">
        <v>1985</v>
      </c>
      <c r="C28" s="11" t="s">
        <v>2013</v>
      </c>
      <c r="D28" s="11" t="s">
        <v>1940</v>
      </c>
      <c r="E28" s="40" t="s">
        <v>2014</v>
      </c>
      <c r="F28" s="11" t="s">
        <v>1964</v>
      </c>
    </row>
    <row r="29" customFormat="false" ht="15" hidden="false" customHeight="false" outlineLevel="0" collapsed="false">
      <c r="A29" s="11" t="n">
        <v>25</v>
      </c>
      <c r="B29" s="11" t="s">
        <v>1985</v>
      </c>
      <c r="C29" s="11" t="s">
        <v>2015</v>
      </c>
      <c r="D29" s="11" t="s">
        <v>1940</v>
      </c>
      <c r="E29" s="40" t="s">
        <v>2016</v>
      </c>
      <c r="F29" s="11" t="s">
        <v>1964</v>
      </c>
    </row>
    <row r="30" customFormat="false" ht="15" hidden="false" customHeight="false" outlineLevel="0" collapsed="false">
      <c r="A30" s="11" t="n">
        <v>26</v>
      </c>
      <c r="B30" s="11" t="s">
        <v>1985</v>
      </c>
      <c r="C30" s="11" t="s">
        <v>2017</v>
      </c>
      <c r="D30" s="11" t="s">
        <v>1940</v>
      </c>
      <c r="E30" s="40" t="s">
        <v>2018</v>
      </c>
      <c r="F30" s="11" t="s">
        <v>1964</v>
      </c>
    </row>
    <row r="31" customFormat="false" ht="15" hidden="false" customHeight="false" outlineLevel="0" collapsed="false">
      <c r="A31" s="11" t="n">
        <v>27</v>
      </c>
      <c r="B31" s="11" t="s">
        <v>1985</v>
      </c>
      <c r="C31" s="11" t="s">
        <v>2019</v>
      </c>
      <c r="D31" s="11" t="s">
        <v>1940</v>
      </c>
      <c r="E31" s="40" t="s">
        <v>2020</v>
      </c>
      <c r="F31" s="11" t="s">
        <v>1964</v>
      </c>
    </row>
    <row r="32" customFormat="false" ht="15" hidden="false" customHeight="false" outlineLevel="0" collapsed="false">
      <c r="A32" s="11" t="n">
        <v>28</v>
      </c>
      <c r="B32" s="11" t="s">
        <v>1985</v>
      </c>
      <c r="C32" s="11" t="s">
        <v>2021</v>
      </c>
      <c r="D32" s="11" t="s">
        <v>1940</v>
      </c>
      <c r="E32" s="40" t="s">
        <v>2022</v>
      </c>
      <c r="F32" s="11" t="s">
        <v>1964</v>
      </c>
    </row>
    <row r="33" customFormat="false" ht="22.35" hidden="false" customHeight="false" outlineLevel="0" collapsed="false">
      <c r="A33" s="11" t="n">
        <v>29</v>
      </c>
      <c r="B33" s="11" t="s">
        <v>2023</v>
      </c>
      <c r="C33" s="11" t="s">
        <v>2024</v>
      </c>
      <c r="D33" s="11" t="s">
        <v>2025</v>
      </c>
      <c r="E33" s="40" t="s">
        <v>2026</v>
      </c>
      <c r="F33" s="11" t="s">
        <v>1964</v>
      </c>
    </row>
    <row r="34" customFormat="false" ht="22.35" hidden="false" customHeight="false" outlineLevel="0" collapsed="false">
      <c r="A34" s="11" t="n">
        <v>30</v>
      </c>
      <c r="B34" s="11" t="s">
        <v>2027</v>
      </c>
      <c r="C34" s="11" t="s">
        <v>2028</v>
      </c>
      <c r="D34" s="11" t="s">
        <v>1991</v>
      </c>
      <c r="E34" s="40" t="s">
        <v>2029</v>
      </c>
      <c r="F34" s="11" t="s">
        <v>1964</v>
      </c>
    </row>
    <row r="35" customFormat="false" ht="15" hidden="false" customHeight="false" outlineLevel="0" collapsed="false">
      <c r="A35" s="11" t="n">
        <v>31</v>
      </c>
      <c r="B35" s="11" t="s">
        <v>2027</v>
      </c>
      <c r="C35" s="11" t="s">
        <v>2030</v>
      </c>
      <c r="D35" s="11" t="s">
        <v>1940</v>
      </c>
      <c r="E35" s="40" t="s">
        <v>2031</v>
      </c>
      <c r="F35" s="11" t="s">
        <v>1964</v>
      </c>
    </row>
    <row r="36" customFormat="false" ht="15" hidden="false" customHeight="false" outlineLevel="0" collapsed="false">
      <c r="A36" s="11" t="n">
        <v>32</v>
      </c>
      <c r="B36" s="11" t="s">
        <v>2027</v>
      </c>
      <c r="C36" s="11" t="s">
        <v>2032</v>
      </c>
      <c r="D36" s="11" t="s">
        <v>2033</v>
      </c>
      <c r="E36" s="40" t="s">
        <v>2034</v>
      </c>
      <c r="F36" s="11" t="s">
        <v>1964</v>
      </c>
    </row>
    <row r="37" customFormat="false" ht="15" hidden="false" customHeight="false" outlineLevel="0" collapsed="false">
      <c r="A37" s="11" t="n">
        <v>33</v>
      </c>
      <c r="B37" s="11" t="s">
        <v>2027</v>
      </c>
      <c r="C37" s="11" t="s">
        <v>2035</v>
      </c>
      <c r="D37" s="11" t="s">
        <v>1940</v>
      </c>
      <c r="E37" s="40" t="s">
        <v>2036</v>
      </c>
      <c r="F37" s="11" t="s">
        <v>1964</v>
      </c>
    </row>
    <row r="38" customFormat="false" ht="15" hidden="false" customHeight="false" outlineLevel="0" collapsed="false">
      <c r="A38" s="11" t="n">
        <v>34</v>
      </c>
      <c r="B38" s="11" t="s">
        <v>2027</v>
      </c>
      <c r="C38" s="11" t="s">
        <v>2037</v>
      </c>
      <c r="D38" s="11" t="s">
        <v>1940</v>
      </c>
      <c r="E38" s="40" t="s">
        <v>2038</v>
      </c>
      <c r="F38" s="11" t="s">
        <v>1964</v>
      </c>
    </row>
    <row r="39" customFormat="false" ht="15" hidden="false" customHeight="false" outlineLevel="0" collapsed="false">
      <c r="A39" s="11" t="n">
        <v>35</v>
      </c>
      <c r="B39" s="11" t="s">
        <v>2027</v>
      </c>
      <c r="C39" s="11" t="s">
        <v>2039</v>
      </c>
      <c r="D39" s="11" t="s">
        <v>1940</v>
      </c>
      <c r="E39" s="40" t="s">
        <v>2040</v>
      </c>
      <c r="F39" s="11" t="s">
        <v>1964</v>
      </c>
    </row>
    <row r="40" customFormat="false" ht="15" hidden="false" customHeight="false" outlineLevel="0" collapsed="false">
      <c r="A40" s="11" t="n">
        <v>36</v>
      </c>
      <c r="B40" s="11" t="s">
        <v>2027</v>
      </c>
      <c r="C40" s="11" t="s">
        <v>2041</v>
      </c>
      <c r="D40" s="11" t="s">
        <v>1940</v>
      </c>
      <c r="E40" s="40" t="s">
        <v>2042</v>
      </c>
      <c r="F40" s="11" t="s">
        <v>1964</v>
      </c>
    </row>
    <row r="41" customFormat="false" ht="15" hidden="false" customHeight="false" outlineLevel="0" collapsed="false">
      <c r="A41" s="11" t="n">
        <v>37</v>
      </c>
      <c r="B41" s="11" t="s">
        <v>2027</v>
      </c>
      <c r="C41" s="11" t="s">
        <v>2043</v>
      </c>
      <c r="D41" s="11" t="s">
        <v>1940</v>
      </c>
      <c r="E41" s="40" t="s">
        <v>2044</v>
      </c>
      <c r="F41" s="11" t="s">
        <v>1964</v>
      </c>
    </row>
    <row r="42" customFormat="false" ht="22.35" hidden="false" customHeight="false" outlineLevel="0" collapsed="false">
      <c r="A42" s="11" t="n">
        <v>38</v>
      </c>
      <c r="B42" s="11" t="s">
        <v>2045</v>
      </c>
      <c r="C42" s="11" t="s">
        <v>2046</v>
      </c>
      <c r="D42" s="11" t="s">
        <v>1940</v>
      </c>
      <c r="E42" s="40" t="s">
        <v>2047</v>
      </c>
      <c r="F42" s="11" t="s">
        <v>1964</v>
      </c>
    </row>
    <row r="43" customFormat="false" ht="15" hidden="false" customHeight="false" outlineLevel="0" collapsed="false">
      <c r="A43" s="11" t="n">
        <v>39</v>
      </c>
      <c r="B43" s="11" t="s">
        <v>2045</v>
      </c>
      <c r="C43" s="11" t="s">
        <v>2048</v>
      </c>
      <c r="D43" s="11" t="s">
        <v>1940</v>
      </c>
      <c r="E43" s="40" t="s">
        <v>2049</v>
      </c>
      <c r="F43" s="11" t="s">
        <v>1964</v>
      </c>
    </row>
    <row r="44" customFormat="false" ht="15" hidden="false" customHeight="false" outlineLevel="0" collapsed="false">
      <c r="A44" s="11" t="n">
        <v>40</v>
      </c>
      <c r="B44" s="11" t="s">
        <v>2045</v>
      </c>
      <c r="C44" s="11" t="s">
        <v>2050</v>
      </c>
      <c r="D44" s="11" t="s">
        <v>1940</v>
      </c>
      <c r="E44" s="40" t="s">
        <v>2051</v>
      </c>
      <c r="F44" s="11" t="s">
        <v>1964</v>
      </c>
    </row>
    <row r="45" customFormat="false" ht="22.35" hidden="false" customHeight="false" outlineLevel="0" collapsed="false">
      <c r="A45" s="11" t="n">
        <v>41</v>
      </c>
      <c r="B45" s="11" t="s">
        <v>2045</v>
      </c>
      <c r="C45" s="11" t="s">
        <v>2052</v>
      </c>
      <c r="D45" s="11" t="s">
        <v>2053</v>
      </c>
      <c r="E45" s="40" t="s">
        <v>2054</v>
      </c>
      <c r="F45" s="11" t="s">
        <v>1964</v>
      </c>
    </row>
    <row r="46" customFormat="false" ht="15" hidden="false" customHeight="false" outlineLevel="0" collapsed="false">
      <c r="A46" s="11" t="n">
        <v>42</v>
      </c>
      <c r="B46" s="11" t="s">
        <v>2045</v>
      </c>
      <c r="C46" s="11" t="s">
        <v>2055</v>
      </c>
      <c r="D46" s="11" t="s">
        <v>1940</v>
      </c>
      <c r="E46" s="40" t="s">
        <v>2056</v>
      </c>
      <c r="F46" s="11" t="s">
        <v>1964</v>
      </c>
    </row>
    <row r="47" customFormat="false" ht="15" hidden="false" customHeight="false" outlineLevel="0" collapsed="false">
      <c r="A47" s="11" t="n">
        <v>43</v>
      </c>
      <c r="B47" s="11" t="s">
        <v>2045</v>
      </c>
      <c r="C47" s="11" t="s">
        <v>2057</v>
      </c>
      <c r="D47" s="11" t="s">
        <v>1940</v>
      </c>
      <c r="E47" s="40" t="s">
        <v>2058</v>
      </c>
      <c r="F47" s="11" t="s">
        <v>1964</v>
      </c>
    </row>
    <row r="48" customFormat="false" ht="15" hidden="false" customHeight="false" outlineLevel="0" collapsed="false">
      <c r="A48" s="11" t="n">
        <v>44</v>
      </c>
      <c r="B48" s="11" t="s">
        <v>2045</v>
      </c>
      <c r="C48" s="11" t="s">
        <v>2059</v>
      </c>
      <c r="D48" s="11" t="s">
        <v>1940</v>
      </c>
      <c r="E48" s="40" t="s">
        <v>2060</v>
      </c>
      <c r="F48" s="11" t="s">
        <v>1964</v>
      </c>
    </row>
    <row r="49" customFormat="false" ht="15" hidden="false" customHeight="false" outlineLevel="0" collapsed="false">
      <c r="A49" s="11" t="n">
        <v>45</v>
      </c>
      <c r="B49" s="11" t="s">
        <v>2045</v>
      </c>
      <c r="C49" s="11" t="s">
        <v>2061</v>
      </c>
      <c r="D49" s="11" t="s">
        <v>1940</v>
      </c>
      <c r="E49" s="40" t="s">
        <v>2062</v>
      </c>
      <c r="F49" s="11" t="s">
        <v>1964</v>
      </c>
    </row>
    <row r="50" customFormat="false" ht="15" hidden="false" customHeight="false" outlineLevel="0" collapsed="false">
      <c r="A50" s="11" t="n">
        <v>46</v>
      </c>
      <c r="B50" s="11" t="s">
        <v>2045</v>
      </c>
      <c r="C50" s="11" t="s">
        <v>2063</v>
      </c>
      <c r="D50" s="11" t="s">
        <v>1981</v>
      </c>
      <c r="E50" s="40" t="s">
        <v>2064</v>
      </c>
      <c r="F50" s="11" t="s">
        <v>1964</v>
      </c>
    </row>
    <row r="51" customFormat="false" ht="15" hidden="false" customHeight="false" outlineLevel="0" collapsed="false">
      <c r="A51" s="11" t="n">
        <v>47</v>
      </c>
      <c r="B51" s="11" t="s">
        <v>2045</v>
      </c>
      <c r="C51" s="11" t="s">
        <v>2065</v>
      </c>
      <c r="D51" s="11" t="s">
        <v>1940</v>
      </c>
      <c r="E51" s="40" t="s">
        <v>2066</v>
      </c>
      <c r="F51" s="11" t="s">
        <v>1964</v>
      </c>
    </row>
    <row r="52" customFormat="false" ht="15" hidden="false" customHeight="false" outlineLevel="0" collapsed="false">
      <c r="A52" s="11" t="n">
        <v>48</v>
      </c>
      <c r="B52" s="11" t="s">
        <v>2045</v>
      </c>
      <c r="C52" s="11" t="s">
        <v>2067</v>
      </c>
      <c r="D52" s="11" t="s">
        <v>1940</v>
      </c>
      <c r="E52" s="40" t="s">
        <v>2068</v>
      </c>
      <c r="F52" s="11" t="s">
        <v>1964</v>
      </c>
    </row>
    <row r="53" customFormat="false" ht="15" hidden="false" customHeight="false" outlineLevel="0" collapsed="false">
      <c r="A53" s="11" t="n">
        <v>49</v>
      </c>
      <c r="B53" s="11" t="s">
        <v>2045</v>
      </c>
      <c r="C53" s="11" t="s">
        <v>2069</v>
      </c>
      <c r="D53" s="11" t="s">
        <v>2033</v>
      </c>
      <c r="E53" s="40" t="s">
        <v>2070</v>
      </c>
      <c r="F53" s="11" t="s">
        <v>1964</v>
      </c>
    </row>
    <row r="54" customFormat="false" ht="15" hidden="false" customHeight="false" outlineLevel="0" collapsed="false">
      <c r="A54" s="11" t="n">
        <v>50</v>
      </c>
      <c r="B54" s="11" t="s">
        <v>2045</v>
      </c>
      <c r="C54" s="11" t="s">
        <v>2071</v>
      </c>
      <c r="D54" s="11" t="s">
        <v>1940</v>
      </c>
      <c r="E54" s="40" t="s">
        <v>2072</v>
      </c>
      <c r="F54" s="11" t="s">
        <v>1964</v>
      </c>
    </row>
    <row r="55" customFormat="false" ht="15" hidden="false" customHeight="false" outlineLevel="0" collapsed="false">
      <c r="A55" s="11" t="n">
        <v>51</v>
      </c>
      <c r="B55" s="11" t="s">
        <v>2045</v>
      </c>
      <c r="C55" s="11" t="s">
        <v>2073</v>
      </c>
      <c r="D55" s="11" t="s">
        <v>1940</v>
      </c>
      <c r="E55" s="40" t="s">
        <v>2074</v>
      </c>
      <c r="F55" s="11" t="s">
        <v>1964</v>
      </c>
    </row>
    <row r="56" customFormat="false" ht="15" hidden="false" customHeight="false" outlineLevel="0" collapsed="false">
      <c r="A56" s="11" t="n">
        <v>52</v>
      </c>
      <c r="B56" s="11" t="s">
        <v>2045</v>
      </c>
      <c r="C56" s="11" t="s">
        <v>2075</v>
      </c>
      <c r="D56" s="11" t="s">
        <v>2033</v>
      </c>
      <c r="E56" s="40" t="s">
        <v>2076</v>
      </c>
      <c r="F56" s="11" t="s">
        <v>1964</v>
      </c>
    </row>
    <row r="57" customFormat="false" ht="22.35" hidden="false" customHeight="false" outlineLevel="0" collapsed="false">
      <c r="A57" s="11" t="n">
        <v>53</v>
      </c>
      <c r="B57" s="11" t="s">
        <v>1824</v>
      </c>
      <c r="C57" s="11" t="s">
        <v>2077</v>
      </c>
      <c r="D57" s="11" t="s">
        <v>1981</v>
      </c>
      <c r="E57" s="40" t="s">
        <v>2078</v>
      </c>
      <c r="F57" s="11" t="s">
        <v>1964</v>
      </c>
    </row>
    <row r="58" customFormat="false" ht="15" hidden="false" customHeight="false" outlineLevel="0" collapsed="false">
      <c r="A58" s="11" t="n">
        <v>54</v>
      </c>
      <c r="B58" s="11" t="s">
        <v>1824</v>
      </c>
      <c r="C58" s="11" t="s">
        <v>2079</v>
      </c>
      <c r="D58" s="11" t="s">
        <v>1940</v>
      </c>
      <c r="E58" s="40" t="s">
        <v>2080</v>
      </c>
      <c r="F58" s="11" t="s">
        <v>1964</v>
      </c>
    </row>
    <row r="59" customFormat="false" ht="15" hidden="false" customHeight="false" outlineLevel="0" collapsed="false">
      <c r="A59" s="11" t="n">
        <v>55</v>
      </c>
      <c r="B59" s="11" t="s">
        <v>1824</v>
      </c>
      <c r="C59" s="11" t="s">
        <v>2081</v>
      </c>
      <c r="D59" s="11" t="s">
        <v>1991</v>
      </c>
      <c r="E59" s="40" t="s">
        <v>2082</v>
      </c>
      <c r="F59" s="11" t="s">
        <v>1964</v>
      </c>
    </row>
    <row r="60" customFormat="false" ht="15" hidden="false" customHeight="false" outlineLevel="0" collapsed="false">
      <c r="A60" s="11" t="n">
        <v>56</v>
      </c>
      <c r="B60" s="11" t="s">
        <v>1824</v>
      </c>
      <c r="C60" s="11" t="s">
        <v>2083</v>
      </c>
      <c r="D60" s="11" t="s">
        <v>1940</v>
      </c>
      <c r="E60" s="40" t="s">
        <v>2084</v>
      </c>
      <c r="F60" s="11" t="s">
        <v>1964</v>
      </c>
    </row>
    <row r="61" customFormat="false" ht="15" hidden="false" customHeight="false" outlineLevel="0" collapsed="false">
      <c r="A61" s="11" t="n">
        <v>57</v>
      </c>
      <c r="B61" s="11" t="s">
        <v>1824</v>
      </c>
      <c r="C61" s="11" t="s">
        <v>2085</v>
      </c>
      <c r="D61" s="11" t="s">
        <v>1940</v>
      </c>
      <c r="E61" s="40" t="s">
        <v>2086</v>
      </c>
      <c r="F61" s="11" t="s">
        <v>1964</v>
      </c>
    </row>
    <row r="62" customFormat="false" ht="15" hidden="false" customHeight="false" outlineLevel="0" collapsed="false">
      <c r="A62" s="11" t="n">
        <v>58</v>
      </c>
      <c r="B62" s="11" t="s">
        <v>1824</v>
      </c>
      <c r="C62" s="11" t="s">
        <v>2087</v>
      </c>
      <c r="D62" s="11" t="s">
        <v>1940</v>
      </c>
      <c r="E62" s="40" t="s">
        <v>2088</v>
      </c>
      <c r="F62" s="11" t="s">
        <v>1964</v>
      </c>
    </row>
    <row r="63" customFormat="false" ht="15" hidden="false" customHeight="false" outlineLevel="0" collapsed="false">
      <c r="A63" s="11" t="n">
        <v>59</v>
      </c>
      <c r="B63" s="11" t="s">
        <v>1824</v>
      </c>
      <c r="C63" s="11" t="s">
        <v>2089</v>
      </c>
      <c r="D63" s="11" t="s">
        <v>1940</v>
      </c>
      <c r="E63" s="40" t="s">
        <v>2090</v>
      </c>
      <c r="F63" s="11" t="s">
        <v>1964</v>
      </c>
    </row>
    <row r="64" customFormat="false" ht="15" hidden="false" customHeight="false" outlineLevel="0" collapsed="false">
      <c r="A64" s="11" t="n">
        <v>60</v>
      </c>
      <c r="B64" s="11" t="s">
        <v>1824</v>
      </c>
      <c r="C64" s="11" t="s">
        <v>2091</v>
      </c>
      <c r="D64" s="11" t="s">
        <v>1940</v>
      </c>
      <c r="E64" s="40" t="s">
        <v>2092</v>
      </c>
      <c r="F64" s="11" t="s">
        <v>1964</v>
      </c>
    </row>
    <row r="65" customFormat="false" ht="15" hidden="false" customHeight="false" outlineLevel="0" collapsed="false">
      <c r="A65" s="11" t="n">
        <v>61</v>
      </c>
      <c r="B65" s="11" t="s">
        <v>1824</v>
      </c>
      <c r="C65" s="11" t="s">
        <v>2093</v>
      </c>
      <c r="D65" s="11" t="s">
        <v>1940</v>
      </c>
      <c r="E65" s="40" t="s">
        <v>2094</v>
      </c>
      <c r="F65" s="11" t="s">
        <v>1964</v>
      </c>
    </row>
    <row r="66" customFormat="false" ht="15" hidden="false" customHeight="false" outlineLevel="0" collapsed="false">
      <c r="A66" s="11" t="n">
        <v>62</v>
      </c>
      <c r="B66" s="11" t="s">
        <v>1824</v>
      </c>
      <c r="C66" s="11" t="s">
        <v>2095</v>
      </c>
      <c r="D66" s="11" t="s">
        <v>1940</v>
      </c>
      <c r="E66" s="40" t="s">
        <v>2096</v>
      </c>
      <c r="F66" s="11" t="s">
        <v>1964</v>
      </c>
    </row>
    <row r="67" customFormat="false" ht="15" hidden="false" customHeight="false" outlineLevel="0" collapsed="false">
      <c r="A67" s="11" t="n">
        <v>63</v>
      </c>
      <c r="B67" s="11" t="s">
        <v>1824</v>
      </c>
      <c r="C67" s="11" t="s">
        <v>2097</v>
      </c>
      <c r="D67" s="11" t="s">
        <v>1940</v>
      </c>
      <c r="E67" s="40" t="s">
        <v>2098</v>
      </c>
      <c r="F67" s="11" t="s">
        <v>1964</v>
      </c>
    </row>
    <row r="68" customFormat="false" ht="15" hidden="false" customHeight="false" outlineLevel="0" collapsed="false">
      <c r="A68" s="11" t="n">
        <v>64</v>
      </c>
      <c r="B68" s="11" t="s">
        <v>1824</v>
      </c>
      <c r="C68" s="11" t="s">
        <v>2099</v>
      </c>
      <c r="D68" s="11" t="s">
        <v>1940</v>
      </c>
      <c r="E68" s="40" t="s">
        <v>2100</v>
      </c>
      <c r="F68" s="11" t="s">
        <v>1964</v>
      </c>
    </row>
    <row r="69" customFormat="false" ht="15" hidden="false" customHeight="false" outlineLevel="0" collapsed="false">
      <c r="A69" s="11" t="n">
        <v>65</v>
      </c>
      <c r="B69" s="11" t="s">
        <v>1824</v>
      </c>
      <c r="C69" s="11" t="s">
        <v>2101</v>
      </c>
      <c r="D69" s="11" t="s">
        <v>1940</v>
      </c>
      <c r="E69" s="40" t="s">
        <v>2102</v>
      </c>
      <c r="F69" s="11" t="s">
        <v>1964</v>
      </c>
    </row>
    <row r="70" customFormat="false" ht="22.35" hidden="false" customHeight="false" outlineLevel="0" collapsed="false">
      <c r="A70" s="11" t="n">
        <v>66</v>
      </c>
      <c r="B70" s="11" t="s">
        <v>1824</v>
      </c>
      <c r="C70" s="11" t="s">
        <v>2103</v>
      </c>
      <c r="D70" s="11" t="s">
        <v>2104</v>
      </c>
      <c r="E70" s="40" t="s">
        <v>2105</v>
      </c>
      <c r="F70" s="11" t="s">
        <v>1964</v>
      </c>
    </row>
    <row r="71" customFormat="false" ht="15" hidden="false" customHeight="false" outlineLevel="0" collapsed="false">
      <c r="A71" s="11" t="n">
        <v>67</v>
      </c>
      <c r="B71" s="11" t="s">
        <v>1824</v>
      </c>
      <c r="C71" s="11" t="s">
        <v>2106</v>
      </c>
      <c r="D71" s="11" t="s">
        <v>1940</v>
      </c>
      <c r="E71" s="40" t="s">
        <v>2107</v>
      </c>
      <c r="F71" s="11" t="s">
        <v>1964</v>
      </c>
    </row>
    <row r="72" customFormat="false" ht="15" hidden="false" customHeight="false" outlineLevel="0" collapsed="false">
      <c r="A72" s="11" t="n">
        <v>68</v>
      </c>
      <c r="B72" s="11" t="s">
        <v>1824</v>
      </c>
      <c r="C72" s="11" t="s">
        <v>2108</v>
      </c>
      <c r="D72" s="11" t="s">
        <v>1991</v>
      </c>
      <c r="E72" s="40" t="s">
        <v>2109</v>
      </c>
      <c r="F72" s="11" t="s">
        <v>1964</v>
      </c>
    </row>
    <row r="73" customFormat="false" ht="15" hidden="false" customHeight="false" outlineLevel="0" collapsed="false">
      <c r="A73" s="11" t="n">
        <v>69</v>
      </c>
      <c r="B73" s="11" t="s">
        <v>1824</v>
      </c>
      <c r="C73" s="11" t="s">
        <v>2110</v>
      </c>
      <c r="D73" s="11" t="s">
        <v>1991</v>
      </c>
      <c r="E73" s="40" t="s">
        <v>2111</v>
      </c>
      <c r="F73" s="11" t="s">
        <v>1964</v>
      </c>
    </row>
    <row r="74" customFormat="false" ht="15" hidden="false" customHeight="false" outlineLevel="0" collapsed="false">
      <c r="A74" s="11" t="n">
        <v>70</v>
      </c>
      <c r="B74" s="11" t="s">
        <v>1824</v>
      </c>
      <c r="C74" s="11" t="s">
        <v>2112</v>
      </c>
      <c r="D74" s="11" t="s">
        <v>1991</v>
      </c>
      <c r="E74" s="40" t="s">
        <v>2113</v>
      </c>
      <c r="F74" s="11" t="s">
        <v>1964</v>
      </c>
    </row>
    <row r="75" customFormat="false" ht="15" hidden="false" customHeight="false" outlineLevel="0" collapsed="false">
      <c r="A75" s="11" t="n">
        <v>71</v>
      </c>
      <c r="B75" s="11" t="s">
        <v>1824</v>
      </c>
      <c r="C75" s="11" t="s">
        <v>2114</v>
      </c>
      <c r="D75" s="11" t="s">
        <v>1940</v>
      </c>
      <c r="E75" s="40" t="s">
        <v>2115</v>
      </c>
      <c r="F75" s="11" t="s">
        <v>1964</v>
      </c>
    </row>
    <row r="76" customFormat="false" ht="15" hidden="false" customHeight="false" outlineLevel="0" collapsed="false">
      <c r="A76" s="11" t="n">
        <v>72</v>
      </c>
      <c r="B76" s="11" t="s">
        <v>1824</v>
      </c>
      <c r="C76" s="11" t="s">
        <v>2116</v>
      </c>
      <c r="D76" s="11" t="s">
        <v>1940</v>
      </c>
      <c r="E76" s="40" t="s">
        <v>2117</v>
      </c>
      <c r="F76" s="11" t="s">
        <v>1964</v>
      </c>
    </row>
    <row r="77" customFormat="false" ht="15" hidden="false" customHeight="false" outlineLevel="0" collapsed="false">
      <c r="A77" s="11" t="n">
        <v>73</v>
      </c>
      <c r="B77" s="11" t="s">
        <v>1824</v>
      </c>
      <c r="C77" s="11" t="s">
        <v>2118</v>
      </c>
      <c r="D77" s="11" t="s">
        <v>1940</v>
      </c>
      <c r="E77" s="40" t="s">
        <v>2119</v>
      </c>
      <c r="F77" s="11" t="s">
        <v>1964</v>
      </c>
    </row>
    <row r="78" customFormat="false" ht="15" hidden="false" customHeight="false" outlineLevel="0" collapsed="false">
      <c r="A78" s="11" t="n">
        <v>74</v>
      </c>
      <c r="B78" s="11" t="s">
        <v>1824</v>
      </c>
      <c r="C78" s="11" t="s">
        <v>2120</v>
      </c>
      <c r="D78" s="11" t="s">
        <v>1940</v>
      </c>
      <c r="E78" s="40" t="s">
        <v>2121</v>
      </c>
      <c r="F78" s="11" t="s">
        <v>1964</v>
      </c>
    </row>
    <row r="79" customFormat="false" ht="15" hidden="false" customHeight="false" outlineLevel="0" collapsed="false">
      <c r="A79" s="11" t="n">
        <v>75</v>
      </c>
      <c r="B79" s="11" t="s">
        <v>1824</v>
      </c>
      <c r="C79" s="11" t="s">
        <v>2122</v>
      </c>
      <c r="D79" s="11" t="s">
        <v>1940</v>
      </c>
      <c r="E79" s="40" t="s">
        <v>2123</v>
      </c>
      <c r="F79" s="11" t="s">
        <v>1964</v>
      </c>
    </row>
    <row r="80" customFormat="false" ht="15" hidden="false" customHeight="false" outlineLevel="0" collapsed="false">
      <c r="A80" s="11" t="n">
        <v>76</v>
      </c>
      <c r="B80" s="11" t="s">
        <v>1824</v>
      </c>
      <c r="C80" s="11" t="s">
        <v>2124</v>
      </c>
      <c r="D80" s="11" t="s">
        <v>2125</v>
      </c>
      <c r="E80" s="40" t="s">
        <v>2126</v>
      </c>
      <c r="F80" s="11" t="s">
        <v>1964</v>
      </c>
    </row>
    <row r="81" customFormat="false" ht="15" hidden="false" customHeight="false" outlineLevel="0" collapsed="false">
      <c r="A81" s="11" t="n">
        <v>77</v>
      </c>
      <c r="B81" s="11" t="s">
        <v>1824</v>
      </c>
      <c r="C81" s="11" t="s">
        <v>2127</v>
      </c>
      <c r="D81" s="11" t="s">
        <v>1991</v>
      </c>
      <c r="E81" s="40" t="s">
        <v>2128</v>
      </c>
      <c r="F81" s="11" t="s">
        <v>1964</v>
      </c>
    </row>
    <row r="82" customFormat="false" ht="15" hidden="false" customHeight="false" outlineLevel="0" collapsed="false">
      <c r="A82" s="11" t="n">
        <v>78</v>
      </c>
      <c r="B82" s="11" t="s">
        <v>1824</v>
      </c>
      <c r="C82" s="11" t="s">
        <v>2129</v>
      </c>
      <c r="D82" s="11" t="s">
        <v>2130</v>
      </c>
      <c r="E82" s="40" t="s">
        <v>2131</v>
      </c>
      <c r="F82" s="11" t="s">
        <v>1964</v>
      </c>
    </row>
    <row r="83" customFormat="false" ht="15" hidden="false" customHeight="false" outlineLevel="0" collapsed="false">
      <c r="A83" s="11" t="n">
        <v>79</v>
      </c>
      <c r="B83" s="11" t="s">
        <v>1824</v>
      </c>
      <c r="C83" s="11" t="s">
        <v>2132</v>
      </c>
      <c r="D83" s="11" t="s">
        <v>2130</v>
      </c>
      <c r="E83" s="40" t="s">
        <v>2133</v>
      </c>
      <c r="F83" s="11" t="s">
        <v>1964</v>
      </c>
    </row>
    <row r="84" customFormat="false" ht="15" hidden="false" customHeight="false" outlineLevel="0" collapsed="false">
      <c r="A84" s="11" t="n">
        <v>80</v>
      </c>
      <c r="B84" s="11" t="s">
        <v>1824</v>
      </c>
      <c r="C84" s="11" t="s">
        <v>2134</v>
      </c>
      <c r="D84" s="11" t="s">
        <v>1940</v>
      </c>
      <c r="E84" s="40" t="s">
        <v>2135</v>
      </c>
      <c r="F84" s="11" t="s">
        <v>1964</v>
      </c>
    </row>
    <row r="85" customFormat="false" ht="15" hidden="false" customHeight="false" outlineLevel="0" collapsed="false">
      <c r="A85" s="11" t="n">
        <v>81</v>
      </c>
      <c r="B85" s="11" t="s">
        <v>1824</v>
      </c>
      <c r="C85" s="11" t="s">
        <v>2136</v>
      </c>
      <c r="D85" s="11" t="s">
        <v>1940</v>
      </c>
      <c r="E85" s="40" t="s">
        <v>2137</v>
      </c>
      <c r="F85" s="11" t="s">
        <v>1964</v>
      </c>
    </row>
    <row r="86" customFormat="false" ht="15" hidden="false" customHeight="false" outlineLevel="0" collapsed="false">
      <c r="A86" s="11" t="n">
        <v>82</v>
      </c>
      <c r="B86" s="11" t="s">
        <v>1824</v>
      </c>
      <c r="C86" s="11" t="s">
        <v>2138</v>
      </c>
      <c r="D86" s="11" t="s">
        <v>1991</v>
      </c>
      <c r="E86" s="40" t="s">
        <v>2139</v>
      </c>
      <c r="F86" s="11" t="s">
        <v>1964</v>
      </c>
    </row>
    <row r="87" customFormat="false" ht="15" hidden="false" customHeight="false" outlineLevel="0" collapsed="false">
      <c r="A87" s="11" t="n">
        <v>83</v>
      </c>
      <c r="B87" s="11" t="s">
        <v>1824</v>
      </c>
      <c r="C87" s="11" t="s">
        <v>2140</v>
      </c>
      <c r="D87" s="11" t="s">
        <v>1940</v>
      </c>
      <c r="E87" s="40" t="s">
        <v>2141</v>
      </c>
      <c r="F87" s="11" t="s">
        <v>1964</v>
      </c>
    </row>
    <row r="88" customFormat="false" ht="15" hidden="false" customHeight="false" outlineLevel="0" collapsed="false">
      <c r="A88" s="11" t="n">
        <v>84</v>
      </c>
      <c r="B88" s="11" t="s">
        <v>1824</v>
      </c>
      <c r="C88" s="11" t="s">
        <v>2142</v>
      </c>
      <c r="D88" s="11" t="s">
        <v>1940</v>
      </c>
      <c r="E88" s="40" t="s">
        <v>2143</v>
      </c>
      <c r="F88" s="11" t="s">
        <v>1964</v>
      </c>
    </row>
    <row r="89" customFormat="false" ht="15" hidden="false" customHeight="false" outlineLevel="0" collapsed="false">
      <c r="A89" s="11" t="n">
        <v>85</v>
      </c>
      <c r="B89" s="11" t="s">
        <v>1824</v>
      </c>
      <c r="C89" s="11" t="s">
        <v>2144</v>
      </c>
      <c r="D89" s="11" t="s">
        <v>1940</v>
      </c>
      <c r="E89" s="40" t="s">
        <v>2145</v>
      </c>
      <c r="F89" s="11" t="s">
        <v>1964</v>
      </c>
    </row>
    <row r="90" customFormat="false" ht="15" hidden="false" customHeight="false" outlineLevel="0" collapsed="false">
      <c r="A90" s="11" t="n">
        <v>86</v>
      </c>
      <c r="B90" s="11" t="s">
        <v>1824</v>
      </c>
      <c r="C90" s="11" t="s">
        <v>2146</v>
      </c>
      <c r="D90" s="11" t="s">
        <v>1940</v>
      </c>
      <c r="E90" s="40" t="s">
        <v>2147</v>
      </c>
      <c r="F90" s="11" t="s">
        <v>1964</v>
      </c>
    </row>
    <row r="91" customFormat="false" ht="15" hidden="false" customHeight="false" outlineLevel="0" collapsed="false">
      <c r="A91" s="11" t="n">
        <v>87</v>
      </c>
      <c r="B91" s="11" t="s">
        <v>1824</v>
      </c>
      <c r="C91" s="11" t="s">
        <v>2148</v>
      </c>
      <c r="D91" s="11" t="s">
        <v>2149</v>
      </c>
      <c r="E91" s="40" t="s">
        <v>2150</v>
      </c>
      <c r="F91" s="11" t="s">
        <v>1964</v>
      </c>
    </row>
    <row r="92" customFormat="false" ht="15" hidden="false" customHeight="false" outlineLevel="0" collapsed="false">
      <c r="A92" s="11" t="n">
        <v>88</v>
      </c>
      <c r="B92" s="11" t="s">
        <v>1824</v>
      </c>
      <c r="C92" s="11" t="s">
        <v>2151</v>
      </c>
      <c r="D92" s="11" t="s">
        <v>2149</v>
      </c>
      <c r="E92" s="40" t="s">
        <v>2152</v>
      </c>
      <c r="F92" s="11" t="s">
        <v>1964</v>
      </c>
    </row>
    <row r="93" customFormat="false" ht="15" hidden="false" customHeight="false" outlineLevel="0" collapsed="false">
      <c r="A93" s="11" t="n">
        <v>89</v>
      </c>
      <c r="B93" s="11" t="s">
        <v>2153</v>
      </c>
      <c r="C93" s="11" t="s">
        <v>2154</v>
      </c>
      <c r="D93" s="11" t="s">
        <v>1940</v>
      </c>
      <c r="E93" s="40" t="s">
        <v>2155</v>
      </c>
      <c r="F93" s="11" t="s">
        <v>1964</v>
      </c>
    </row>
    <row r="94" customFormat="false" ht="15" hidden="false" customHeight="false" outlineLevel="0" collapsed="false">
      <c r="A94" s="11" t="n">
        <v>90</v>
      </c>
      <c r="B94" s="11" t="s">
        <v>2153</v>
      </c>
      <c r="C94" s="11" t="s">
        <v>2156</v>
      </c>
      <c r="D94" s="11" t="s">
        <v>2157</v>
      </c>
      <c r="E94" s="40" t="s">
        <v>2158</v>
      </c>
      <c r="F94" s="11" t="s">
        <v>1964</v>
      </c>
    </row>
    <row r="95" customFormat="false" ht="15" hidden="false" customHeight="false" outlineLevel="0" collapsed="false">
      <c r="A95" s="11" t="n">
        <v>91</v>
      </c>
      <c r="B95" s="11" t="s">
        <v>2159</v>
      </c>
      <c r="C95" s="11" t="s">
        <v>2160</v>
      </c>
      <c r="D95" s="11" t="s">
        <v>1940</v>
      </c>
      <c r="E95" s="40" t="s">
        <v>2161</v>
      </c>
      <c r="F95" s="11" t="s">
        <v>1964</v>
      </c>
    </row>
    <row r="96" customFormat="false" ht="15" hidden="false" customHeight="false" outlineLevel="0" collapsed="false">
      <c r="A96" s="11" t="n">
        <v>92</v>
      </c>
      <c r="B96" s="11" t="s">
        <v>2159</v>
      </c>
      <c r="C96" s="11" t="s">
        <v>2162</v>
      </c>
      <c r="D96" s="11" t="s">
        <v>1940</v>
      </c>
      <c r="E96" s="40" t="s">
        <v>2163</v>
      </c>
      <c r="F96" s="11" t="s">
        <v>1964</v>
      </c>
    </row>
    <row r="97" customFormat="false" ht="15" hidden="false" customHeight="false" outlineLevel="0" collapsed="false">
      <c r="A97" s="11" t="n">
        <v>93</v>
      </c>
      <c r="B97" s="11" t="s">
        <v>2159</v>
      </c>
      <c r="C97" s="11" t="s">
        <v>2164</v>
      </c>
      <c r="D97" s="11" t="s">
        <v>1940</v>
      </c>
      <c r="E97" s="40" t="s">
        <v>2165</v>
      </c>
      <c r="F97" s="11" t="s">
        <v>1964</v>
      </c>
    </row>
    <row r="98" customFormat="false" ht="15" hidden="false" customHeight="false" outlineLevel="0" collapsed="false">
      <c r="A98" s="11" t="n">
        <v>94</v>
      </c>
      <c r="B98" s="11" t="s">
        <v>2159</v>
      </c>
      <c r="C98" s="11" t="s">
        <v>2166</v>
      </c>
      <c r="D98" s="11" t="s">
        <v>1940</v>
      </c>
      <c r="E98" s="40" t="s">
        <v>2167</v>
      </c>
      <c r="F98" s="11" t="s">
        <v>1964</v>
      </c>
    </row>
    <row r="99" customFormat="false" ht="15" hidden="false" customHeight="false" outlineLevel="0" collapsed="false">
      <c r="A99" s="11" t="n">
        <v>95</v>
      </c>
      <c r="B99" s="11" t="s">
        <v>2159</v>
      </c>
      <c r="C99" s="11" t="s">
        <v>2168</v>
      </c>
      <c r="D99" s="11" t="s">
        <v>1940</v>
      </c>
      <c r="E99" s="40" t="s">
        <v>2169</v>
      </c>
      <c r="F99" s="11" t="s">
        <v>1964</v>
      </c>
    </row>
    <row r="100" customFormat="false" ht="15" hidden="false" customHeight="false" outlineLevel="0" collapsed="false">
      <c r="A100" s="11" t="n">
        <v>96</v>
      </c>
      <c r="B100" s="11" t="s">
        <v>2159</v>
      </c>
      <c r="C100" s="11" t="s">
        <v>2170</v>
      </c>
      <c r="D100" s="11" t="s">
        <v>1940</v>
      </c>
      <c r="E100" s="40" t="s">
        <v>2171</v>
      </c>
      <c r="F100" s="11" t="s">
        <v>1964</v>
      </c>
    </row>
    <row r="101" customFormat="false" ht="15" hidden="false" customHeight="false" outlineLevel="0" collapsed="false">
      <c r="A101" s="11" t="n">
        <v>97</v>
      </c>
      <c r="B101" s="11" t="s">
        <v>2159</v>
      </c>
      <c r="C101" s="11" t="s">
        <v>2172</v>
      </c>
      <c r="D101" s="11" t="s">
        <v>1940</v>
      </c>
      <c r="E101" s="40" t="s">
        <v>2173</v>
      </c>
      <c r="F101" s="11" t="s">
        <v>1964</v>
      </c>
    </row>
    <row r="102" customFormat="false" ht="15" hidden="false" customHeight="false" outlineLevel="0" collapsed="false">
      <c r="A102" s="11" t="n">
        <v>98</v>
      </c>
      <c r="B102" s="11" t="s">
        <v>2159</v>
      </c>
      <c r="C102" s="11" t="s">
        <v>2174</v>
      </c>
      <c r="D102" s="11" t="s">
        <v>2033</v>
      </c>
      <c r="E102" s="40" t="s">
        <v>2175</v>
      </c>
      <c r="F102" s="11" t="s">
        <v>1964</v>
      </c>
    </row>
    <row r="103" customFormat="false" ht="15" hidden="false" customHeight="false" outlineLevel="0" collapsed="false">
      <c r="A103" s="11" t="n">
        <v>99</v>
      </c>
      <c r="B103" s="11" t="s">
        <v>2159</v>
      </c>
      <c r="C103" s="11" t="s">
        <v>2176</v>
      </c>
      <c r="D103" s="11" t="s">
        <v>1940</v>
      </c>
      <c r="E103" s="40" t="s">
        <v>2177</v>
      </c>
      <c r="F103" s="11" t="s">
        <v>1964</v>
      </c>
    </row>
    <row r="104" customFormat="false" ht="15" hidden="false" customHeight="false" outlineLevel="0" collapsed="false">
      <c r="A104" s="11" t="n">
        <v>100</v>
      </c>
      <c r="B104" s="11" t="s">
        <v>2159</v>
      </c>
      <c r="C104" s="11" t="s">
        <v>2178</v>
      </c>
      <c r="D104" s="11" t="s">
        <v>2033</v>
      </c>
      <c r="E104" s="40" t="s">
        <v>2179</v>
      </c>
      <c r="F104" s="11" t="s">
        <v>1964</v>
      </c>
    </row>
    <row r="105" customFormat="false" ht="15" hidden="false" customHeight="false" outlineLevel="0" collapsed="false">
      <c r="A105" s="11" t="n">
        <v>101</v>
      </c>
      <c r="B105" s="11" t="s">
        <v>2159</v>
      </c>
      <c r="C105" s="11" t="s">
        <v>2180</v>
      </c>
      <c r="D105" s="11" t="s">
        <v>2149</v>
      </c>
      <c r="E105" s="40" t="s">
        <v>2181</v>
      </c>
      <c r="F105" s="11" t="s">
        <v>1964</v>
      </c>
    </row>
    <row r="106" customFormat="false" ht="15" hidden="false" customHeight="false" outlineLevel="0" collapsed="false">
      <c r="A106" s="11" t="n">
        <v>102</v>
      </c>
      <c r="B106" s="11" t="s">
        <v>2182</v>
      </c>
      <c r="C106" s="11" t="s">
        <v>2183</v>
      </c>
      <c r="D106" s="11" t="s">
        <v>1940</v>
      </c>
      <c r="E106" s="40" t="s">
        <v>2184</v>
      </c>
      <c r="F106" s="11" t="s">
        <v>1964</v>
      </c>
    </row>
    <row r="107" customFormat="false" ht="15" hidden="false" customHeight="false" outlineLevel="0" collapsed="false">
      <c r="A107" s="11" t="n">
        <v>103</v>
      </c>
      <c r="B107" s="11" t="s">
        <v>2182</v>
      </c>
      <c r="C107" s="11" t="s">
        <v>2185</v>
      </c>
      <c r="D107" s="11" t="s">
        <v>2033</v>
      </c>
      <c r="E107" s="40" t="s">
        <v>2186</v>
      </c>
      <c r="F107" s="11" t="s">
        <v>1964</v>
      </c>
    </row>
    <row r="108" customFormat="false" ht="15" hidden="false" customHeight="false" outlineLevel="0" collapsed="false">
      <c r="A108" s="11" t="n">
        <v>104</v>
      </c>
      <c r="B108" s="11" t="s">
        <v>2182</v>
      </c>
      <c r="C108" s="11" t="s">
        <v>2187</v>
      </c>
      <c r="D108" s="11" t="s">
        <v>2188</v>
      </c>
      <c r="E108" s="40" t="s">
        <v>2189</v>
      </c>
      <c r="F108" s="11" t="s">
        <v>1964</v>
      </c>
    </row>
    <row r="109" customFormat="false" ht="15" hidden="false" customHeight="false" outlineLevel="0" collapsed="false">
      <c r="A109" s="11" t="n">
        <v>105</v>
      </c>
      <c r="B109" s="11" t="s">
        <v>1972</v>
      </c>
      <c r="C109" s="11" t="s">
        <v>2190</v>
      </c>
      <c r="D109" s="11" t="s">
        <v>1940</v>
      </c>
      <c r="E109" s="40" t="s">
        <v>2191</v>
      </c>
      <c r="F109" s="11" t="s">
        <v>1964</v>
      </c>
    </row>
    <row r="110" customFormat="false" ht="15" hidden="false" customHeight="false" outlineLevel="0" collapsed="false">
      <c r="A110" s="11" t="n">
        <v>106</v>
      </c>
      <c r="B110" s="11" t="s">
        <v>1972</v>
      </c>
      <c r="C110" s="11" t="s">
        <v>2192</v>
      </c>
      <c r="D110" s="11" t="s">
        <v>1940</v>
      </c>
      <c r="E110" s="40" t="s">
        <v>2193</v>
      </c>
      <c r="F110" s="11" t="s">
        <v>1964</v>
      </c>
    </row>
    <row r="111" customFormat="false" ht="15" hidden="false" customHeight="false" outlineLevel="0" collapsed="false">
      <c r="A111" s="11" t="n">
        <v>107</v>
      </c>
      <c r="B111" s="11" t="s">
        <v>1972</v>
      </c>
      <c r="C111" s="11" t="s">
        <v>2194</v>
      </c>
      <c r="D111" s="11" t="s">
        <v>1940</v>
      </c>
      <c r="E111" s="40" t="s">
        <v>2195</v>
      </c>
      <c r="F111" s="11" t="s">
        <v>1964</v>
      </c>
    </row>
    <row r="112" customFormat="false" ht="15" hidden="false" customHeight="false" outlineLevel="0" collapsed="false">
      <c r="A112" s="11" t="n">
        <v>108</v>
      </c>
      <c r="B112" s="11" t="s">
        <v>1972</v>
      </c>
      <c r="C112" s="11" t="s">
        <v>2196</v>
      </c>
      <c r="D112" s="11" t="s">
        <v>1940</v>
      </c>
      <c r="E112" s="40" t="s">
        <v>2197</v>
      </c>
      <c r="F112" s="11" t="s">
        <v>1964</v>
      </c>
    </row>
    <row r="113" customFormat="false" ht="15" hidden="false" customHeight="false" outlineLevel="0" collapsed="false">
      <c r="A113" s="11" t="n">
        <v>109</v>
      </c>
      <c r="B113" s="11" t="s">
        <v>1972</v>
      </c>
      <c r="C113" s="11" t="s">
        <v>2198</v>
      </c>
      <c r="D113" s="11" t="s">
        <v>1940</v>
      </c>
      <c r="E113" s="40" t="s">
        <v>2199</v>
      </c>
      <c r="F113" s="11" t="s">
        <v>1964</v>
      </c>
    </row>
    <row r="114" customFormat="false" ht="15" hidden="false" customHeight="false" outlineLevel="0" collapsed="false">
      <c r="A114" s="11" t="n">
        <v>110</v>
      </c>
      <c r="B114" s="11" t="s">
        <v>285</v>
      </c>
      <c r="C114" s="11" t="s">
        <v>2200</v>
      </c>
      <c r="D114" s="11" t="s">
        <v>2201</v>
      </c>
      <c r="E114" s="40" t="s">
        <v>2202</v>
      </c>
      <c r="F114" s="11" t="s">
        <v>1964</v>
      </c>
    </row>
    <row r="115" customFormat="false" ht="15" hidden="false" customHeight="false" outlineLevel="0" collapsed="false">
      <c r="A115" s="11" t="n">
        <v>111</v>
      </c>
      <c r="B115" s="11" t="s">
        <v>285</v>
      </c>
      <c r="C115" s="11" t="s">
        <v>2203</v>
      </c>
      <c r="D115" s="11" t="s">
        <v>2201</v>
      </c>
      <c r="E115" s="40" t="s">
        <v>2204</v>
      </c>
      <c r="F115" s="11" t="s">
        <v>1964</v>
      </c>
    </row>
    <row r="116" customFormat="false" ht="15" hidden="false" customHeight="false" outlineLevel="0" collapsed="false">
      <c r="A116" s="11" t="n">
        <v>112</v>
      </c>
      <c r="B116" s="11" t="s">
        <v>285</v>
      </c>
      <c r="C116" s="11" t="s">
        <v>2205</v>
      </c>
      <c r="D116" s="11" t="s">
        <v>2201</v>
      </c>
      <c r="E116" s="40" t="s">
        <v>2206</v>
      </c>
      <c r="F116" s="11" t="s">
        <v>1964</v>
      </c>
    </row>
  </sheetData>
  <hyperlinks>
    <hyperlink ref="E5" r:id="rId1" display="https://www.cisecurity.org/benchmark/amazon_web_services"/>
    <hyperlink ref="E6" r:id="rId2" display="https://docs.aws.amazon.com/securityhub/latest/userguide/cis-aws-foundations-benchmark.html"/>
    <hyperlink ref="E7" r:id="rId3" display="https://www.cisecurity.org/benchmark/amazon_linux"/>
    <hyperlink ref="E8" r:id="rId4" display="https://www.cisecurity.org/benchmark/kubernetes"/>
    <hyperlink ref="E9" r:id="rId5" display="https://www.cisecurity.org/benchmark/bottlerocket"/>
    <hyperlink ref="E10" r:id="rId6" display="https://www.cisecurity.org/controls"/>
    <hyperlink ref="E11" r:id="rId7" display="https://aws.amazon.com/amazon-linux-2/faqs/"/>
    <hyperlink ref="E12" r:id="rId8" display="https://docs.aws.amazon.com/eks/latest/userguide/eks-ami-deprecation-faqs.html"/>
    <hyperlink ref="E13" r:id="rId9" display="https://docs.aws.amazon.com/eks/latest/userguide/kubernetes-versions.html"/>
    <hyperlink ref="E14" r:id="rId10" display="https://aws.amazon.com/eks/pricing/"/>
    <hyperlink ref="E15" r:id="rId11" display="https://aws.amazon.com/blogs/aws/aws-security-hub-now-generally-available-with-near-real-time-analytics-and-risk-prioritization/"/>
    <hyperlink ref="E16" r:id="rId12" display="https://docs.aws.amazon.com/securityhub/latest/userguide/what-is-securityhub.html"/>
    <hyperlink ref="E17" r:id="rId13" display="https://aws.amazon.com/security-hub/pricing/"/>
    <hyperlink ref="E18" r:id="rId14" display="https://docs.aws.amazon.com/guardduty/latest/ug/runtime-monitoring.html"/>
    <hyperlink ref="E19" r:id="rId15" display="https://docs.aws.amazon.com/guardduty/latest/ug/prereq-runtime-monitoring-cpu-os-kernel-support.html"/>
    <hyperlink ref="E20" r:id="rId16" display="https://docs.aws.amazon.com/guardduty/latest/ug/guardduty-extended-threat-detection.html"/>
    <hyperlink ref="E21" r:id="rId17" display="https://docs.aws.amazon.com/inspector/latest/user/scanning-cis.html"/>
    <hyperlink ref="E22" r:id="rId18" display="https://docs.aws.amazon.com/inspector/latest/user/supported.html"/>
    <hyperlink ref="E23" r:id="rId19" display="https://aws.amazon.com/about-aws/whats-new/2025/06/amazon-inspector-code-security-shift-security-development"/>
    <hyperlink ref="E24" r:id="rId20" display="https://docs.aws.amazon.com/eks/latest/userguide/pod-identities.html"/>
    <hyperlink ref="E25" r:id="rId21" display="https://docs.aws.amazon.com/organizations/latest/userguide/orgs_manage_policies_declarative_syntax.html"/>
    <hyperlink ref="E26" r:id="rId22" display="https://aws.amazon.com/about-aws/whats-new/2025/11/amazon-ecr-managed-container-image-signing"/>
    <hyperlink ref="E27" r:id="rId23" display="https://aws.amazon.com/about-aws/whats-new/2025/07/amazon-ecr-exceptions-tag-immutability/"/>
    <hyperlink ref="E28" r:id="rId24" display="https://aws.amazon.com/about-aws/whats-new/2025/06/iam-access-analyzer-aws-organization-access-resources"/>
    <hyperlink ref="E29" r:id="rId25" display="https://aws.amazon.com/about-aws/whats-new/2024/11/resource-control-policies-restrict-access-aws-resources"/>
    <hyperlink ref="E30" r:id="rId26" display="https://aws.amazon.com/about-aws/whats-new/2024/11/manage-root-access-aws-identity-access-management/"/>
    <hyperlink ref="E31" r:id="rId27" display="https://aws.amazon.com/about-aws/whats-new/2025/11/aws-backup-direct-to-logically-air-gapped-vault"/>
    <hyperlink ref="E32" r:id="rId28" display="https://docs.aws.amazon.com/controltower/latest/userguide/2026-all.html"/>
    <hyperlink ref="E33" r:id="rId29" display="https://docs.aws.amazon.com/securityhub/latest/userguide/ec2-controls.html (and per-service pages eks-, iam-, s3-, rds-controls.html etc.)"/>
    <hyperlink ref="E34" r:id="rId30" display="https://github.com/CrowdStrike/falcon-helm"/>
    <hyperlink ref="E35" r:id="rId31" display="https://splunkbase.splunk.com/app/1876/"/>
    <hyperlink ref="E36" r:id="rId32" display="https://splunkbase.splunk.com/app/8642"/>
    <hyperlink ref="E37" r:id="rId33" display="https://splunkbase.splunk.com/app/3110"/>
    <hyperlink ref="E38" r:id="rId34" display="https://splunkbase.splunk.com/app/5082/"/>
    <hyperlink ref="E39" r:id="rId35" display="https://help.splunk.com/en/splunk-enterprise-security-8/release-notes-and-resources"/>
    <hyperlink ref="E40" r:id="rId36" display="https://help.splunk.com/en/splunk-soar/soar-on-premises/release-notes"/>
    <hyperlink ref="E41" r:id="rId37" display="https://crowdstrike.com/services/endpoint-security/falcon-complete-next-gen-mdr/"/>
    <hyperlink ref="E42" r:id="rId38" display="https://learn.microsoft.com/azure/active-directory-b2c/faq"/>
    <hyperlink ref="E43" r:id="rId39" display="https://learn.microsoft.com/en-us/entra/external-id/customers/plan-your-migration-from-b2c-to-external-id"/>
    <hyperlink ref="E44" r:id="rId40" display="https://learn.microsoft.com/en-us/entra/external-id/customers/concept-supported-features-customers"/>
    <hyperlink ref="E45" r:id="rId41" display="https://learn.microsoft.com/en-us/entra/external-id/customers/how-to-sign-in-with-passkey"/>
    <hyperlink ref="E46" r:id="rId42" display="https://learn.microsoft.com/et-ee/entra/fundamentals/licensing"/>
    <hyperlink ref="E47" r:id="rId43" display="https://learn.microsoft.com/entra/identity/authentication/concept-mandatory-multifactor-authentication"/>
    <hyperlink ref="E48" r:id="rId44" display="https://learn.microsoft.com/en-us/entra/identity/role-based-access-control/security-emergency-access"/>
    <hyperlink ref="E49" r:id="rId45" display="https://learn.microsoft.com/azure/active-directory/authentication/concept-authentication-strengths"/>
    <hyperlink ref="E50" r:id="rId46" display="https://learn.microsoft.com/en-us/entra/identity/monitoring-health/reference-reports-data-retention"/>
    <hyperlink ref="E51" r:id="rId47" display="https://learn.microsoft.com/ms-my/entra/identity/monitoring-health/howto-stream-logs-to-event-hub"/>
    <hyperlink ref="E52" r:id="rId48" display="https://learn.microsoft.com/el-gr/azure/active-directory-b2c/azure-monitor"/>
    <hyperlink ref="E53" r:id="rId49" display="https://learn.microsoft.com/en-us/azure/active-directory-b2c/claim-resolver-overview"/>
    <hyperlink ref="E54" r:id="rId50" display="https://docs.aws.amazon.com/singlesignon/latest/userguide/idp-microsoft-entra.html"/>
    <hyperlink ref="E55" r:id="rId51" display="https://learn.microsoft.com/partner-center/announcements/2026-february"/>
    <hyperlink ref="E56" r:id="rId52" display="https://eips.ethereum.org/EIPS/eip-4361"/>
    <hyperlink ref="E57" r:id="rId53" display="https://solana.com/upgrades/alpenglow"/>
    <hyperlink ref="E58" r:id="rId54" display="https://github.com/anza-xyz/agave/releases"/>
    <hyperlink ref="E59" r:id="rId55" display="https://github.com/firedancer-io/firedancer/releases"/>
    <hyperlink ref="E60" r:id="rId56" display="https://docs.anza.xyz/operations/guides/vote-accounts"/>
    <hyperlink ref="E61" r:id="rId57" display="https://docs.anza.xyz/cli/examples/delegate-stake"/>
    <hyperlink ref="E62" r:id="rId58" display="https://blog.ethereum.org/2025/04/23/pectra-mainnet"/>
    <hyperlink ref="E63" r:id="rId59" display="https://eips.ethereum.org/EIPS/eip-7002"/>
    <hyperlink ref="E64" r:id="rId60" display="https://eips.ethereum.org/EIPS/eip-7251"/>
    <hyperlink ref="E65" r:id="rId61" display="https://eips.ethereum.org/EIPS/eip-7702"/>
    <hyperlink ref="E66" r:id="rId62" display="https://blog.ethereum.org/2025/11/06/fusaka-mainnet-announcement"/>
    <hyperlink ref="E67" r:id="rId63" display="https://blog.ethereum.org/2026/10/16/glamsterdam-hoodi-announcement"/>
    <hyperlink ref="E68" r:id="rId64" display="https://blog.ethereum.org/2026/08/24/glamsterdam-repricing-testing"/>
    <hyperlink ref="E69" r:id="rId65" display="https://eips.ethereum.org/EIPS/eip-3076"/>
    <hyperlink ref="E70" r:id="rId66" display="https://github.com/safe-global/safe-smart-account/releases"/>
    <hyperlink ref="E71" r:id="rId67" display="https://github.com/Squads-Protocol/v4"/>
    <hyperlink ref="E72" r:id="rId68" display="https://github.com/Ellipsis-Labs/solana-verifiable-build/releases"/>
    <hyperlink ref="E73" r:id="rId69" display="https://github.com/Ackee-Blockchain/trident/releases"/>
    <hyperlink ref="E74" r:id="rId70" display="https://github.com/crytic/slither/releases"/>
    <hyperlink ref="E75" r:id="rId71" display="https://github.com/Cyfrin/aderyn/releases"/>
    <hyperlink ref="E76" r:id="rId72" display="https://github.com/foundry-rs/foundry/releases"/>
    <hyperlink ref="E77" r:id="rId73" display="https://github.com/solana-foundation/anchor/releases"/>
    <hyperlink ref="E78" r:id="rId74" display="https://www.openzeppelin.com/news/doubling-down-on-open-source-and-phasing-out-defender"/>
    <hyperlink ref="E79" r:id="rId75" display="https://github.com/OpenZeppelin/openzeppelin-monitor"/>
    <hyperlink ref="E80" r:id="rId76" display="https://www.hypernative.io/blog/solana-network-and-projects-building-on-it-are-now-secured-by-hypernative"/>
    <hyperlink ref="E81" r:id="rId77" display="https://www.chainalysis.com/product/hexagate/"/>
    <hyperlink ref="E82" r:id="rId78" display="https://www.businesswire.com/news/home/20250513728554/en"/>
    <hyperlink ref="E83" r:id="rId79" display="https://www.businesswire.com/news/home/20260514859476/en/BSSC-Unveils-Smart-Contract-Security-Standard-and-Major-Updates-to-Core-Specifications"/>
    <hyperlink ref="E84" r:id="rId80" display="https://cryptoconsortium.org/standards-2/"/>
    <hyperlink ref="E85" r:id="rId81" display="https://scs.owasp.org/"/>
    <hyperlink ref="E86" r:id="rId82" display="https://owasp.org/www-project-smart-contract-security-verification-standard/"/>
    <hyperlink ref="E87" r:id="rId83" display="https://frameworks.securityalliance.org/"/>
    <hyperlink ref="E88" r:id="rId84" display="https://securityalliance.org/our-work/seal-911"/>
    <hyperlink ref="E89" r:id="rId85" display="https://securityalliance.org/our-work/safe-harbor"/>
    <hyperlink ref="E90" r:id="rId86" display="https://www.fbi.gov/investigate/cyber/alerts/2025/north-korea-responsible-for-1-5-billion-bybit-hack"/>
    <hyperlink ref="E91" r:id="rId87" display="https://nccgroup.com/sg/research-blog/in-depth-technical-analysis-of-the-bybit-hack"/>
    <hyperlink ref="E92" r:id="rId88" display="https://blocksec.com/blog/drift-protocol-incident-multisig-governance-compromise-via-durable-nonce-exploitation"/>
    <hyperlink ref="E93" r:id="rId89" display="https://csrc.nist.gov/Projects/post-quantum-cryptography/publications"/>
    <hyperlink ref="E94" r:id="rId90" display="https://nvlpubs.nist.gov/nistpubs/ir/2024/NIST.IR.8547.ipd.pdf"/>
    <hyperlink ref="E95" r:id="rId91" display="https://www.esma.europa.eu/publications-and-data/interactive-single-rulebook/mica/article-143-transitional-measures"/>
    <hyperlink ref="E96" r:id="rId92" display="https://www.esma.europa.eu/publications-and-data/interactive-single-rulebook/mica/article-61-provision-crypto-asset-services"/>
    <hyperlink ref="E97" r:id="rId93" display="https://www.esma.europa.eu/sites/default/files/2025-02/ESMA35-1872330276-2030_Guidelines_on_reverse_solicitation_under_MiCA.pdf"/>
    <hyperlink ref="E98" r:id="rId94" display="https://eur-lex.europa.eu/legal-content/EN/TXT/HTML/?uri=CELEX:32022R2554"/>
    <hyperlink ref="E99" r:id="rId95" display="https://eur-lex.europa.eu/legal-content/EN/TXT/HTML/?uri=CELEX:32025R0301"/>
    <hyperlink ref="E100" r:id="rId96" display="https://blog.pcisecuritystandards.org/now-is-the-time-for-organizations-to-adopt-the-future-dated-requirements-of-pci-dss-v4-x"/>
    <hyperlink ref="E101" r:id="rId97" display="https://blog.pcisecuritystandards.org/important-updates-announced-for-merchants-validating-to-self-assessment-questionnaire-a"/>
    <hyperlink ref="E102" r:id="rId98" display="https://www.fincen.gov/sites/default/files/2019-05/FinCEN%20Guidance%20CVC%20FINAL%20508.pdf"/>
    <hyperlink ref="E103" r:id="rId99" display="https://ofac.treasury.gov/recent-actions/20211015"/>
    <hyperlink ref="E104" r:id="rId100" display="https://www.ftc.gov/business-guidance/blog/2024/05/safeguards-rule-notification-requirement-now-effect"/>
    <hyperlink ref="E105" r:id="rId101" display="https://www.orrick.com/en/Insights/2026/10/The-CLARITY-Act-Stalls-in-the-Senate-Whats-Next-for-Digital-Asset-Regulation"/>
    <hyperlink ref="E106" r:id="rId102" display="https://www.aicpa-cima.com/resources/download/2017-trust-services-criteria-with-revised-points-of-focus-2022"/>
    <hyperlink ref="E107" r:id="rId103" display="https://www.aicpa-cima.com/resources/article/get-description-criteria-for-your-organizations-soc-2-r-report"/>
    <hyperlink ref="E108" r:id="rId104" display="https://www.aicpa-cima.com/resources/article/read-the-latest-faqs-for-soc-2-r-and-soc-3-r-examinations"/>
    <hyperlink ref="E109" r:id="rId105" display="https://www.nist.gov/news-events/news/2024/02/nist-releases-version-20-landmark-cybersecurity-framework"/>
    <hyperlink ref="E110" r:id="rId106" display="https://www.nist.gov/news-events/news/2025/04/nist-revises-sp-800-61-incident-response-recommendations-and-considerations"/>
    <hyperlink ref="E111" r:id="rId107" display="https://csrc.nist.gov/pubs/sp/800/218/r1/ipd"/>
    <hyperlink ref="E112" r:id="rId108" display="https://iaf.nu/iaf_system/uploads/documents/IAF_MD26_Issue_2_15012023.pdf"/>
    <hyperlink ref="E113" r:id="rId109" display="https://www.iso.org/standard/88435.html"/>
    <hyperlink ref="E114" r:id="rId110" display="https://help.vanta.com/en/articles/11345655-connecting-vanta-microsoft-entra"/>
    <hyperlink ref="E115" r:id="rId111" display="https://help.drata.com/en/articles/4797766-microsoft-365-integration-guide"/>
    <hyperlink ref="E116" r:id="rId112" display="https://support.secureframe.com/hc/en-us/articles/20710013602963-Microsoft-Entra-I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2026-10-19T17:38:55Z</dcterms:created>
  <dc:creator>openpyxl</dc:creator>
  <dc:description/>
  <dc:language>en-US</dc:language>
  <cp:lastModifiedBy/>
  <dcterms:modified xsi:type="dcterms:W3CDTF">2026-10-19T17:38:56Z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