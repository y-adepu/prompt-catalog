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 Controls" sheetId="2" state="visible" r:id="rId4"/>
    <sheet name="Service Summary" sheetId="3" state="visible" r:id="rId5"/>
    <sheet name="Foundations v6.0.0" sheetId="4" state="visible" r:id="rId6"/>
    <sheet name="Compute v2.0.0" sheetId="5" state="visible" r:id="rId7"/>
    <sheet name="Database v2.0.0" sheetId="6" state="visible" r:id="rId8"/>
    <sheet name="Storage v2.0.0" sheetId="7" state="visible" r:id="rId9"/>
    <sheet name="Overlap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<sst xmlns="http://schemas.openxmlformats.org/spreadsheetml/2006/main" count="6614" uniqueCount="822">
  <si>
    <t xml:space="preserve">Azure CIS Control Register</t>
  </si>
  <si>
    <t xml:space="preserve">Purpose: master list of CIS-recommended controls by Azure service, taken from the four CIS Microsoft Azure benchmarks supplied.</t>
  </si>
  <si>
    <t xml:space="preserve">Source benchmarks</t>
  </si>
  <si>
    <t xml:space="preserve">  • CIS Microsoft Azure Foundations Benchmark v6.0.0 (published 2026-04-19): 127 recommendations</t>
  </si>
  <si>
    <t xml:space="preserve">  • CIS Microsoft Azure Compute Services Benchmark v2.0.0 (published 2025-06-27): 99 recommendations</t>
  </si>
  <si>
    <t xml:space="preserve">  • CIS Microsoft Azure Database Services Benchmark v2.0.0 (published 2025-12-31): 49 recommendations</t>
  </si>
  <si>
    <t xml:space="preserve">  • CIS Microsoft Azure Storage Services Benchmark v2.0.0 (published 2026-06-30): 64 recommendations</t>
  </si>
  <si>
    <t xml:space="preserve">  Total: 339 recommendations</t>
  </si>
  <si>
    <t xml:space="preserve">Sheets</t>
  </si>
  <si>
    <t xml:space="preserve">  • All Controls: every recommendation, sorted by Service Category &gt; Azure Service &gt; Benchmark &gt; CIS ID. Filter-ready table.</t>
  </si>
  <si>
    <t xml:space="preserve">  • Service Summary: control counts per service (live COUNTIFS formulas over All Controls).</t>
  </si>
  <si>
    <t xml:space="preserve">  • Foundations / Compute / Database / Storage: one sheet per benchmark, in CIS order.</t>
  </si>
  <si>
    <t xml:space="preserve">  • Overlaps: controls that appear in both Foundations and a service benchmark, plus repeats within the Storage benchmark.</t>
  </si>
  <si>
    <t xml:space="preserve">Columns</t>
  </si>
  <si>
    <t xml:space="preserve">  • Profile: CIS Level 1 is the practical baseline with low impact; Level 2 is defense in depth and may affect function or cost.</t>
  </si>
  <si>
    <t xml:space="preserve">  • Assessment: Automated means the check can be scripted (CLI/PowerShell/Azure Policy); Manual means it needs human review.</t>
  </si>
  <si>
    <t xml:space="preserve">  • Overlap Flag: Duplicate = same requirement; Near-duplicate = same intent, slightly different wording or scope; Related = complementary.</t>
  </si>
  <si>
    <t xml:space="preserve">Verification performed</t>
  </si>
  <si>
    <t xml:space="preserve">  • Each recommendation title was extracted from the Table of Contents and matched word-for-word against its heading in the body: 339 of 339 matched.</t>
  </si>
  <si>
    <t xml:space="preserve">  • Every recommendation was confirmed to be present in the benchmark's "Appendix: Summary Table".</t>
  </si>
  <si>
    <t xml:space="preserve">  • The recommendation count per benchmark matches the number of "Profile Applicability" blocks in the body.</t>
  </si>
  <si>
    <t xml:space="preserve">  • Profile level and Automated/Manual status come from each recommendation's own heading and Profile Applicability block.</t>
  </si>
  <si>
    <t xml:space="preserve">  • Overlaps were found by text similarity and then reviewed by hand.</t>
  </si>
  <si>
    <t xml:space="preserve">Notes</t>
  </si>
  <si>
    <t xml:space="preserve">  • "Azure Service" is a normalized name assigned for this register; the CIS section path is kept in "Section / Sub-service".</t>
  </si>
  <si>
    <t xml:space="preserve">  • The Database benchmark marks Azure Cache for Redis as "Retiring".</t>
  </si>
  <si>
    <t xml:space="preserve">  • Sections the benchmarks list as "(Reference)" or with no recommendations (e.g., Archive Storage, Data Lake Storage, Disk Storage, Data Share, Confidential Ledger) are not included.</t>
  </si>
  <si>
    <t xml:space="preserve">  • Recommendation titles are reproduced as written. See the source PDFs for audit and remediation steps.</t>
  </si>
  <si>
    <t xml:space="preserve">#</t>
  </si>
  <si>
    <t xml:space="preserve">Service Category</t>
  </si>
  <si>
    <t xml:space="preserve">Azure Service</t>
  </si>
  <si>
    <t xml:space="preserve">Section / Sub-service</t>
  </si>
  <si>
    <t xml:space="preserve">CIS ID</t>
  </si>
  <si>
    <t xml:space="preserve">Control (CIS Recommendation)</t>
  </si>
  <si>
    <t xml:space="preserve">Profile</t>
  </si>
  <si>
    <t xml:space="preserve">Assessment</t>
  </si>
  <si>
    <t xml:space="preserve">CIS Benchmark (Version)</t>
  </si>
  <si>
    <t xml:space="preserve">Overlap Flag</t>
  </si>
  <si>
    <t xml:space="preserve">Overlap Reference</t>
  </si>
  <si>
    <t xml:space="preserve">Analytics</t>
  </si>
  <si>
    <t xml:space="preserve">Azure Databricks</t>
  </si>
  <si>
    <t xml:space="preserve">Analytics Services &gt; Azure Databricks</t>
  </si>
  <si>
    <t xml:space="preserve">2.1.1</t>
  </si>
  <si>
    <t xml:space="preserve">Ensure that Azure Databricks is deployed in a customer-managed virtual network (VNet)</t>
  </si>
  <si>
    <t xml:space="preserve">Level 1</t>
  </si>
  <si>
    <t xml:space="preserve">Automated</t>
  </si>
  <si>
    <t xml:space="preserve">CIS Microsoft Azure Foundations Benchmark v6.0.0</t>
  </si>
  <si>
    <t xml:space="preserve">None</t>
  </si>
  <si>
    <t xml:space="preserve">2.1.2</t>
  </si>
  <si>
    <t xml:space="preserve">Ensure that Network Security Groups are Configured for Databricks Subnets</t>
  </si>
  <si>
    <t xml:space="preserve">2.1.3</t>
  </si>
  <si>
    <t xml:space="preserve">Ensure that Traffic is Encrypted Between Cluster Worker Nodes</t>
  </si>
  <si>
    <t xml:space="preserve">Level 2</t>
  </si>
  <si>
    <t xml:space="preserve">Manual</t>
  </si>
  <si>
    <t xml:space="preserve">2.1.4</t>
  </si>
  <si>
    <t xml:space="preserve">Ensure that Users and Groups are Synced from Microsoft Entra ID to Azure Databricks</t>
  </si>
  <si>
    <t xml:space="preserve">2.1.5</t>
  </si>
  <si>
    <t xml:space="preserve">Ensure that Unity Catalog is Configured for Azure Databricks</t>
  </si>
  <si>
    <t xml:space="preserve">2.1.6</t>
  </si>
  <si>
    <t xml:space="preserve">Ensure that Usage is Restricted and Expiry is Enforced for Databricks Personal Access Tokens</t>
  </si>
  <si>
    <t xml:space="preserve">2.1.7</t>
  </si>
  <si>
    <t xml:space="preserve">Ensure that Diagnostic Log Delivery is Configured for Azure Databricks</t>
  </si>
  <si>
    <t xml:space="preserve">2.1.8</t>
  </si>
  <si>
    <t xml:space="preserve">Ensure Critical Data in Azure Databricks is Encrypted with Customer-managed Keys (CMK)</t>
  </si>
  <si>
    <t xml:space="preserve">2.1.9</t>
  </si>
  <si>
    <t xml:space="preserve">Ensure 'No Public IP' is Set to 'Enabled'</t>
  </si>
  <si>
    <t xml:space="preserve">2.1.10</t>
  </si>
  <si>
    <t xml:space="preserve">Ensure 'Allow Public Network Access' is set to 'Disabled'</t>
  </si>
  <si>
    <t xml:space="preserve">2.1.11</t>
  </si>
  <si>
    <t xml:space="preserve">Ensure Private Endpoints are used to access Azure Databricks workspaces</t>
  </si>
  <si>
    <t xml:space="preserve">2.1.12</t>
  </si>
  <si>
    <t xml:space="preserve">Ensure Azure Databricks groups are reviewed periodically</t>
  </si>
  <si>
    <t xml:space="preserve">Compute</t>
  </si>
  <si>
    <t xml:space="preserve">Azure App Service</t>
  </si>
  <si>
    <t xml:space="preserve">App Service &gt; App Service Apps</t>
  </si>
  <si>
    <t xml:space="preserve">Ensure 'Java version' is currently supported (if in use)</t>
  </si>
  <si>
    <t xml:space="preserve">CIS Microsoft Azure Compute Services Benchmark v2.0.0</t>
  </si>
  <si>
    <t xml:space="preserve">Ensure 'Python version' is currently supported (if in use)</t>
  </si>
  <si>
    <t xml:space="preserve">Ensure 'PHP version' is currently supported (if in use)</t>
  </si>
  <si>
    <t xml:space="preserve">Ensure 'Basic Authentication Publishing Credentials' are 'Disabled'</t>
  </si>
  <si>
    <t xml:space="preserve">Ensure 'FTP State' is set to 'FTPS only' or 'Disabled'</t>
  </si>
  <si>
    <t xml:space="preserve">Ensure 'HTTP version' is set to '2.0' (if in use)</t>
  </si>
  <si>
    <t xml:space="preserve">Ensure 'HTTPS Only' is set to 'On'</t>
  </si>
  <si>
    <t xml:space="preserve">Ensure 'Minimum Inbound TLS Version' is set to '1.2' or higher</t>
  </si>
  <si>
    <t xml:space="preserve">Ensure end-to-end TLS encryption is enabled</t>
  </si>
  <si>
    <t xml:space="preserve">Ensure 'Remote debugging' is set to 'Off'</t>
  </si>
  <si>
    <t xml:space="preserve">Ensure incoming client certificates are enabled and required (if in use)</t>
  </si>
  <si>
    <t xml:space="preserve">Ensure 'App Service authentication' is set to 'Enabled'</t>
  </si>
  <si>
    <t xml:space="preserve">2.1.13</t>
  </si>
  <si>
    <t xml:space="preserve">Ensure managed identities are configured</t>
  </si>
  <si>
    <t xml:space="preserve">2.1.14</t>
  </si>
  <si>
    <t xml:space="preserve">Ensure public network access is disabled</t>
  </si>
  <si>
    <t xml:space="preserve">2.1.15</t>
  </si>
  <si>
    <t xml:space="preserve">Ensure App Service plan SKU supports private endpoints</t>
  </si>
  <si>
    <t xml:space="preserve">2.1.16</t>
  </si>
  <si>
    <t xml:space="preserve">Ensure private endpoints are used to access App Service apps</t>
  </si>
  <si>
    <t xml:space="preserve">2.1.17</t>
  </si>
  <si>
    <t xml:space="preserve">Ensure private endpoints used to access App Service apps use private DNS zones</t>
  </si>
  <si>
    <t xml:space="preserve">2.1.18</t>
  </si>
  <si>
    <t xml:space="preserve">Ensure app is integrated with a virtual network</t>
  </si>
  <si>
    <t xml:space="preserve">2.1.19</t>
  </si>
  <si>
    <t xml:space="preserve">Ensure configuration is routed through the virtual network integration</t>
  </si>
  <si>
    <t xml:space="preserve">2.1.20</t>
  </si>
  <si>
    <t xml:space="preserve">Ensure all traffic is routed through the virtual network</t>
  </si>
  <si>
    <t xml:space="preserve">2.1.21</t>
  </si>
  <si>
    <t xml:space="preserve">Ensure cross-origin resource sharing does not allow all origins</t>
  </si>
  <si>
    <t xml:space="preserve">App Service &gt; App Service Deployment Slots</t>
  </si>
  <si>
    <t xml:space="preserve">2.2.1</t>
  </si>
  <si>
    <t xml:space="preserve">2.2.2</t>
  </si>
  <si>
    <t xml:space="preserve">2.2.3</t>
  </si>
  <si>
    <t xml:space="preserve">2.2.4</t>
  </si>
  <si>
    <t xml:space="preserve">2.2.5</t>
  </si>
  <si>
    <t xml:space="preserve">Ensure 'FTP state' is set to 'FTPS only' or 'Disabled'</t>
  </si>
  <si>
    <t xml:space="preserve">2.2.6</t>
  </si>
  <si>
    <t xml:space="preserve">2.2.7</t>
  </si>
  <si>
    <t xml:space="preserve">2.2.8</t>
  </si>
  <si>
    <t xml:space="preserve">2.2.9</t>
  </si>
  <si>
    <t xml:space="preserve">2.2.10</t>
  </si>
  <si>
    <t xml:space="preserve">2.2.11</t>
  </si>
  <si>
    <t xml:space="preserve">2.2.12</t>
  </si>
  <si>
    <t xml:space="preserve">2.2.13</t>
  </si>
  <si>
    <t xml:space="preserve">2.2.14</t>
  </si>
  <si>
    <t xml:space="preserve">Ensure deployment slot is integrated with a virtual network</t>
  </si>
  <si>
    <t xml:space="preserve">2.2.15</t>
  </si>
  <si>
    <t xml:space="preserve">2.2.16</t>
  </si>
  <si>
    <t xml:space="preserve">2.2.17</t>
  </si>
  <si>
    <t xml:space="preserve">App Service</t>
  </si>
  <si>
    <t xml:space="preserve">2.5</t>
  </si>
  <si>
    <t xml:space="preserve">Ensure Azure Key Vaults are Used to Store Secrets</t>
  </si>
  <si>
    <t xml:space="preserve">2.6</t>
  </si>
  <si>
    <t xml:space="preserve">Ensure App Service Environment is deployed with an internal load balancer</t>
  </si>
  <si>
    <t xml:space="preserve">2.7</t>
  </si>
  <si>
    <t xml:space="preserve">Ensure App Service Environment is provisioned with v3 or higher</t>
  </si>
  <si>
    <t xml:space="preserve">2.8</t>
  </si>
  <si>
    <t xml:space="preserve">Ensure App Service Environment has internal encryption enabled</t>
  </si>
  <si>
    <t xml:space="preserve">2.9</t>
  </si>
  <si>
    <t xml:space="preserve">Ensure App Service Environment has TLS 1.0 and 1.1 disabled</t>
  </si>
  <si>
    <t xml:space="preserve">2.10</t>
  </si>
  <si>
    <t xml:space="preserve">Ensure App Service Environment has TLS cipher suite ordering configured</t>
  </si>
  <si>
    <t xml:space="preserve">Azure Batch</t>
  </si>
  <si>
    <t xml:space="preserve">Batch</t>
  </si>
  <si>
    <t xml:space="preserve">15.1</t>
  </si>
  <si>
    <t xml:space="preserve">Ensure Batch account is set to use customer-managed keys to encrypt data</t>
  </si>
  <si>
    <t xml:space="preserve">15.2</t>
  </si>
  <si>
    <t xml:space="preserve">Ensure Batch pools disk encryption is set enabled</t>
  </si>
  <si>
    <t xml:space="preserve">15.3</t>
  </si>
  <si>
    <t xml:space="preserve">Ensure local authentication methods for accounts are disabled</t>
  </si>
  <si>
    <t xml:space="preserve">15.4</t>
  </si>
  <si>
    <t xml:space="preserve">Ensure Private endpoints are considered for Batch accounts</t>
  </si>
  <si>
    <t xml:space="preserve">15.5</t>
  </si>
  <si>
    <t xml:space="preserve">Ensure public network access is disabled for Batch accounts</t>
  </si>
  <si>
    <t xml:space="preserve">15.6</t>
  </si>
  <si>
    <t xml:space="preserve">Ensure private DNS zones for private endpoints that connect to Batch accounts are configured.</t>
  </si>
  <si>
    <t xml:space="preserve">15.7</t>
  </si>
  <si>
    <t xml:space="preserve">Ensure Diagnostics settings logs for Batch accounts are enabled</t>
  </si>
  <si>
    <t xml:space="preserve">Azure Container Instances</t>
  </si>
  <si>
    <t xml:space="preserve">3.1</t>
  </si>
  <si>
    <t xml:space="preserve">Ensure Private Virtual Networks are used for Container Instances</t>
  </si>
  <si>
    <t xml:space="preserve">3.2</t>
  </si>
  <si>
    <t xml:space="preserve">Ensure a Managed Identity is used for interactions with other Azure services</t>
  </si>
  <si>
    <t xml:space="preserve">3.3</t>
  </si>
  <si>
    <t xml:space="preserve">Ensure the principle of least privilege is used when assigning roles to a Managed Identity</t>
  </si>
  <si>
    <t xml:space="preserve">Azure CycleCloud</t>
  </si>
  <si>
    <t xml:space="preserve">4.1</t>
  </si>
  <si>
    <t xml:space="preserve">Ensure SSL is configured for CycleCloud</t>
  </si>
  <si>
    <t xml:space="preserve">Azure Functions</t>
  </si>
  <si>
    <t xml:space="preserve">App Service &gt; Function Apps</t>
  </si>
  <si>
    <t xml:space="preserve">2.3.1</t>
  </si>
  <si>
    <t xml:space="preserve">2.3.2</t>
  </si>
  <si>
    <t xml:space="preserve">2.3.3</t>
  </si>
  <si>
    <t xml:space="preserve">2.3.4</t>
  </si>
  <si>
    <t xml:space="preserve">2.3.5</t>
  </si>
  <si>
    <t xml:space="preserve">2.3.6</t>
  </si>
  <si>
    <t xml:space="preserve">2.3.7</t>
  </si>
  <si>
    <t xml:space="preserve">2.3.8</t>
  </si>
  <si>
    <t xml:space="preserve">2.3.9</t>
  </si>
  <si>
    <t xml:space="preserve">2.3.10</t>
  </si>
  <si>
    <t xml:space="preserve">2.3.11</t>
  </si>
  <si>
    <t xml:space="preserve">2.3.12</t>
  </si>
  <si>
    <t xml:space="preserve">2.3.13</t>
  </si>
  <si>
    <t xml:space="preserve">2.3.14</t>
  </si>
  <si>
    <t xml:space="preserve">Ensure function app is integrated with a virtual network</t>
  </si>
  <si>
    <t xml:space="preserve">2.3.15</t>
  </si>
  <si>
    <t xml:space="preserve">2.3.16</t>
  </si>
  <si>
    <t xml:space="preserve">2.3.17</t>
  </si>
  <si>
    <t xml:space="preserve">App Service &gt; Functions Deployment Slots</t>
  </si>
  <si>
    <t xml:space="preserve">2.4.1</t>
  </si>
  <si>
    <t xml:space="preserve">2.4.2</t>
  </si>
  <si>
    <t xml:space="preserve">2.4.3</t>
  </si>
  <si>
    <t xml:space="preserve">2.4.4</t>
  </si>
  <si>
    <t xml:space="preserve">2.4.5</t>
  </si>
  <si>
    <t xml:space="preserve">2.4.6</t>
  </si>
  <si>
    <t xml:space="preserve">2.4.7</t>
  </si>
  <si>
    <t xml:space="preserve">2.4.8</t>
  </si>
  <si>
    <t xml:space="preserve">2.4.9</t>
  </si>
  <si>
    <t xml:space="preserve">2.4.10</t>
  </si>
  <si>
    <t xml:space="preserve">2.4.11</t>
  </si>
  <si>
    <t xml:space="preserve">2.4.12</t>
  </si>
  <si>
    <t xml:space="preserve">2.4.13</t>
  </si>
  <si>
    <t xml:space="preserve">2.4.14</t>
  </si>
  <si>
    <t xml:space="preserve">2.4.15</t>
  </si>
  <si>
    <t xml:space="preserve">2.4.16</t>
  </si>
  <si>
    <t xml:space="preserve">Azure Virtual Machines</t>
  </si>
  <si>
    <t xml:space="preserve">Compute Services &gt; Virtual Machines</t>
  </si>
  <si>
    <t xml:space="preserve">3.1.1</t>
  </si>
  <si>
    <t xml:space="preserve">Ensure only MFA Enabled Identities can Access Privileged Virtual Machine</t>
  </si>
  <si>
    <t xml:space="preserve">Duplicate</t>
  </si>
  <si>
    <t xml:space="preserve">Compute v2.0.0 20.9</t>
  </si>
  <si>
    <t xml:space="preserve">Virtual Machines</t>
  </si>
  <si>
    <t xml:space="preserve">20.1</t>
  </si>
  <si>
    <t xml:space="preserve">Ensure Virtual Machines are utilizing Managed Disks</t>
  </si>
  <si>
    <t xml:space="preserve">20.2</t>
  </si>
  <si>
    <t xml:space="preserve">Ensure that 'OS and Data' disks are encrypted with Customer Managed Key (CMK)</t>
  </si>
  <si>
    <t xml:space="preserve">20.3</t>
  </si>
  <si>
    <t xml:space="preserve">Ensure that 'Unattached disks' are encrypted with 'Customer Managed Key' (CMK)</t>
  </si>
  <si>
    <t xml:space="preserve">20.4</t>
  </si>
  <si>
    <t xml:space="preserve">Ensure that 'Disk Network Access' is NOT set to 'Enable public access from all networks'</t>
  </si>
  <si>
    <t xml:space="preserve">20.5</t>
  </si>
  <si>
    <t xml:space="preserve">Ensure that 'Enable Data Access Authentication Mode' is 'Checked'</t>
  </si>
  <si>
    <t xml:space="preserve">20.6</t>
  </si>
  <si>
    <t xml:space="preserve">Ensure that Only Approved Extensions Are Installed</t>
  </si>
  <si>
    <t xml:space="preserve">20.7</t>
  </si>
  <si>
    <t xml:space="preserve">Ensure that Endpoint Protection for all Virtual Machines is installed</t>
  </si>
  <si>
    <t xml:space="preserve">Related</t>
  </si>
  <si>
    <t xml:space="preserve">Foundations v6.0.0 8.1.3.3</t>
  </si>
  <si>
    <t xml:space="preserve">20.8</t>
  </si>
  <si>
    <t xml:space="preserve">[Legacy] Ensure that VHDs are Encrypted</t>
  </si>
  <si>
    <t xml:space="preserve">20.9</t>
  </si>
  <si>
    <t xml:space="preserve">Ensure only MFA enabled identities can access privileged Virtual Machine</t>
  </si>
  <si>
    <t xml:space="preserve">Foundations v6.0.0 3.1.1</t>
  </si>
  <si>
    <t xml:space="preserve">20.10</t>
  </si>
  <si>
    <t xml:space="preserve">Ensure Trusted Launch is enabled on Virtual Machines</t>
  </si>
  <si>
    <t xml:space="preserve">20.11</t>
  </si>
  <si>
    <t xml:space="preserve">Ensure that encryption at host is enabled</t>
  </si>
  <si>
    <t xml:space="preserve">Database</t>
  </si>
  <si>
    <t xml:space="preserve">Azure Cache for Redis</t>
  </si>
  <si>
    <t xml:space="preserve">Azure Cache for Redis (Retiring)</t>
  </si>
  <si>
    <t xml:space="preserve">2.1</t>
  </si>
  <si>
    <t xml:space="preserve">Ensure 'Microsoft Entra Authentication' is 'Enabled'</t>
  </si>
  <si>
    <t xml:space="preserve">CIS Microsoft Azure Database Services Benchmark v2.0.0</t>
  </si>
  <si>
    <t xml:space="preserve">2.2</t>
  </si>
  <si>
    <t xml:space="preserve">Ensure that 'Allow access only via SSL' is set to 'Yes'</t>
  </si>
  <si>
    <t xml:space="preserve">2.3</t>
  </si>
  <si>
    <t xml:space="preserve">Ensure that 'Minimum TLS version' is set to TLS v1.2 (or higher)</t>
  </si>
  <si>
    <t xml:space="preserve">2.4</t>
  </si>
  <si>
    <t xml:space="preserve">Ensure that 'Access Policies' are Implemented and Reviewed Periodically</t>
  </si>
  <si>
    <t xml:space="preserve">Ensure that 'System Assigned Managed Identity' is set to 'On'</t>
  </si>
  <si>
    <t xml:space="preserve">Ensure that 'Public Network Access' is 'Disabled'</t>
  </si>
  <si>
    <t xml:space="preserve">Ensure Azure Cache for Redis is Using a Private Link</t>
  </si>
  <si>
    <t xml:space="preserve">Ensure that Azure Cache for Redis is Using Customer-Managed Keys</t>
  </si>
  <si>
    <t xml:space="preserve">Ensure 'Access Keys Authentication' is set to 'Disabled'</t>
  </si>
  <si>
    <t xml:space="preserve">Ensure 'Update Channel' is set to 'Stable'</t>
  </si>
  <si>
    <t xml:space="preserve">Azure Cosmos DB</t>
  </si>
  <si>
    <t xml:space="preserve">Ensure That 'Firewalls &amp; Networks' Is Limited to Use Selected Networks Instead of All Networks</t>
  </si>
  <si>
    <t xml:space="preserve">Ensure that Cosmos DB uses Private Endpoints where possible</t>
  </si>
  <si>
    <t xml:space="preserve">Ensure that 'disableLocalAuth' is set to 'true'</t>
  </si>
  <si>
    <t xml:space="preserve">3.4</t>
  </si>
  <si>
    <t xml:space="preserve">Ensure `Public Network Access` is `Disabled`</t>
  </si>
  <si>
    <t xml:space="preserve">3.5</t>
  </si>
  <si>
    <t xml:space="preserve">Ensure critical data is encrypted with customer-managed keys (CMK)</t>
  </si>
  <si>
    <t xml:space="preserve">3.6</t>
  </si>
  <si>
    <t xml:space="preserve">Ensure the firewall does not allow all network traffic</t>
  </si>
  <si>
    <t xml:space="preserve">3.7</t>
  </si>
  <si>
    <t xml:space="preserve">Ensure that Cosmos DB Logging is Enabled</t>
  </si>
  <si>
    <t xml:space="preserve">Azure Data Factory</t>
  </si>
  <si>
    <t xml:space="preserve">Ensure Data Factory is encrypted using Customer Managed Keys</t>
  </si>
  <si>
    <t xml:space="preserve">4.2</t>
  </si>
  <si>
    <t xml:space="preserve">Ensure Data Factory is using Managed Identities</t>
  </si>
  <si>
    <t xml:space="preserve">4.3</t>
  </si>
  <si>
    <t xml:space="preserve">Ensure that Data Factory is using Azure Key Vault to store Credentials and Secrets</t>
  </si>
  <si>
    <t xml:space="preserve">4.4</t>
  </si>
  <si>
    <t xml:space="preserve">Ensure that Data Factory is using RBAC to manage privilege assignment</t>
  </si>
  <si>
    <t xml:space="preserve">Azure Database for MySQL</t>
  </si>
  <si>
    <t xml:space="preserve">5.1</t>
  </si>
  <si>
    <t xml:space="preserve">Ensure Azure Database for MySQL uses Customer Managed Keys for Encryption at Rest</t>
  </si>
  <si>
    <t xml:space="preserve">5.2</t>
  </si>
  <si>
    <t xml:space="preserve">Ensure Azure Database for MySQL uses only Microsoft Entra Authentication</t>
  </si>
  <si>
    <t xml:space="preserve">5.3</t>
  </si>
  <si>
    <t xml:space="preserve">Ensure `Public Network Access` is `Disabled` for Azure Database for MySQL</t>
  </si>
  <si>
    <t xml:space="preserve">5.4</t>
  </si>
  <si>
    <t xml:space="preserve">Ensure Private Endpoints Are Used for Azure MySQL Databases</t>
  </si>
  <si>
    <t xml:space="preserve">5.5</t>
  </si>
  <si>
    <t xml:space="preserve">Ensure server parameter 'audit_log_enabled' is set to 'ON' for MySQL flexible server</t>
  </si>
  <si>
    <t xml:space="preserve">5.6</t>
  </si>
  <si>
    <t xml:space="preserve">Ensure server parameter 'audit_log_events' has 'CONNECTION' set for MySQL flexible server</t>
  </si>
  <si>
    <t xml:space="preserve">5.7</t>
  </si>
  <si>
    <t xml:space="preserve">Ensure server parameter 'error_server_log_file' is Enabled for MySQL Database Server</t>
  </si>
  <si>
    <t xml:space="preserve">5.8</t>
  </si>
  <si>
    <t xml:space="preserve">Ensure server parameter 'require_secure_transport' is set to 'ON' for MySQL Server</t>
  </si>
  <si>
    <t xml:space="preserve">5.9</t>
  </si>
  <si>
    <t xml:space="preserve">Ensure server parameter 'tls_version' is set to 'TLSv1.2' (or higher) for MySQL flexible server</t>
  </si>
  <si>
    <t xml:space="preserve">Azure Database for PostgreSQL</t>
  </si>
  <si>
    <t xml:space="preserve">6.1</t>
  </si>
  <si>
    <t xml:space="preserve">Ensure Azure Database for PostgreSQL uses Customer Managed Keys for Encryption at Rest</t>
  </si>
  <si>
    <t xml:space="preserve">6.2</t>
  </si>
  <si>
    <t xml:space="preserve">Ensure Azure Database for PostgreSQL uses only Microsoft Entra Authentication</t>
  </si>
  <si>
    <t xml:space="preserve">6.3</t>
  </si>
  <si>
    <t xml:space="preserve">Ensure `Public Network Access` is `Disabled` for Azure Database for PostgreSQL</t>
  </si>
  <si>
    <t xml:space="preserve">6.4</t>
  </si>
  <si>
    <t xml:space="preserve">Ensure Private Endpoints Are Used for Azure Database for PostgreSQL</t>
  </si>
  <si>
    <t xml:space="preserve">6.5</t>
  </si>
  <si>
    <t xml:space="preserve">Ensure server parameter 'connection_throttle.enable' is set to 'ON' for PostgreSQL server</t>
  </si>
  <si>
    <t xml:space="preserve">6.6</t>
  </si>
  <si>
    <t xml:space="preserve">Ensure server parameter 'logfiles.retention_days' is greater than 3 days for PostgreSQL server</t>
  </si>
  <si>
    <t xml:space="preserve">6.7</t>
  </si>
  <si>
    <t xml:space="preserve">Ensure server parameter 'log_checkpoints' is set to 'ON' for PostgreSQL server</t>
  </si>
  <si>
    <t xml:space="preserve">6.8</t>
  </si>
  <si>
    <t xml:space="preserve">Ensure server parameter 'log_disconnections' is set to 'ON' for PostgreSQL servers</t>
  </si>
  <si>
    <t xml:space="preserve">6.9</t>
  </si>
  <si>
    <t xml:space="preserve">Ensure server parameter 'log_connections' is set to 'ON' for PostgreSQL servers</t>
  </si>
  <si>
    <t xml:space="preserve">6.10</t>
  </si>
  <si>
    <t xml:space="preserve">Ensure server parameter 'require_secure_transport' is set to 'ON' for PostgreSQL server</t>
  </si>
  <si>
    <t xml:space="preserve">6.11</t>
  </si>
  <si>
    <t xml:space="preserve">Ensure server parameter 'ssl_min_protocol_version' is set to 'TLSv1.2' or higher for PostgreSQL server</t>
  </si>
  <si>
    <t xml:space="preserve">Azure SQL Database</t>
  </si>
  <si>
    <t xml:space="preserve">9.1</t>
  </si>
  <si>
    <t xml:space="preserve">Ensure that 'Auditing' is set to 'On'</t>
  </si>
  <si>
    <t xml:space="preserve">9.2</t>
  </si>
  <si>
    <t xml:space="preserve">Ensure that 'Public Network Access' is set to 'Disable'</t>
  </si>
  <si>
    <t xml:space="preserve">9.3</t>
  </si>
  <si>
    <t xml:space="preserve">Ensure no Azure SQL Database firewall rule is overly permissive</t>
  </si>
  <si>
    <t xml:space="preserve">9.4</t>
  </si>
  <si>
    <t xml:space="preserve">Ensure SQL server's Transparent Data Encryption (TDE) protector is encrypted with Customer-managed key</t>
  </si>
  <si>
    <t xml:space="preserve">9.5</t>
  </si>
  <si>
    <t xml:space="preserve">Ensure that Microsoft Entra authentication is Configured for SQL Servers</t>
  </si>
  <si>
    <t xml:space="preserve">9.6</t>
  </si>
  <si>
    <t xml:space="preserve">Ensure that 'Data encryption' is set to 'On' on a SQL Database</t>
  </si>
  <si>
    <t xml:space="preserve">9.7</t>
  </si>
  <si>
    <t xml:space="preserve">Ensure that 'Auditing' Retention is 'greater than 90 days'</t>
  </si>
  <si>
    <t xml:space="preserve">9.8</t>
  </si>
  <si>
    <t xml:space="preserve">Ensure 'Minimum TLS Version' is set to 'TLS 1.2' or higher</t>
  </si>
  <si>
    <t xml:space="preserve">Identity</t>
  </si>
  <si>
    <t xml:space="preserve">Microsoft Entra ID / Azure RBAC</t>
  </si>
  <si>
    <t xml:space="preserve">Identity Services &gt; Security Defaults (Per-User MFA)</t>
  </si>
  <si>
    <t xml:space="preserve">5.1.1</t>
  </si>
  <si>
    <t xml:space="preserve">Ensure that 'security defaults' is Enabled in Microsoft Entra ID</t>
  </si>
  <si>
    <t xml:space="preserve">5.1.2</t>
  </si>
  <si>
    <t xml:space="preserve">Ensure that 'Require Multifactor Authentication to register or join devices with Microsoft Entra' is set to 'Yes'</t>
  </si>
  <si>
    <t xml:space="preserve">5.1.3</t>
  </si>
  <si>
    <t xml:space="preserve">Ensure that 'multifactor authentication' is 'enabled' For All Users</t>
  </si>
  <si>
    <t xml:space="preserve">5.1.4</t>
  </si>
  <si>
    <t xml:space="preserve">Ensure that 'Allow users to remember multifactor authentication on devices they trust' is Disabled</t>
  </si>
  <si>
    <t xml:space="preserve">Identity Services &gt; Periodic Identity Reviews</t>
  </si>
  <si>
    <t xml:space="preserve">5.3.1</t>
  </si>
  <si>
    <t xml:space="preserve">Ensure that Azure Admin Accounts Are Not Used for Daily Operations</t>
  </si>
  <si>
    <t xml:space="preserve">5.3.2</t>
  </si>
  <si>
    <t xml:space="preserve">Ensure that Guest Users are Reviewed on a Regular Basis</t>
  </si>
  <si>
    <t xml:space="preserve">5.3.3</t>
  </si>
  <si>
    <t xml:space="preserve">Ensure That Use of the 'User Access Administrator' Role is Restricted</t>
  </si>
  <si>
    <t xml:space="preserve">5.3.4</t>
  </si>
  <si>
    <t xml:space="preserve">Ensure that All 'Privileged' Role Assignments are Periodically Reviewed</t>
  </si>
  <si>
    <t xml:space="preserve">5.3.5</t>
  </si>
  <si>
    <t xml:space="preserve">Ensure Disabled User Accounts do not Have Read, Write, or Owner Permissions</t>
  </si>
  <si>
    <t xml:space="preserve">5.3.6</t>
  </si>
  <si>
    <t xml:space="preserve">Ensure 'Tenant Creator' Role Assignments are Periodically Reviewed</t>
  </si>
  <si>
    <t xml:space="preserve">5.3.7</t>
  </si>
  <si>
    <t xml:space="preserve">Ensure All Non-privileged Role Assignments are Periodically Reviewed</t>
  </si>
  <si>
    <t xml:space="preserve">Identity Services</t>
  </si>
  <si>
    <t xml:space="preserve">Ensure that No Custom Subscription Administrator Roles Exist</t>
  </si>
  <si>
    <t xml:space="preserve">Ensure that a Custom Role is Assigned Permissions for Administering Resource Locks</t>
  </si>
  <si>
    <t xml:space="preserve">Ensure that 'Subscription leaving Microsoft Entra tenant' and 'Subscription entering Microsoft Entra tenant' is set to 'Permit no one'</t>
  </si>
  <si>
    <t xml:space="preserve">Ensure there are between 2 and 3 Subscription Owners</t>
  </si>
  <si>
    <t xml:space="preserve">Management &amp; Governance</t>
  </si>
  <si>
    <t xml:space="preserve">Azure Monitor (Logging &amp; Alerting)</t>
  </si>
  <si>
    <t xml:space="preserve">Management and Governance Services &gt; Logging and Monitoring &gt; Configuring Diagnostic Settings</t>
  </si>
  <si>
    <t xml:space="preserve">6.1.1.1</t>
  </si>
  <si>
    <t xml:space="preserve">Ensure that a 'Diagnostic Setting' Exists for Subscription Activity Logs</t>
  </si>
  <si>
    <t xml:space="preserve">6.1.1.2</t>
  </si>
  <si>
    <t xml:space="preserve">Ensure Diagnostic Setting Captures Appropriate Categories</t>
  </si>
  <si>
    <t xml:space="preserve">6.1.1.3</t>
  </si>
  <si>
    <t xml:space="preserve">Ensure the Storage Account Containing the Container with Activity Logs is Encrypted with Customer-managed Key (CMK)</t>
  </si>
  <si>
    <t xml:space="preserve">Storage v2.0.0 16.1.8</t>
  </si>
  <si>
    <t xml:space="preserve">6.1.1.4</t>
  </si>
  <si>
    <t xml:space="preserve">Ensure that Logging for Azure Key Vault is 'Enabled'</t>
  </si>
  <si>
    <t xml:space="preserve">6.1.1.5</t>
  </si>
  <si>
    <t xml:space="preserve">Ensure that Network Security Group Flow Logs are Captured and Sent to Log Analytics</t>
  </si>
  <si>
    <t xml:space="preserve">6.1.1.6</t>
  </si>
  <si>
    <t xml:space="preserve">Ensure that Virtual Network Flow Logs are Captured and Sent to Log Analytics</t>
  </si>
  <si>
    <t xml:space="preserve">6.1.1.7</t>
  </si>
  <si>
    <t xml:space="preserve">Ensure that a Microsoft Entra Diagnostic Setting Exists to Send Microsoft Graph Activity Logs to an Appropriate Destination</t>
  </si>
  <si>
    <t xml:space="preserve">6.1.1.8</t>
  </si>
  <si>
    <t xml:space="preserve">Ensure that a Microsoft Entra Diagnostic Setting Exists to Send Microsoft Entra Activity Logs to an Appropriate Destination</t>
  </si>
  <si>
    <t xml:space="preserve">6.1.1.9</t>
  </si>
  <si>
    <t xml:space="preserve">Ensure that Intune Logs are Captured and Sent to Log Analytics</t>
  </si>
  <si>
    <t xml:space="preserve">Management and Governance Services &gt; Logging and Monitoring &gt; Monitoring Using Activity Log Alerts</t>
  </si>
  <si>
    <t xml:space="preserve">6.1.2.1</t>
  </si>
  <si>
    <t xml:space="preserve">Ensure that Activity Log Alert Exists for Create Policy Assignment</t>
  </si>
  <si>
    <t xml:space="preserve">6.1.2.2</t>
  </si>
  <si>
    <t xml:space="preserve">Ensure that Activity Log Alert exists for Delete Policy Assignment</t>
  </si>
  <si>
    <t xml:space="preserve">6.1.2.3</t>
  </si>
  <si>
    <t xml:space="preserve">Ensure that Activity Log Alert Exists for Create or Update Network Security Group</t>
  </si>
  <si>
    <t xml:space="preserve">6.1.2.4</t>
  </si>
  <si>
    <t xml:space="preserve">Ensure that Activity Log Alert Exists for Delete Network Security Group</t>
  </si>
  <si>
    <t xml:space="preserve">6.1.2.5</t>
  </si>
  <si>
    <t xml:space="preserve">Ensure that Activity Log Alert Exists for Create or Update Security Solution</t>
  </si>
  <si>
    <t xml:space="preserve">6.1.2.6</t>
  </si>
  <si>
    <t xml:space="preserve">Ensure that Activity Log Alert Exists for Delete Security Solution</t>
  </si>
  <si>
    <t xml:space="preserve">6.1.2.7</t>
  </si>
  <si>
    <t xml:space="preserve">Ensure that Activity Log Alert Exists for Create or Update SQL Server Firewall Rule</t>
  </si>
  <si>
    <t xml:space="preserve">6.1.2.8</t>
  </si>
  <si>
    <t xml:space="preserve">Ensure that Activity Log Alert Exists for Delete SQL Server Firewall Rule</t>
  </si>
  <si>
    <t xml:space="preserve">6.1.2.9</t>
  </si>
  <si>
    <t xml:space="preserve">Ensure that Activity Log Alert Exists for Create or Update Public IP Address rule</t>
  </si>
  <si>
    <t xml:space="preserve">6.1.2.10</t>
  </si>
  <si>
    <t xml:space="preserve">Ensure that Activity Log Alert Exists for Delete Public IP Address rule</t>
  </si>
  <si>
    <t xml:space="preserve">6.1.2.11</t>
  </si>
  <si>
    <t xml:space="preserve">Ensure that an Activity Log Alert Exists for Service Health</t>
  </si>
  <si>
    <t xml:space="preserve">Management and Governance Services &gt; Logging and Monitoring &gt; Configuring Application Insights</t>
  </si>
  <si>
    <t xml:space="preserve">6.1.3.1</t>
  </si>
  <si>
    <t xml:space="preserve">Ensure Application Insights are Configured</t>
  </si>
  <si>
    <t xml:space="preserve">Management and Governance Services &gt; Logging and Monitoring</t>
  </si>
  <si>
    <t xml:space="preserve">6.1.4</t>
  </si>
  <si>
    <t xml:space="preserve">Ensure that Azure Monitor Resource Logging is Enabled for All Services that Support it</t>
  </si>
  <si>
    <t xml:space="preserve">6.1.5</t>
  </si>
  <si>
    <t xml:space="preserve">Ensure Basic, Free, and Consumption SKUs are not used on Production artifacts requiring monitoring and SLA</t>
  </si>
  <si>
    <t xml:space="preserve">Azure Resource Manager (Resource Locks)</t>
  </si>
  <si>
    <t xml:space="preserve">Management and Governance Services</t>
  </si>
  <si>
    <t xml:space="preserve">Ensure that Resource Locks are set for Mission-Critical Azure Resources</t>
  </si>
  <si>
    <t xml:space="preserve">Networking</t>
  </si>
  <si>
    <t xml:space="preserve">Azure Application Gateway / WAF</t>
  </si>
  <si>
    <t xml:space="preserve">Networking Services</t>
  </si>
  <si>
    <t xml:space="preserve">7.10</t>
  </si>
  <si>
    <t xml:space="preserve">Ensure Azure Web Application Firewall (WAF) is Enabled on Azure Application Gateway</t>
  </si>
  <si>
    <t xml:space="preserve">7.12</t>
  </si>
  <si>
    <t xml:space="preserve">Ensure the SSL Policy's 'Min protocol version' is Set to 'TLSv1_2' or Higher on Azure Application Gateway</t>
  </si>
  <si>
    <t xml:space="preserve">7.13</t>
  </si>
  <si>
    <t xml:space="preserve">Ensure 'HTTP2' is Set to 'Enabled' on Azure Application Gateway</t>
  </si>
  <si>
    <t xml:space="preserve">7.14</t>
  </si>
  <si>
    <t xml:space="preserve">Ensure Request Body Inspection is Enabled in Azure Web Application Firewall policy on Azure Application Gateway</t>
  </si>
  <si>
    <t xml:space="preserve">7.15</t>
  </si>
  <si>
    <t xml:space="preserve">Ensure Bot Protection is Enabled in Azure Web Application Firewall Policy on Azure Application Gateway</t>
  </si>
  <si>
    <t xml:space="preserve">Azure DDoS Protection</t>
  </si>
  <si>
    <t xml:space="preserve">Security Services</t>
  </si>
  <si>
    <t xml:space="preserve">8.5</t>
  </si>
  <si>
    <t xml:space="preserve">Ensure Azure DDoS Network Protection is Enabled on Virtual Networks</t>
  </si>
  <si>
    <t xml:space="preserve">Azure Network Security Perimeter</t>
  </si>
  <si>
    <t xml:space="preserve">7.16</t>
  </si>
  <si>
    <t xml:space="preserve">Ensure Azure Network Security Perimeter is Used to Secure Azure Platform-as-a-service Resources</t>
  </si>
  <si>
    <t xml:space="preserve">Azure Network Watcher (Flow Logs)</t>
  </si>
  <si>
    <t xml:space="preserve">7.5</t>
  </si>
  <si>
    <t xml:space="preserve">Ensure that Network Security Group Flow Log Retention Days is Set to Greater than or equal to 90</t>
  </si>
  <si>
    <t xml:space="preserve">7.6</t>
  </si>
  <si>
    <t xml:space="preserve">Ensure that Network Watcher is 'Enabled' for Azure Regions That are in Use</t>
  </si>
  <si>
    <t xml:space="preserve">7.8</t>
  </si>
  <si>
    <t xml:space="preserve">Ensure that Virtual Network Flow Log Retention Days is Set to Greater than or Equal to 90</t>
  </si>
  <si>
    <t xml:space="preserve">Azure Public IP Addresses</t>
  </si>
  <si>
    <t xml:space="preserve">7.7</t>
  </si>
  <si>
    <t xml:space="preserve">Ensure that Public IP Addresses are Evaluated on a Periodic Basis</t>
  </si>
  <si>
    <t xml:space="preserve">Azure VPN Gateway</t>
  </si>
  <si>
    <t xml:space="preserve">7.9</t>
  </si>
  <si>
    <t xml:space="preserve">Ensure 'Authentication type' is Set to 'Azure Active Directory' only for Azure VPN Gateway Point-to-Site Configuration</t>
  </si>
  <si>
    <t xml:space="preserve">Network Security Groups</t>
  </si>
  <si>
    <t xml:space="preserve">7.1</t>
  </si>
  <si>
    <t xml:space="preserve">Ensure that RDP Access from the Internet is Evaluated and Restricted</t>
  </si>
  <si>
    <t xml:space="preserve">7.2</t>
  </si>
  <si>
    <t xml:space="preserve">Ensure that SSH Access from the Internet is Evaluated and Restricted</t>
  </si>
  <si>
    <t xml:space="preserve">7.3</t>
  </si>
  <si>
    <t xml:space="preserve">Ensure that UDP Port Access from the Internet is Evaluated and Restricted</t>
  </si>
  <si>
    <t xml:space="preserve">7.4</t>
  </si>
  <si>
    <t xml:space="preserve">Ensure that HTTP(S) Access from the Internet is Evaluated and Restricted</t>
  </si>
  <si>
    <t xml:space="preserve">7.11</t>
  </si>
  <si>
    <t xml:space="preserve">Ensure Subnets Are Associated with Network Security Groups</t>
  </si>
  <si>
    <t xml:space="preserve">Security</t>
  </si>
  <si>
    <t xml:space="preserve">Azure Bastion</t>
  </si>
  <si>
    <t xml:space="preserve">Security Services &gt; Azure Bastion</t>
  </si>
  <si>
    <t xml:space="preserve">8.4.1</t>
  </si>
  <si>
    <t xml:space="preserve">Ensure an Azure Bastion Host Exists</t>
  </si>
  <si>
    <t xml:space="preserve">Azure Key Vault</t>
  </si>
  <si>
    <t xml:space="preserve">Security Services &gt; Key Vault</t>
  </si>
  <si>
    <t xml:space="preserve">8.3.1</t>
  </si>
  <si>
    <t xml:space="preserve">Ensure that the Expiration Date is Set for all Keys in Key Vaults using RBAC</t>
  </si>
  <si>
    <t xml:space="preserve">8.3.2</t>
  </si>
  <si>
    <t xml:space="preserve">Ensure that the Expiration Date is set for All Keys in Key Vaults using access policies (legacy)</t>
  </si>
  <si>
    <t xml:space="preserve">8.3.3</t>
  </si>
  <si>
    <t xml:space="preserve">Ensure that the Expiration Date is set for All Secrets in Key Vaults using RBAC</t>
  </si>
  <si>
    <t xml:space="preserve">8.3.4</t>
  </si>
  <si>
    <t xml:space="preserve">Ensure that the Expiration Date is set for All Secrets in Key Vaults using access policies (legacy)</t>
  </si>
  <si>
    <t xml:space="preserve">8.3.5</t>
  </si>
  <si>
    <t xml:space="preserve">Ensure 'Purge protection' is Set to 'Enabled'</t>
  </si>
  <si>
    <t xml:space="preserve">8.3.6</t>
  </si>
  <si>
    <t xml:space="preserve">Ensure that Role Based Access Control for Azure Key Vault is Enabled</t>
  </si>
  <si>
    <t xml:space="preserve">8.3.7</t>
  </si>
  <si>
    <t xml:space="preserve">Ensure Public Network Access is Disabled</t>
  </si>
  <si>
    <t xml:space="preserve">8.3.8</t>
  </si>
  <si>
    <t xml:space="preserve">Ensure Private Endpoints are Used to Access Azure Key Vault</t>
  </si>
  <si>
    <t xml:space="preserve">8.3.9</t>
  </si>
  <si>
    <t xml:space="preserve">Ensure Automatic Key Rotation is Enabled within Azure Key Vault</t>
  </si>
  <si>
    <t xml:space="preserve">8.3.10</t>
  </si>
  <si>
    <t xml:space="preserve">Ensure that Azure Key Vault Managed HSM is Used when Required</t>
  </si>
  <si>
    <t xml:space="preserve">8.3.11</t>
  </si>
  <si>
    <t xml:space="preserve">Ensure Certificate 'Validity Period (in months)' is Less Than or Equal to '12'</t>
  </si>
  <si>
    <t xml:space="preserve">Microsoft Defender for Cloud</t>
  </si>
  <si>
    <t xml:space="preserve">Security Services &gt; Microsoft Defender for Cloud &gt; Microsoft Cloud Security Posture Management (CSPM)</t>
  </si>
  <si>
    <t xml:space="preserve">8.1.1.1</t>
  </si>
  <si>
    <t xml:space="preserve">Ensure Microsoft Defender CSPM is Set to 'On'</t>
  </si>
  <si>
    <t xml:space="preserve">Security Services &gt; Microsoft Defender for Cloud &gt; Defender Plan: APIs</t>
  </si>
  <si>
    <t xml:space="preserve">8.1.2.1</t>
  </si>
  <si>
    <t xml:space="preserve">Ensure Microsoft Defender for APIs is Set to 'On'</t>
  </si>
  <si>
    <t xml:space="preserve">Security Services &gt; Microsoft Defender for Cloud &gt; Defender Plan: Servers</t>
  </si>
  <si>
    <t xml:space="preserve">8.1.3.1</t>
  </si>
  <si>
    <t xml:space="preserve">Ensure that Defender for Servers is Set to 'On'</t>
  </si>
  <si>
    <t xml:space="preserve">8.1.3.2</t>
  </si>
  <si>
    <t xml:space="preserve">Ensure that 'Vulnerability assessment for machines' Component Status is set to 'On'</t>
  </si>
  <si>
    <t xml:space="preserve">8.1.3.3</t>
  </si>
  <si>
    <t xml:space="preserve">Ensure that 'Endpoint protection' Component Status is set to 'On'</t>
  </si>
  <si>
    <t xml:space="preserve">Compute v2.0.0 20.7</t>
  </si>
  <si>
    <t xml:space="preserve">8.1.3.4</t>
  </si>
  <si>
    <t xml:space="preserve">Ensure that 'Agentless scanning for machines' Component Status is Set to 'On'</t>
  </si>
  <si>
    <t xml:space="preserve">8.1.3.5</t>
  </si>
  <si>
    <t xml:space="preserve">Ensure that 'File Integrity Monitoring' Component Status is Set to 'On'</t>
  </si>
  <si>
    <t xml:space="preserve">Security Services &gt; Microsoft Defender for Cloud &gt; Defender Plan: Containers</t>
  </si>
  <si>
    <t xml:space="preserve">8.1.4.1</t>
  </si>
  <si>
    <t xml:space="preserve">Ensure That Microsoft Defender for Containers Is Set To 'On'</t>
  </si>
  <si>
    <t xml:space="preserve">Security Services &gt; Microsoft Defender for Cloud &gt; Defender Plan: Storage</t>
  </si>
  <si>
    <t xml:space="preserve">8.1.5.1</t>
  </si>
  <si>
    <t xml:space="preserve">Ensure That Microsoft Defender for Storage Is Set To 'On'</t>
  </si>
  <si>
    <t xml:space="preserve">8.1.5.2</t>
  </si>
  <si>
    <t xml:space="preserve">Ensure Advanced Threat Protection Alerts for Storage Accounts Are Monitored</t>
  </si>
  <si>
    <t xml:space="preserve">Security Services &gt; Microsoft Defender for Cloud &gt; Defender Plan: App Service</t>
  </si>
  <si>
    <t xml:space="preserve">8.1.6.1</t>
  </si>
  <si>
    <t xml:space="preserve">Ensure That Microsoft Defender for App Services Is Set To 'On'</t>
  </si>
  <si>
    <t xml:space="preserve">Security Services &gt; Microsoft Defender for Cloud &gt; Defender Plan: Databases</t>
  </si>
  <si>
    <t xml:space="preserve">8.1.7.1</t>
  </si>
  <si>
    <t xml:space="preserve">Ensure That Microsoft Defender for Azure Cosmos DB Is Set To 'On'</t>
  </si>
  <si>
    <t xml:space="preserve">8.1.7.2</t>
  </si>
  <si>
    <t xml:space="preserve">Ensure That Microsoft Defender for Open-Source Relational Databases Is Set To 'On'</t>
  </si>
  <si>
    <t xml:space="preserve">8.1.7.3</t>
  </si>
  <si>
    <t xml:space="preserve">Ensure That Microsoft Defender for (Managed Instance) Azure SQL Databases Is Set To 'On'</t>
  </si>
  <si>
    <t xml:space="preserve">8.1.7.4</t>
  </si>
  <si>
    <t xml:space="preserve">Ensure That Microsoft Defender for SQL Servers on Machines Is Set To 'On'</t>
  </si>
  <si>
    <t xml:space="preserve">Security Services &gt; Microsoft Defender for Cloud &gt; Defender Plan: Key Vault</t>
  </si>
  <si>
    <t xml:space="preserve">8.1.8.1</t>
  </si>
  <si>
    <t xml:space="preserve">Ensure That Microsoft Defender for Key Vault Is Set To 'On'</t>
  </si>
  <si>
    <t xml:space="preserve">Security Services &gt; Microsoft Defender for Cloud &gt; Defender Plan: Resource Manager</t>
  </si>
  <si>
    <t xml:space="preserve">8.1.9.1</t>
  </si>
  <si>
    <t xml:space="preserve">Ensure That Microsoft Defender for Resource Manager Is Set To 'On'</t>
  </si>
  <si>
    <t xml:space="preserve">Security Services &gt; Microsoft Defender for Cloud</t>
  </si>
  <si>
    <t xml:space="preserve">8.1.10</t>
  </si>
  <si>
    <t xml:space="preserve">Ensure that Microsoft Defender for Cloud is Configured to Check VM Operating Systems for Updates</t>
  </si>
  <si>
    <t xml:space="preserve">8.1.11</t>
  </si>
  <si>
    <t xml:space="preserve">Ensure that non-deprecated Microsoft Cloud Security Benchmark policies are not set to 'Disabled'</t>
  </si>
  <si>
    <t xml:space="preserve">8.1.12</t>
  </si>
  <si>
    <t xml:space="preserve">Ensure That 'All users with the following roles' is Set to 'Owner'</t>
  </si>
  <si>
    <t xml:space="preserve">8.1.13</t>
  </si>
  <si>
    <t xml:space="preserve">Ensure 'Additional email addresses' is Configured with a Security Contact Email</t>
  </si>
  <si>
    <t xml:space="preserve">8.1.14</t>
  </si>
  <si>
    <t xml:space="preserve">Ensure that 'Notify about alerts with the following severity (or higher)' is Enabled</t>
  </si>
  <si>
    <t xml:space="preserve">8.1.15</t>
  </si>
  <si>
    <t xml:space="preserve">Ensure that 'Notify about attack paths with the following risk level (or higher)' is Enabled</t>
  </si>
  <si>
    <t xml:space="preserve">8.1.16</t>
  </si>
  <si>
    <t xml:space="preserve">Ensure that Microsoft Defender External Attack Surface Monitoring (EASM) is Enabled</t>
  </si>
  <si>
    <t xml:space="preserve">Microsoft Defender for IoT</t>
  </si>
  <si>
    <t xml:space="preserve">Security Services &gt; Microsoft Defender for IoT</t>
  </si>
  <si>
    <t xml:space="preserve">8.2.1</t>
  </si>
  <si>
    <t xml:space="preserve">Ensure That Microsoft Defender for IoT Hub Is Set To 'On'</t>
  </si>
  <si>
    <t xml:space="preserve">Storage</t>
  </si>
  <si>
    <t xml:space="preserve">Azure Backup</t>
  </si>
  <si>
    <t xml:space="preserve">Azure Backup &gt; Backup Vaults</t>
  </si>
  <si>
    <t xml:space="preserve">Ensure soft delete on Backup vaults is Enabled</t>
  </si>
  <si>
    <t xml:space="preserve">CIS Microsoft Azure Storage Services Benchmark v2.0.0</t>
  </si>
  <si>
    <t xml:space="preserve">3.1.2</t>
  </si>
  <si>
    <t xml:space="preserve">Ensure immutability for Backup vaults is Enabled</t>
  </si>
  <si>
    <t xml:space="preserve">3.1.3</t>
  </si>
  <si>
    <t xml:space="preserve">Ensure backup data in Backup vaults is encrypted using customer-managed keys (CMK)</t>
  </si>
  <si>
    <t xml:space="preserve">3.1.4</t>
  </si>
  <si>
    <t xml:space="preserve">Ensure 'Use infrastructure encryption for this vault' is enabled on Backup vaults</t>
  </si>
  <si>
    <t xml:space="preserve">3.1.5</t>
  </si>
  <si>
    <t xml:space="preserve">Ensure 'Cross Region Restore' is set to 'Enabled' on Backup vaults</t>
  </si>
  <si>
    <t xml:space="preserve">3.1.6</t>
  </si>
  <si>
    <t xml:space="preserve">Ensure 'Cross Subscription Restore' is set to 'Disabled' or 'Permanently Disabled' on Backup vaults</t>
  </si>
  <si>
    <t xml:space="preserve">Azure Backup &gt; Recovery Services Vaults</t>
  </si>
  <si>
    <t xml:space="preserve">3.2.1</t>
  </si>
  <si>
    <t xml:space="preserve">Ensure soft delete on Recovery Services vaults is Enabled</t>
  </si>
  <si>
    <t xml:space="preserve">3.2.2</t>
  </si>
  <si>
    <t xml:space="preserve">Ensure immutability for Recovery Services vaults is Enabled</t>
  </si>
  <si>
    <t xml:space="preserve">3.2.3</t>
  </si>
  <si>
    <t xml:space="preserve">Ensure backup data in Recovery Services vaults is encrypted using customer-managed keys (CMK)</t>
  </si>
  <si>
    <t xml:space="preserve">3.2.4</t>
  </si>
  <si>
    <t xml:space="preserve">Ensure 'Use infrastructure encryption for this vault' is enabled on Recovery Services vaults</t>
  </si>
  <si>
    <t xml:space="preserve">3.2.5</t>
  </si>
  <si>
    <t xml:space="preserve">Ensure public network access on Recovery Services vaults is Disabled</t>
  </si>
  <si>
    <t xml:space="preserve">3.2.6</t>
  </si>
  <si>
    <t xml:space="preserve">Ensure 'Cross Region Restore' is set to 'Enabled' on Recovery Services vaults</t>
  </si>
  <si>
    <t xml:space="preserve">3.2.7</t>
  </si>
  <si>
    <t xml:space="preserve">Ensure 'Cross Subscription Restore' is set to 'Disabled' or 'Permanently Disabled' on Recovery Services vaults</t>
  </si>
  <si>
    <t xml:space="preserve">3.2.8</t>
  </si>
  <si>
    <t xml:space="preserve">Ensure private endpoints are configured for Recovery Services Vaults</t>
  </si>
  <si>
    <t xml:space="preserve">Azure Blob Storage</t>
  </si>
  <si>
    <t xml:space="preserve">Storage Services &gt; Azure Blob Storage</t>
  </si>
  <si>
    <t xml:space="preserve">9.2.1</t>
  </si>
  <si>
    <t xml:space="preserve">Ensure That Soft Delete for Blobs on Azure Blob Storage Storage Accounts is Enabled</t>
  </si>
  <si>
    <t xml:space="preserve">Storage v2.0.0 10.3</t>
  </si>
  <si>
    <t xml:space="preserve">9.2.2</t>
  </si>
  <si>
    <t xml:space="preserve">Ensure that Soft Delete for Containers on Azure Blob Storage Storage Accounts is Enabled</t>
  </si>
  <si>
    <t xml:space="preserve">Near-duplicate</t>
  </si>
  <si>
    <t xml:space="preserve">Storage v2.0.0 16.7</t>
  </si>
  <si>
    <t xml:space="preserve">9.2.3</t>
  </si>
  <si>
    <t xml:space="preserve">Ensure 'Versioning' is Set to 'Enabled' on Azure Blob Storage Storage Accounts</t>
  </si>
  <si>
    <t xml:space="preserve">Storage v2.0.0 10.5</t>
  </si>
  <si>
    <t xml:space="preserve">10.1</t>
  </si>
  <si>
    <t xml:space="preserve">Ensure 'Allowed Protocols' for shared access signature (SAS) tokens is set to 'HTTPS Only'</t>
  </si>
  <si>
    <t xml:space="preserve">Related (same benchmark, other scope)</t>
  </si>
  <si>
    <t xml:space="preserve">SAS tokens HTTPS only: Storage v2.0.0 15.1, Storage v2.0.0 16.1.2</t>
  </si>
  <si>
    <t xml:space="preserve">10.2</t>
  </si>
  <si>
    <t xml:space="preserve">Ensure that shared access signature (SAS) tokens expire within an hour</t>
  </si>
  <si>
    <t xml:space="preserve">SAS token expiry &lt;= 1 hour: Storage v2.0.0 15.2, Storage v2.0.0 16.1.6, Storage v2.0.0 17.1</t>
  </si>
  <si>
    <t xml:space="preserve">10.3</t>
  </si>
  <si>
    <t xml:space="preserve">Ensure that soft delete for blobs on Azure Blob Storage storage accounts is Enabled</t>
  </si>
  <si>
    <t xml:space="preserve">Foundations v6.0.0 9.2.1; Blob soft delete: Storage v2.0.0 16.7</t>
  </si>
  <si>
    <t xml:space="preserve">10.4</t>
  </si>
  <si>
    <t xml:space="preserve">Ensure stored access policies (SAP) are used when generating shared access signature (SAS) tokens</t>
  </si>
  <si>
    <t xml:space="preserve">Stored access policies for SAS: Storage v2.0.0 15.3, Storage v2.0.0 17.2</t>
  </si>
  <si>
    <t xml:space="preserve">10.5</t>
  </si>
  <si>
    <t xml:space="preserve">Ensure 'Versioning' is set to 'Enabled' on Azure Blob Storage storage accounts</t>
  </si>
  <si>
    <t xml:space="preserve">Foundations v6.0.0 9.2.3</t>
  </si>
  <si>
    <t xml:space="preserve">10.6</t>
  </si>
  <si>
    <t xml:space="preserve">Ensure locked immutability policies are used for containers storing business-critical blob data</t>
  </si>
  <si>
    <t xml:space="preserve">Azure Data Box</t>
  </si>
  <si>
    <t xml:space="preserve">11.1</t>
  </si>
  <si>
    <t xml:space="preserve">Ensure double encryption is used for Azure Data Box in high-security environments</t>
  </si>
  <si>
    <t xml:space="preserve">Azure Elastic SAN</t>
  </si>
  <si>
    <t xml:space="preserve">14.1</t>
  </si>
  <si>
    <t xml:space="preserve">Ensure 'Public network access' is set to 'Disabled' on Azure Elastic SAN</t>
  </si>
  <si>
    <t xml:space="preserve">14.2</t>
  </si>
  <si>
    <t xml:space="preserve">Ensure customer-managed keys (CMK) are used to encrypt data at rest on Azure Elastic SAN volume groups</t>
  </si>
  <si>
    <t xml:space="preserve">Azure Files</t>
  </si>
  <si>
    <t xml:space="preserve">Storage Services &gt; Azure Files</t>
  </si>
  <si>
    <t xml:space="preserve">9.1.1</t>
  </si>
  <si>
    <t xml:space="preserve">Ensure Soft Delete for Azure File Shares is Enabled</t>
  </si>
  <si>
    <t xml:space="preserve">Storage v2.0.0 7.2.1</t>
  </si>
  <si>
    <t xml:space="preserve">9.1.2</t>
  </si>
  <si>
    <t xml:space="preserve">Ensure 'SMB protocol version' is Set to 'SMB 3.1.1' or Higher for SMB file shares</t>
  </si>
  <si>
    <t xml:space="preserve">Storage v2.0.0 7.2.3</t>
  </si>
  <si>
    <t xml:space="preserve">9.1.3</t>
  </si>
  <si>
    <t xml:space="preserve">Ensure 'SMB channel encryption' is Set to 'AES-256-GCM' or Higher for SMB file shares</t>
  </si>
  <si>
    <t xml:space="preserve">Storage v2.0.0 7.2.2</t>
  </si>
  <si>
    <t xml:space="preserve">Azure Files &gt; File Shares (Microsoft.FileShares)</t>
  </si>
  <si>
    <t xml:space="preserve">7.1.1</t>
  </si>
  <si>
    <t xml:space="preserve">Ensure root squash for NFS file shares is configured (Microsoft.FileShares)</t>
  </si>
  <si>
    <t xml:space="preserve">7.1.2</t>
  </si>
  <si>
    <t xml:space="preserve">Ensure encryption in transit is required for File Shares (Microsoft.FileShares)</t>
  </si>
  <si>
    <t xml:space="preserve">7.1.3</t>
  </si>
  <si>
    <t xml:space="preserve">Ensure 'Public Endpoint Access' for File Shares is restricted to selected virtual networks (Microsoft.FileShares)</t>
  </si>
  <si>
    <t xml:space="preserve">7.1.4</t>
  </si>
  <si>
    <t xml:space="preserve">Ensure 'Public Endpoint Access' is set to 'Disabled' for File Shares (Microsoft.FileShares)</t>
  </si>
  <si>
    <t xml:space="preserve">7.1.5</t>
  </si>
  <si>
    <t xml:space="preserve">Ensure private endpoints are configured for File Shares (Microsoft.FileShares)</t>
  </si>
  <si>
    <t xml:space="preserve">Azure Files &gt; Classic File Shares (Microsoft.Storage)</t>
  </si>
  <si>
    <t xml:space="preserve">7.2.1</t>
  </si>
  <si>
    <t xml:space="preserve">Ensure soft delete for Azure File Shares is Enabled (Classic File Shares)</t>
  </si>
  <si>
    <t xml:space="preserve">Foundations v6.0.0 9.1.1</t>
  </si>
  <si>
    <t xml:space="preserve">7.2.2</t>
  </si>
  <si>
    <t xml:space="preserve">Ensure 'SMB channel encryption' is set to 'AES-256-GCM' or higher for SMB file shares (Classic File Shares)</t>
  </si>
  <si>
    <t xml:space="preserve">Foundations v6.0.0 9.1.3</t>
  </si>
  <si>
    <t xml:space="preserve">7.2.3</t>
  </si>
  <si>
    <t xml:space="preserve">Ensure 'SMB protocol version' is set to 'SMB 3.1.1' or higher for SMB file shares (Classic File Shares)</t>
  </si>
  <si>
    <t xml:space="preserve">Foundations v6.0.0 9.1.2</t>
  </si>
  <si>
    <t xml:space="preserve">7.2.4</t>
  </si>
  <si>
    <t xml:space="preserve">Ensure root squash for NFS file shares is configured (Classic File Shares)</t>
  </si>
  <si>
    <t xml:space="preserve">Azure Managed Lustre</t>
  </si>
  <si>
    <t xml:space="preserve">Ensure 'Key encryption key' is set to a customer-managed key for Azure Managed Lustre file systems</t>
  </si>
  <si>
    <t xml:space="preserve">Azure NetApp Files</t>
  </si>
  <si>
    <t xml:space="preserve">Ensure 'Encryption key source' is set to 'Customer Managed Key' for Azure NetApp Files accounts</t>
  </si>
  <si>
    <t xml:space="preserve">Azure Queue Storage</t>
  </si>
  <si>
    <t xml:space="preserve">Queue Storage</t>
  </si>
  <si>
    <t xml:space="preserve">SAS tokens HTTPS only: Storage v2.0.0 10.1, Storage v2.0.0 16.1.2</t>
  </si>
  <si>
    <t xml:space="preserve">SAS token expiry &lt;= 1 hour: Storage v2.0.0 10.2, Storage v2.0.0 16.1.6, Storage v2.0.0 17.1</t>
  </si>
  <si>
    <t xml:space="preserve">Stored access policies for SAS: Storage v2.0.0 10.4, Storage v2.0.0 17.2</t>
  </si>
  <si>
    <t xml:space="preserve">Azure Storage Accounts</t>
  </si>
  <si>
    <t xml:space="preserve">Storage Services &gt; Storage Accounts &gt; Secrets and Keys</t>
  </si>
  <si>
    <t xml:space="preserve">9.3.1.1</t>
  </si>
  <si>
    <t xml:space="preserve">Ensure That 'Enable key rotation reminders' is Enabled for Each Storage Account</t>
  </si>
  <si>
    <t xml:space="preserve">Storage v2.0.0 16.1.1</t>
  </si>
  <si>
    <t xml:space="preserve">9.3.1.2</t>
  </si>
  <si>
    <t xml:space="preserve">Ensure That Storage Account Access keys are Periodically Regenerated</t>
  </si>
  <si>
    <t xml:space="preserve">Storage v2.0.0 16.1.3</t>
  </si>
  <si>
    <t xml:space="preserve">9.3.1.3</t>
  </si>
  <si>
    <t xml:space="preserve">Ensure 'Allow storage account key access' for Azure Storage Accounts is 'Disabled'</t>
  </si>
  <si>
    <t xml:space="preserve">Storage v2.0.0 16.1.7</t>
  </si>
  <si>
    <t xml:space="preserve">Storage Services &gt; Storage Accounts &gt; Networking</t>
  </si>
  <si>
    <t xml:space="preserve">9.3.2.1</t>
  </si>
  <si>
    <t xml:space="preserve">Ensure Private Endpoints are Used to Access Storage Accounts</t>
  </si>
  <si>
    <t xml:space="preserve">Storage v2.0.0 16.2.1</t>
  </si>
  <si>
    <t xml:space="preserve">9.3.2.2</t>
  </si>
  <si>
    <t xml:space="preserve">Ensure that 'Public Network Access' is 'Disabled' for Storage Accounts</t>
  </si>
  <si>
    <t xml:space="preserve">Storage v2.0.0 16.2.2</t>
  </si>
  <si>
    <t xml:space="preserve">9.3.2.3</t>
  </si>
  <si>
    <t xml:space="preserve">Ensure Default Network Access Rule for Storage Accounts is Set to Deny</t>
  </si>
  <si>
    <t xml:space="preserve">Storage v2.0.0 16.2.3</t>
  </si>
  <si>
    <t xml:space="preserve">Storage Services &gt; Storage Accounts &gt; Identity and Access Management</t>
  </si>
  <si>
    <t xml:space="preserve">9.3.3.1</t>
  </si>
  <si>
    <t xml:space="preserve">Ensure that 'Default to Microsoft Entra authorization in the Azure portal' is Set to 'Enabled'</t>
  </si>
  <si>
    <t xml:space="preserve">Storage Services &gt; Storage Accounts</t>
  </si>
  <si>
    <t xml:space="preserve">9.3.4</t>
  </si>
  <si>
    <t xml:space="preserve">Ensure that 'Secure transfer required' is Set to 'Enabled'</t>
  </si>
  <si>
    <t xml:space="preserve">Storage v2.0.0 16.4</t>
  </si>
  <si>
    <t xml:space="preserve">9.3.5</t>
  </si>
  <si>
    <t xml:space="preserve">Ensure 'Allow trusted Microsoft services to access this resource' is Enabled for Storage Account Access</t>
  </si>
  <si>
    <t xml:space="preserve">Storage v2.0.0 16.6</t>
  </si>
  <si>
    <t xml:space="preserve">9.3.6</t>
  </si>
  <si>
    <t xml:space="preserve">Ensure the 'Minimum TLS version' for Storage Accounts is Set to 'Version 1.2'</t>
  </si>
  <si>
    <t xml:space="preserve">Storage v2.0.0 16.11</t>
  </si>
  <si>
    <t xml:space="preserve">9.3.7</t>
  </si>
  <si>
    <t xml:space="preserve">Ensure 'Cross Tenant Replication' is Not Enabled</t>
  </si>
  <si>
    <t xml:space="preserve">Storage v2.0.0 16.12</t>
  </si>
  <si>
    <t xml:space="preserve">9.3.8</t>
  </si>
  <si>
    <t xml:space="preserve">Ensure that 'Allow Blob Anonymous Access' is Set to 'Disabled'</t>
  </si>
  <si>
    <t xml:space="preserve">Storage v2.0.0 16.13</t>
  </si>
  <si>
    <t xml:space="preserve">9.3.9</t>
  </si>
  <si>
    <t xml:space="preserve">Ensure Azure Resource Manager Delete Locks are Applied to Azure Storage Accounts</t>
  </si>
  <si>
    <t xml:space="preserve">Storage v2.0.0 16.14</t>
  </si>
  <si>
    <t xml:space="preserve">9.3.10</t>
  </si>
  <si>
    <t xml:space="preserve">Ensure Azure Resource Manager ReadOnly Locks are Considered for Azure Storage Accounts</t>
  </si>
  <si>
    <t xml:space="preserve">Storage v2.0.0 16.15</t>
  </si>
  <si>
    <t xml:space="preserve">9.3.11</t>
  </si>
  <si>
    <t xml:space="preserve">Ensure Redundancy is Set to 'geo-redundant storage (GRS)' on Critical Azure Storage Accounts</t>
  </si>
  <si>
    <t xml:space="preserve">Storage v2.0.0 16.16</t>
  </si>
  <si>
    <t xml:space="preserve">Storage Accounts &gt; Secrets and Keys</t>
  </si>
  <si>
    <t xml:space="preserve">16.1.1</t>
  </si>
  <si>
    <t xml:space="preserve">Ensure that 'Enable key rotation reminders' is enabled for each Storage Account</t>
  </si>
  <si>
    <t xml:space="preserve">Foundations v6.0.0 9.3.1.1</t>
  </si>
  <si>
    <t xml:space="preserve">16.1.2</t>
  </si>
  <si>
    <t xml:space="preserve">SAS tokens HTTPS only: Storage v2.0.0 10.1, Storage v2.0.0 15.1</t>
  </si>
  <si>
    <t xml:space="preserve">16.1.3</t>
  </si>
  <si>
    <t xml:space="preserve">Ensure that Storage Account Access Keys are Periodically Regenerated</t>
  </si>
  <si>
    <t xml:space="preserve">Foundations v6.0.0 9.3.1.2</t>
  </si>
  <si>
    <t xml:space="preserve">16.1.4</t>
  </si>
  <si>
    <t xml:space="preserve">Ensure that a shared access signature (SAS) expiration policy is configured</t>
  </si>
  <si>
    <t xml:space="preserve">16.1.5</t>
  </si>
  <si>
    <t xml:space="preserve">Ensure the shared access signature (SAS) expiration policy action is set to 'Block'</t>
  </si>
  <si>
    <t xml:space="preserve">16.1.6</t>
  </si>
  <si>
    <t xml:space="preserve">SAS token expiry &lt;= 1 hour: Storage v2.0.0 10.2, Storage v2.0.0 15.2, Storage v2.0.0 17.1</t>
  </si>
  <si>
    <t xml:space="preserve">16.1.7</t>
  </si>
  <si>
    <t xml:space="preserve">Foundations v6.0.0 9.3.1.3</t>
  </si>
  <si>
    <t xml:space="preserve">16.1.8</t>
  </si>
  <si>
    <t xml:space="preserve">Ensure Storage for Critical Data are Encrypted with Customer Managed Keys (CMK)</t>
  </si>
  <si>
    <t xml:space="preserve">Foundations v6.0.0 6.1.1.3</t>
  </si>
  <si>
    <t xml:space="preserve">Storage Accounts &gt; Networking</t>
  </si>
  <si>
    <t xml:space="preserve">16.2.1</t>
  </si>
  <si>
    <t xml:space="preserve">Ensure Private Endpoints are used to access Storage Accounts</t>
  </si>
  <si>
    <t xml:space="preserve">Foundations v6.0.0 9.3.2.1</t>
  </si>
  <si>
    <t xml:space="preserve">16.2.2</t>
  </si>
  <si>
    <t xml:space="preserve">Ensure that 'Public Network Access' is 'Disabled' for storage accounts</t>
  </si>
  <si>
    <t xml:space="preserve">Foundations v6.0.0 9.3.2.2</t>
  </si>
  <si>
    <t xml:space="preserve">16.2.3</t>
  </si>
  <si>
    <t xml:space="preserve">Foundations v6.0.0 9.3.2.3</t>
  </si>
  <si>
    <t xml:space="preserve">Storage Accounts</t>
  </si>
  <si>
    <t xml:space="preserve">16.4</t>
  </si>
  <si>
    <t xml:space="preserve">Ensure that 'Secure transfer required' is set to 'Enabled'</t>
  </si>
  <si>
    <t xml:space="preserve">Foundations v6.0.0 9.3.4</t>
  </si>
  <si>
    <t xml:space="preserve">16.5</t>
  </si>
  <si>
    <t xml:space="preserve">Ensure that 'Enable Infrastructure Encryption' for Each Storage Account in Azure Storage is Set to 'Enabled'</t>
  </si>
  <si>
    <t xml:space="preserve">16.6</t>
  </si>
  <si>
    <t xml:space="preserve">Ensure 'Allow Azure services on the trusted services list to access this storage account' is Enabled for Storage Account Access</t>
  </si>
  <si>
    <t xml:space="preserve">Foundations v6.0.0 9.3.5</t>
  </si>
  <si>
    <t xml:space="preserve">16.7</t>
  </si>
  <si>
    <t xml:space="preserve">Ensure Soft Delete is Enabled for Azure Containers and Blob Storage</t>
  </si>
  <si>
    <t xml:space="preserve">Foundations v6.0.0 9.2.2; Blob soft delete: Storage v2.0.0 10.3</t>
  </si>
  <si>
    <t xml:space="preserve">16.8</t>
  </si>
  <si>
    <t xml:space="preserve">Ensure storage logging is Enabled for Queue Service for 'Read', 'Write', and 'Delete' requests</t>
  </si>
  <si>
    <t xml:space="preserve">16.9</t>
  </si>
  <si>
    <t xml:space="preserve">Ensure storage logging is Enabled for Blob Service for 'Read', 'Write', and 'Delete' requests</t>
  </si>
  <si>
    <t xml:space="preserve">16.10</t>
  </si>
  <si>
    <t xml:space="preserve">Ensure storage logging is Enabled for Table Service for 'Read', 'Write', and 'Delete' Requests</t>
  </si>
  <si>
    <t xml:space="preserve">16.11</t>
  </si>
  <si>
    <t xml:space="preserve">Ensure the 'Minimum TLS version' for storage accounts is set to 'Version 1.2'</t>
  </si>
  <si>
    <t xml:space="preserve">Foundations v6.0.0 9.3.6</t>
  </si>
  <si>
    <t xml:space="preserve">16.12</t>
  </si>
  <si>
    <t xml:space="preserve">Ensure 'Cross Tenant Replication' is not enabled</t>
  </si>
  <si>
    <t xml:space="preserve">Foundations v6.0.0 9.3.7</t>
  </si>
  <si>
    <t xml:space="preserve">16.13</t>
  </si>
  <si>
    <t xml:space="preserve">Ensure that 'Allow Blob Anonymous Access' is set to 'Disabled'</t>
  </si>
  <si>
    <t xml:space="preserve">Foundations v6.0.0 9.3.8</t>
  </si>
  <si>
    <t xml:space="preserve">16.14</t>
  </si>
  <si>
    <t xml:space="preserve">Ensure Azure Resource Manager Delete locks are applied to Azure Storage Accounts</t>
  </si>
  <si>
    <t xml:space="preserve">Foundations v6.0.0 9.3.9</t>
  </si>
  <si>
    <t xml:space="preserve">16.15</t>
  </si>
  <si>
    <t xml:space="preserve">Ensure Azure Resource Manager ReadOnly locks are considered for Azure Storage Accounts</t>
  </si>
  <si>
    <t xml:space="preserve">Foundations v6.0.0 9.3.10</t>
  </si>
  <si>
    <t xml:space="preserve">16.16</t>
  </si>
  <si>
    <t xml:space="preserve">Ensure Redundancy is set to a geo-redundant option on critical Azure Storage Accounts</t>
  </si>
  <si>
    <t xml:space="preserve">Foundations v6.0.0 9.3.11</t>
  </si>
  <si>
    <t xml:space="preserve">Azure Storage Explorer</t>
  </si>
  <si>
    <t xml:space="preserve">Storage Explorer</t>
  </si>
  <si>
    <t xml:space="preserve">17.1</t>
  </si>
  <si>
    <t xml:space="preserve">SAS token expiry &lt;= 1 hour: Storage v2.0.0 10.2, Storage v2.0.0 15.2, Storage v2.0.0 16.1.6</t>
  </si>
  <si>
    <t xml:space="preserve">17.2</t>
  </si>
  <si>
    <t xml:space="preserve">Stored access policies for SAS: Storage v2.0.0 10.4, Storage v2.0.0 15.3</t>
  </si>
  <si>
    <t xml:space="preserve">17.3</t>
  </si>
  <si>
    <t xml:space="preserve">Ensure Storage Explorer is using the latest version</t>
  </si>
  <si>
    <t xml:space="preserve">Total Controls</t>
  </si>
  <si>
    <t xml:space="preserve">Flagged Overlaps (Dup/Near-dup)</t>
  </si>
  <si>
    <t xml:space="preserve">Source Benchmark(s)</t>
  </si>
  <si>
    <t xml:space="preserve">Foundations v6.0.0</t>
  </si>
  <si>
    <t xml:space="preserve">Compute Services v2.0.0</t>
  </si>
  <si>
    <t xml:space="preserve">Compute Services v2.0.0, Foundations v6.0.0</t>
  </si>
  <si>
    <t xml:space="preserve">Database Services v2.0.0</t>
  </si>
  <si>
    <t xml:space="preserve">Storage Services v2.0.0</t>
  </si>
  <si>
    <t xml:space="preserve">Foundations v6.0.0, Storage Services v2.0.0</t>
  </si>
  <si>
    <t xml:space="preserve">Total</t>
  </si>
  <si>
    <t xml:space="preserve">Overlap Type</t>
  </si>
  <si>
    <t xml:space="preserve">Foundations v6.0.0 ID</t>
  </si>
  <si>
    <t xml:space="preserve">Foundations Control</t>
  </si>
  <si>
    <t xml:space="preserve">Service Benchmark</t>
  </si>
  <si>
    <t xml:space="preserve">Service Benchmark ID</t>
  </si>
  <si>
    <t xml:space="preserve">Service Benchmark Control</t>
  </si>
  <si>
    <t xml:space="preserve">Recommendation</t>
  </si>
  <si>
    <t xml:space="preserve">Compute v2.0.0</t>
  </si>
  <si>
    <t xml:space="preserve">Implement once; map evidence to both IDs</t>
  </si>
  <si>
    <t xml:space="preserve">Storage v2.0.0</t>
  </si>
  <si>
    <t xml:space="preserve">Implement the stricter wording; map to both</t>
  </si>
  <si>
    <t xml:space="preserve">Complementary; implement both</t>
  </si>
  <si>
    <t xml:space="preserve">-</t>
  </si>
  <si>
    <t xml:space="preserve">10.1, 15.1, 16.1.2</t>
  </si>
  <si>
    <t xml:space="preserve">SAS tokens HTTPS only</t>
  </si>
  <si>
    <t xml:space="preserve">Same requirement at different scopes (Blob / Queue / Account / Storage Explorer); one policy can cover them all</t>
  </si>
  <si>
    <t xml:space="preserve">10.2, 15.2, 16.1.6, 17.1</t>
  </si>
  <si>
    <t xml:space="preserve">SAS token expiry &lt;= 1 hour</t>
  </si>
  <si>
    <t xml:space="preserve">10.4, 15.3, 17.2</t>
  </si>
  <si>
    <t xml:space="preserve">Stored access policies for SAS</t>
  </si>
  <si>
    <t xml:space="preserve">10.3, 16.7</t>
  </si>
  <si>
    <t xml:space="preserve">Blob soft delete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</si>
</sst>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Controls" displayName="AllControls" ref="A1:K340" headerRowCount="1" totalsRowCount="0" totalsRowShown="0">
  <autoFilter ref="A1:K340"/>
  <tableColumns count="11">
    <tableColumn id="1" name="#"/>
    <tableColumn id="2" name="Service Category"/>
    <tableColumn id="3" name="Azure Service"/>
    <tableColumn id="4" name="Section / Sub-service"/>
    <tableColumn id="5" name="CIS ID"/>
    <tableColumn id="6" name="Control (CIS Recommendation)"/>
    <tableColumn id="7" name="Profile"/>
    <tableColumn id="8" name="Assessment"/>
    <tableColumn id="9" name="CIS Benchmark (Version)"/>
    <tableColumn id="10" name="Overlap Flag"/>
    <tableColumn id="11" name="Overlap Reference"/>
  </tableColumns>
</table>
</file>

<file path=xl/tables/table2.xml><?xml version="1.0" encoding="utf-8"?>
<table xmlns="http://schemas.openxmlformats.org/spreadsheetml/2006/main" id="2" name="ComputeBench" displayName="ComputeBench" ref="A1:K100" headerRowCount="1" totalsRowCount="0" totalsRowShown="0">
  <autoFilter ref="A1:K100"/>
  <tableColumns count="11">
    <tableColumn id="1" name="#"/>
    <tableColumn id="2" name="Service Category"/>
    <tableColumn id="3" name="Azure Service"/>
    <tableColumn id="4" name="Section / Sub-service"/>
    <tableColumn id="5" name="CIS ID"/>
    <tableColumn id="6" name="Control (CIS Recommendation)"/>
    <tableColumn id="7" name="Profile"/>
    <tableColumn id="8" name="Assessment"/>
    <tableColumn id="9" name="CIS Benchmark (Version)"/>
    <tableColumn id="10" name="Overlap Flag"/>
    <tableColumn id="11" name="Overlap Reference"/>
  </tableColumns>
</table>
</file>

<file path=xl/tables/table3.xml><?xml version="1.0" encoding="utf-8"?>
<table xmlns="http://schemas.openxmlformats.org/spreadsheetml/2006/main" id="3" name="DatabaseBench" displayName="DatabaseBench" ref="A1:K50" headerRowCount="1" totalsRowCount="0" totalsRowShown="0">
  <autoFilter ref="A1:K50"/>
  <tableColumns count="11">
    <tableColumn id="1" name="#"/>
    <tableColumn id="2" name="Service Category"/>
    <tableColumn id="3" name="Azure Service"/>
    <tableColumn id="4" name="Section / Sub-service"/>
    <tableColumn id="5" name="CIS ID"/>
    <tableColumn id="6" name="Control (CIS Recommendation)"/>
    <tableColumn id="7" name="Profile"/>
    <tableColumn id="8" name="Assessment"/>
    <tableColumn id="9" name="CIS Benchmark (Version)"/>
    <tableColumn id="10" name="Overlap Flag"/>
    <tableColumn id="11" name="Overlap Reference"/>
  </tableColumns>
</table>
</file>

<file path=xl/tables/table4.xml><?xml version="1.0" encoding="utf-8"?>
<table xmlns="http://schemas.openxmlformats.org/spreadsheetml/2006/main" id="4" name="FoundationsBench" displayName="FoundationsBench" ref="A1:K128" headerRowCount="1" totalsRowCount="0" totalsRowShown="0">
  <autoFilter ref="A1:K128"/>
  <tableColumns count="11">
    <tableColumn id="1" name="#"/>
    <tableColumn id="2" name="Service Category"/>
    <tableColumn id="3" name="Azure Service"/>
    <tableColumn id="4" name="Section / Sub-service"/>
    <tableColumn id="5" name="CIS ID"/>
    <tableColumn id="6" name="Control (CIS Recommendation)"/>
    <tableColumn id="7" name="Profile"/>
    <tableColumn id="8" name="Assessment"/>
    <tableColumn id="9" name="CIS Benchmark (Version)"/>
    <tableColumn id="10" name="Overlap Flag"/>
    <tableColumn id="11" name="Overlap Reference"/>
  </tableColumns>
</table>
</file>

<file path=xl/tables/table5.xml><?xml version="1.0" encoding="utf-8"?>
<table xmlns="http://schemas.openxmlformats.org/spreadsheetml/2006/main" id="5" name="StorageBench" displayName="StorageBench" ref="A1:K65" headerRowCount="1" totalsRowCount="0" totalsRowShown="0">
  <autoFilter ref="A1:K65"/>
  <tableColumns count="11">
    <tableColumn id="1" name="#"/>
    <tableColumn id="2" name="Service Category"/>
    <tableColumn id="3" name="Azure Service"/>
    <tableColumn id="4" name="Section / Sub-service"/>
    <tableColumn id="5" name="CIS ID"/>
    <tableColumn id="6" name="Control (CIS Recommendation)"/>
    <tableColumn id="7" name="Profile"/>
    <tableColumn id="8" name="Assessment"/>
    <tableColumn id="9" name="CIS Benchmark (Version)"/>
    <tableColumn id="10" name="Overlap Flag"/>
    <tableColumn id="11" name="Overlap Refere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5" hidden="false" customHeight="false" outlineLevel="0" collapsed="false">
      <c r="A2" s="5" t="n">
        <v>1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/>
    </row>
    <row r="3" customFormat="false" ht="15" hidden="false" customHeight="false" outlineLevel="0" collapsed="false">
      <c r="A3" s="5" t="n">
        <v>2</v>
      </c>
      <c r="B3" s="5" t="s">
        <v>39</v>
      </c>
      <c r="C3" s="5" t="s">
        <v>40</v>
      </c>
      <c r="D3" s="5" t="s">
        <v>41</v>
      </c>
      <c r="E3" s="5" t="s">
        <v>48</v>
      </c>
      <c r="F3" s="5" t="s">
        <v>49</v>
      </c>
      <c r="G3" s="5" t="s">
        <v>44</v>
      </c>
      <c r="H3" s="5" t="s">
        <v>45</v>
      </c>
      <c r="I3" s="5" t="s">
        <v>46</v>
      </c>
      <c r="J3" s="5" t="s">
        <v>47</v>
      </c>
      <c r="K3" s="5"/>
    </row>
    <row r="4" customFormat="false" ht="15" hidden="false" customHeight="false" outlineLevel="0" collapsed="false">
      <c r="A4" s="5" t="n">
        <v>3</v>
      </c>
      <c r="B4" s="5" t="s">
        <v>39</v>
      </c>
      <c r="C4" s="5" t="s">
        <v>40</v>
      </c>
      <c r="D4" s="5" t="s">
        <v>41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46</v>
      </c>
      <c r="J4" s="5" t="s">
        <v>47</v>
      </c>
      <c r="K4" s="5"/>
    </row>
    <row r="5" customFormat="false" ht="15" hidden="false" customHeight="false" outlineLevel="0" collapsed="false">
      <c r="A5" s="5" t="n">
        <v>4</v>
      </c>
      <c r="B5" s="5" t="s">
        <v>39</v>
      </c>
      <c r="C5" s="5" t="s">
        <v>40</v>
      </c>
      <c r="D5" s="5" t="s">
        <v>41</v>
      </c>
      <c r="E5" s="5" t="s">
        <v>54</v>
      </c>
      <c r="F5" s="5" t="s">
        <v>55</v>
      </c>
      <c r="G5" s="5" t="s">
        <v>44</v>
      </c>
      <c r="H5" s="5" t="s">
        <v>53</v>
      </c>
      <c r="I5" s="5" t="s">
        <v>46</v>
      </c>
      <c r="J5" s="5" t="s">
        <v>47</v>
      </c>
      <c r="K5" s="5"/>
    </row>
    <row r="6" customFormat="false" ht="15" hidden="false" customHeight="false" outlineLevel="0" collapsed="false">
      <c r="A6" s="5" t="n">
        <v>5</v>
      </c>
      <c r="B6" s="5" t="s">
        <v>39</v>
      </c>
      <c r="C6" s="5" t="s">
        <v>40</v>
      </c>
      <c r="D6" s="5" t="s">
        <v>41</v>
      </c>
      <c r="E6" s="5" t="s">
        <v>56</v>
      </c>
      <c r="F6" s="5" t="s">
        <v>57</v>
      </c>
      <c r="G6" s="5" t="s">
        <v>44</v>
      </c>
      <c r="H6" s="5" t="s">
        <v>53</v>
      </c>
      <c r="I6" s="5" t="s">
        <v>46</v>
      </c>
      <c r="J6" s="5" t="s">
        <v>47</v>
      </c>
      <c r="K6" s="5"/>
    </row>
    <row r="7" customFormat="false" ht="15" hidden="false" customHeight="false" outlineLevel="0" collapsed="false">
      <c r="A7" s="5" t="n">
        <v>6</v>
      </c>
      <c r="B7" s="5" t="s">
        <v>39</v>
      </c>
      <c r="C7" s="5" t="s">
        <v>40</v>
      </c>
      <c r="D7" s="5" t="s">
        <v>41</v>
      </c>
      <c r="E7" s="5" t="s">
        <v>58</v>
      </c>
      <c r="F7" s="5" t="s">
        <v>59</v>
      </c>
      <c r="G7" s="5" t="s">
        <v>44</v>
      </c>
      <c r="H7" s="5" t="s">
        <v>53</v>
      </c>
      <c r="I7" s="5" t="s">
        <v>46</v>
      </c>
      <c r="J7" s="5" t="s">
        <v>47</v>
      </c>
      <c r="K7" s="5"/>
    </row>
    <row r="8" customFormat="false" ht="15" hidden="false" customHeight="false" outlineLevel="0" collapsed="false">
      <c r="A8" s="5" t="n">
        <v>7</v>
      </c>
      <c r="B8" s="5" t="s">
        <v>39</v>
      </c>
      <c r="C8" s="5" t="s">
        <v>40</v>
      </c>
      <c r="D8" s="5" t="s">
        <v>41</v>
      </c>
      <c r="E8" s="5" t="s">
        <v>60</v>
      </c>
      <c r="F8" s="5" t="s">
        <v>61</v>
      </c>
      <c r="G8" s="5" t="s">
        <v>44</v>
      </c>
      <c r="H8" s="5" t="s">
        <v>45</v>
      </c>
      <c r="I8" s="5" t="s">
        <v>46</v>
      </c>
      <c r="J8" s="5" t="s">
        <v>47</v>
      </c>
      <c r="K8" s="5"/>
    </row>
    <row r="9" customFormat="false" ht="15" hidden="false" customHeight="false" outlineLevel="0" collapsed="false">
      <c r="A9" s="5" t="n">
        <v>8</v>
      </c>
      <c r="B9" s="5" t="s">
        <v>39</v>
      </c>
      <c r="C9" s="5" t="s">
        <v>40</v>
      </c>
      <c r="D9" s="5" t="s">
        <v>41</v>
      </c>
      <c r="E9" s="5" t="s">
        <v>62</v>
      </c>
      <c r="F9" s="5" t="s">
        <v>63</v>
      </c>
      <c r="G9" s="5" t="s">
        <v>52</v>
      </c>
      <c r="H9" s="5" t="s">
        <v>53</v>
      </c>
      <c r="I9" s="5" t="s">
        <v>46</v>
      </c>
      <c r="J9" s="5" t="s">
        <v>47</v>
      </c>
      <c r="K9" s="5"/>
    </row>
    <row r="10" customFormat="false" ht="15" hidden="false" customHeight="false" outlineLevel="0" collapsed="false">
      <c r="A10" s="5" t="n">
        <v>9</v>
      </c>
      <c r="B10" s="5" t="s">
        <v>39</v>
      </c>
      <c r="C10" s="5" t="s">
        <v>40</v>
      </c>
      <c r="D10" s="5" t="s">
        <v>41</v>
      </c>
      <c r="E10" s="5" t="s">
        <v>64</v>
      </c>
      <c r="F10" s="5" t="s">
        <v>65</v>
      </c>
      <c r="G10" s="5" t="s">
        <v>44</v>
      </c>
      <c r="H10" s="5" t="s">
        <v>45</v>
      </c>
      <c r="I10" s="5" t="s">
        <v>46</v>
      </c>
      <c r="J10" s="5" t="s">
        <v>47</v>
      </c>
      <c r="K10" s="5"/>
    </row>
    <row r="11" customFormat="false" ht="15" hidden="false" customHeight="false" outlineLevel="0" collapsed="false">
      <c r="A11" s="5" t="n">
        <v>10</v>
      </c>
      <c r="B11" s="5" t="s">
        <v>39</v>
      </c>
      <c r="C11" s="5" t="s">
        <v>40</v>
      </c>
      <c r="D11" s="5" t="s">
        <v>41</v>
      </c>
      <c r="E11" s="5" t="s">
        <v>66</v>
      </c>
      <c r="F11" s="5" t="s">
        <v>67</v>
      </c>
      <c r="G11" s="5" t="s">
        <v>44</v>
      </c>
      <c r="H11" s="5" t="s">
        <v>45</v>
      </c>
      <c r="I11" s="5" t="s">
        <v>46</v>
      </c>
      <c r="J11" s="5" t="s">
        <v>47</v>
      </c>
      <c r="K11" s="5"/>
    </row>
    <row r="12" customFormat="false" ht="15" hidden="false" customHeight="false" outlineLevel="0" collapsed="false">
      <c r="A12" s="5" t="n">
        <v>11</v>
      </c>
      <c r="B12" s="5" t="s">
        <v>39</v>
      </c>
      <c r="C12" s="5" t="s">
        <v>40</v>
      </c>
      <c r="D12" s="5" t="s">
        <v>41</v>
      </c>
      <c r="E12" s="5" t="s">
        <v>68</v>
      </c>
      <c r="F12" s="5" t="s">
        <v>69</v>
      </c>
      <c r="G12" s="5" t="s">
        <v>52</v>
      </c>
      <c r="H12" s="5" t="s">
        <v>45</v>
      </c>
      <c r="I12" s="5" t="s">
        <v>46</v>
      </c>
      <c r="J12" s="5" t="s">
        <v>47</v>
      </c>
      <c r="K12" s="5"/>
    </row>
    <row r="13" customFormat="false" ht="15" hidden="false" customHeight="false" outlineLevel="0" collapsed="false">
      <c r="A13" s="5" t="n">
        <v>12</v>
      </c>
      <c r="B13" s="5" t="s">
        <v>39</v>
      </c>
      <c r="C13" s="5" t="s">
        <v>40</v>
      </c>
      <c r="D13" s="5" t="s">
        <v>41</v>
      </c>
      <c r="E13" s="5" t="s">
        <v>70</v>
      </c>
      <c r="F13" s="5" t="s">
        <v>71</v>
      </c>
      <c r="G13" s="5" t="s">
        <v>44</v>
      </c>
      <c r="H13" s="5" t="s">
        <v>53</v>
      </c>
      <c r="I13" s="5" t="s">
        <v>46</v>
      </c>
      <c r="J13" s="5" t="s">
        <v>47</v>
      </c>
      <c r="K13" s="5"/>
    </row>
    <row r="14" customFormat="false" ht="23.85" hidden="false" customHeight="false" outlineLevel="0" collapsed="false">
      <c r="A14" s="5" t="n">
        <v>13</v>
      </c>
      <c r="B14" s="5" t="s">
        <v>72</v>
      </c>
      <c r="C14" s="5" t="s">
        <v>73</v>
      </c>
      <c r="D14" s="5" t="s">
        <v>74</v>
      </c>
      <c r="E14" s="5" t="s">
        <v>42</v>
      </c>
      <c r="F14" s="5" t="s">
        <v>75</v>
      </c>
      <c r="G14" s="5" t="s">
        <v>44</v>
      </c>
      <c r="H14" s="5" t="s">
        <v>53</v>
      </c>
      <c r="I14" s="5" t="s">
        <v>76</v>
      </c>
      <c r="J14" s="5" t="s">
        <v>47</v>
      </c>
      <c r="K14" s="5"/>
    </row>
    <row r="15" customFormat="false" ht="23.85" hidden="false" customHeight="false" outlineLevel="0" collapsed="false">
      <c r="A15" s="5" t="n">
        <v>14</v>
      </c>
      <c r="B15" s="5" t="s">
        <v>72</v>
      </c>
      <c r="C15" s="5" t="s">
        <v>73</v>
      </c>
      <c r="D15" s="5" t="s">
        <v>74</v>
      </c>
      <c r="E15" s="5" t="s">
        <v>48</v>
      </c>
      <c r="F15" s="5" t="s">
        <v>77</v>
      </c>
      <c r="G15" s="5" t="s">
        <v>44</v>
      </c>
      <c r="H15" s="5" t="s">
        <v>53</v>
      </c>
      <c r="I15" s="5" t="s">
        <v>76</v>
      </c>
      <c r="J15" s="5" t="s">
        <v>47</v>
      </c>
      <c r="K15" s="5"/>
    </row>
    <row r="16" customFormat="false" ht="23.85" hidden="false" customHeight="false" outlineLevel="0" collapsed="false">
      <c r="A16" s="5" t="n">
        <v>15</v>
      </c>
      <c r="B16" s="5" t="s">
        <v>72</v>
      </c>
      <c r="C16" s="5" t="s">
        <v>73</v>
      </c>
      <c r="D16" s="5" t="s">
        <v>74</v>
      </c>
      <c r="E16" s="5" t="s">
        <v>50</v>
      </c>
      <c r="F16" s="5" t="s">
        <v>78</v>
      </c>
      <c r="G16" s="5" t="s">
        <v>44</v>
      </c>
      <c r="H16" s="5" t="s">
        <v>53</v>
      </c>
      <c r="I16" s="5" t="s">
        <v>76</v>
      </c>
      <c r="J16" s="5" t="s">
        <v>47</v>
      </c>
      <c r="K16" s="5"/>
    </row>
    <row r="17" customFormat="false" ht="23.85" hidden="false" customHeight="false" outlineLevel="0" collapsed="false">
      <c r="A17" s="5" t="n">
        <v>16</v>
      </c>
      <c r="B17" s="5" t="s">
        <v>72</v>
      </c>
      <c r="C17" s="5" t="s">
        <v>73</v>
      </c>
      <c r="D17" s="5" t="s">
        <v>74</v>
      </c>
      <c r="E17" s="5" t="s">
        <v>54</v>
      </c>
      <c r="F17" s="5" t="s">
        <v>79</v>
      </c>
      <c r="G17" s="5" t="s">
        <v>44</v>
      </c>
      <c r="H17" s="5" t="s">
        <v>45</v>
      </c>
      <c r="I17" s="5" t="s">
        <v>76</v>
      </c>
      <c r="J17" s="5" t="s">
        <v>47</v>
      </c>
      <c r="K17" s="5"/>
    </row>
    <row r="18" customFormat="false" ht="23.85" hidden="false" customHeight="false" outlineLevel="0" collapsed="false">
      <c r="A18" s="5" t="n">
        <v>17</v>
      </c>
      <c r="B18" s="5" t="s">
        <v>72</v>
      </c>
      <c r="C18" s="5" t="s">
        <v>73</v>
      </c>
      <c r="D18" s="5" t="s">
        <v>74</v>
      </c>
      <c r="E18" s="5" t="s">
        <v>56</v>
      </c>
      <c r="F18" s="5" t="s">
        <v>80</v>
      </c>
      <c r="G18" s="5" t="s">
        <v>44</v>
      </c>
      <c r="H18" s="5" t="s">
        <v>45</v>
      </c>
      <c r="I18" s="5" t="s">
        <v>76</v>
      </c>
      <c r="J18" s="5" t="s">
        <v>47</v>
      </c>
      <c r="K18" s="5"/>
    </row>
    <row r="19" customFormat="false" ht="23.85" hidden="false" customHeight="false" outlineLevel="0" collapsed="false">
      <c r="A19" s="5" t="n">
        <v>18</v>
      </c>
      <c r="B19" s="5" t="s">
        <v>72</v>
      </c>
      <c r="C19" s="5" t="s">
        <v>73</v>
      </c>
      <c r="D19" s="5" t="s">
        <v>74</v>
      </c>
      <c r="E19" s="5" t="s">
        <v>58</v>
      </c>
      <c r="F19" s="5" t="s">
        <v>81</v>
      </c>
      <c r="G19" s="5" t="s">
        <v>44</v>
      </c>
      <c r="H19" s="5" t="s">
        <v>45</v>
      </c>
      <c r="I19" s="5" t="s">
        <v>76</v>
      </c>
      <c r="J19" s="5" t="s">
        <v>47</v>
      </c>
      <c r="K19" s="5"/>
    </row>
    <row r="20" customFormat="false" ht="23.85" hidden="false" customHeight="false" outlineLevel="0" collapsed="false">
      <c r="A20" s="5" t="n">
        <v>19</v>
      </c>
      <c r="B20" s="5" t="s">
        <v>72</v>
      </c>
      <c r="C20" s="5" t="s">
        <v>73</v>
      </c>
      <c r="D20" s="5" t="s">
        <v>74</v>
      </c>
      <c r="E20" s="5" t="s">
        <v>60</v>
      </c>
      <c r="F20" s="5" t="s">
        <v>82</v>
      </c>
      <c r="G20" s="5" t="s">
        <v>44</v>
      </c>
      <c r="H20" s="5" t="s">
        <v>45</v>
      </c>
      <c r="I20" s="5" t="s">
        <v>76</v>
      </c>
      <c r="J20" s="5" t="s">
        <v>47</v>
      </c>
      <c r="K20" s="5"/>
    </row>
    <row r="21" customFormat="false" ht="23.85" hidden="false" customHeight="false" outlineLevel="0" collapsed="false">
      <c r="A21" s="5" t="n">
        <v>20</v>
      </c>
      <c r="B21" s="5" t="s">
        <v>72</v>
      </c>
      <c r="C21" s="5" t="s">
        <v>73</v>
      </c>
      <c r="D21" s="5" t="s">
        <v>74</v>
      </c>
      <c r="E21" s="5" t="s">
        <v>62</v>
      </c>
      <c r="F21" s="5" t="s">
        <v>83</v>
      </c>
      <c r="G21" s="5" t="s">
        <v>44</v>
      </c>
      <c r="H21" s="5" t="s">
        <v>45</v>
      </c>
      <c r="I21" s="5" t="s">
        <v>76</v>
      </c>
      <c r="J21" s="5" t="s">
        <v>47</v>
      </c>
      <c r="K21" s="5"/>
    </row>
    <row r="22" customFormat="false" ht="23.85" hidden="false" customHeight="false" outlineLevel="0" collapsed="false">
      <c r="A22" s="5" t="n">
        <v>21</v>
      </c>
      <c r="B22" s="5" t="s">
        <v>72</v>
      </c>
      <c r="C22" s="5" t="s">
        <v>73</v>
      </c>
      <c r="D22" s="5" t="s">
        <v>74</v>
      </c>
      <c r="E22" s="5" t="s">
        <v>64</v>
      </c>
      <c r="F22" s="5" t="s">
        <v>84</v>
      </c>
      <c r="G22" s="5" t="s">
        <v>44</v>
      </c>
      <c r="H22" s="5" t="s">
        <v>45</v>
      </c>
      <c r="I22" s="5" t="s">
        <v>76</v>
      </c>
      <c r="J22" s="5" t="s">
        <v>47</v>
      </c>
      <c r="K22" s="5"/>
    </row>
    <row r="23" customFormat="false" ht="23.85" hidden="false" customHeight="false" outlineLevel="0" collapsed="false">
      <c r="A23" s="5" t="n">
        <v>22</v>
      </c>
      <c r="B23" s="5" t="s">
        <v>72</v>
      </c>
      <c r="C23" s="5" t="s">
        <v>73</v>
      </c>
      <c r="D23" s="5" t="s">
        <v>74</v>
      </c>
      <c r="E23" s="5" t="s">
        <v>66</v>
      </c>
      <c r="F23" s="5" t="s">
        <v>85</v>
      </c>
      <c r="G23" s="5" t="s">
        <v>44</v>
      </c>
      <c r="H23" s="5" t="s">
        <v>45</v>
      </c>
      <c r="I23" s="5" t="s">
        <v>76</v>
      </c>
      <c r="J23" s="5" t="s">
        <v>47</v>
      </c>
      <c r="K23" s="5"/>
    </row>
    <row r="24" customFormat="false" ht="23.85" hidden="false" customHeight="false" outlineLevel="0" collapsed="false">
      <c r="A24" s="5" t="n">
        <v>23</v>
      </c>
      <c r="B24" s="5" t="s">
        <v>72</v>
      </c>
      <c r="C24" s="5" t="s">
        <v>73</v>
      </c>
      <c r="D24" s="5" t="s">
        <v>74</v>
      </c>
      <c r="E24" s="5" t="s">
        <v>68</v>
      </c>
      <c r="F24" s="5" t="s">
        <v>86</v>
      </c>
      <c r="G24" s="5" t="s">
        <v>52</v>
      </c>
      <c r="H24" s="5" t="s">
        <v>45</v>
      </c>
      <c r="I24" s="5" t="s">
        <v>76</v>
      </c>
      <c r="J24" s="5" t="s">
        <v>47</v>
      </c>
      <c r="K24" s="5"/>
    </row>
    <row r="25" customFormat="false" ht="23.85" hidden="false" customHeight="false" outlineLevel="0" collapsed="false">
      <c r="A25" s="5" t="n">
        <v>24</v>
      </c>
      <c r="B25" s="5" t="s">
        <v>72</v>
      </c>
      <c r="C25" s="5" t="s">
        <v>73</v>
      </c>
      <c r="D25" s="5" t="s">
        <v>74</v>
      </c>
      <c r="E25" s="5" t="s">
        <v>70</v>
      </c>
      <c r="F25" s="5" t="s">
        <v>87</v>
      </c>
      <c r="G25" s="5" t="s">
        <v>52</v>
      </c>
      <c r="H25" s="5" t="s">
        <v>45</v>
      </c>
      <c r="I25" s="5" t="s">
        <v>76</v>
      </c>
      <c r="J25" s="5" t="s">
        <v>47</v>
      </c>
      <c r="K25" s="5"/>
    </row>
    <row r="26" customFormat="false" ht="23.85" hidden="false" customHeight="false" outlineLevel="0" collapsed="false">
      <c r="A26" s="5" t="n">
        <v>25</v>
      </c>
      <c r="B26" s="5" t="s">
        <v>72</v>
      </c>
      <c r="C26" s="5" t="s">
        <v>73</v>
      </c>
      <c r="D26" s="5" t="s">
        <v>74</v>
      </c>
      <c r="E26" s="5" t="s">
        <v>88</v>
      </c>
      <c r="F26" s="5" t="s">
        <v>89</v>
      </c>
      <c r="G26" s="5" t="s">
        <v>44</v>
      </c>
      <c r="H26" s="5" t="s">
        <v>45</v>
      </c>
      <c r="I26" s="5" t="s">
        <v>76</v>
      </c>
      <c r="J26" s="5" t="s">
        <v>47</v>
      </c>
      <c r="K26" s="5"/>
    </row>
    <row r="27" customFormat="false" ht="23.85" hidden="false" customHeight="false" outlineLevel="0" collapsed="false">
      <c r="A27" s="5" t="n">
        <v>26</v>
      </c>
      <c r="B27" s="5" t="s">
        <v>72</v>
      </c>
      <c r="C27" s="5" t="s">
        <v>73</v>
      </c>
      <c r="D27" s="5" t="s">
        <v>74</v>
      </c>
      <c r="E27" s="5" t="s">
        <v>90</v>
      </c>
      <c r="F27" s="5" t="s">
        <v>91</v>
      </c>
      <c r="G27" s="5" t="s">
        <v>44</v>
      </c>
      <c r="H27" s="5" t="s">
        <v>45</v>
      </c>
      <c r="I27" s="5" t="s">
        <v>76</v>
      </c>
      <c r="J27" s="5" t="s">
        <v>47</v>
      </c>
      <c r="K27" s="5"/>
    </row>
    <row r="28" customFormat="false" ht="23.85" hidden="false" customHeight="false" outlineLevel="0" collapsed="false">
      <c r="A28" s="5" t="n">
        <v>27</v>
      </c>
      <c r="B28" s="5" t="s">
        <v>72</v>
      </c>
      <c r="C28" s="5" t="s">
        <v>73</v>
      </c>
      <c r="D28" s="5" t="s">
        <v>74</v>
      </c>
      <c r="E28" s="5" t="s">
        <v>92</v>
      </c>
      <c r="F28" s="5" t="s">
        <v>93</v>
      </c>
      <c r="G28" s="5" t="s">
        <v>52</v>
      </c>
      <c r="H28" s="5" t="s">
        <v>45</v>
      </c>
      <c r="I28" s="5" t="s">
        <v>76</v>
      </c>
      <c r="J28" s="5" t="s">
        <v>47</v>
      </c>
      <c r="K28" s="5"/>
    </row>
    <row r="29" customFormat="false" ht="23.85" hidden="false" customHeight="false" outlineLevel="0" collapsed="false">
      <c r="A29" s="5" t="n">
        <v>28</v>
      </c>
      <c r="B29" s="5" t="s">
        <v>72</v>
      </c>
      <c r="C29" s="5" t="s">
        <v>73</v>
      </c>
      <c r="D29" s="5" t="s">
        <v>74</v>
      </c>
      <c r="E29" s="5" t="s">
        <v>94</v>
      </c>
      <c r="F29" s="5" t="s">
        <v>95</v>
      </c>
      <c r="G29" s="5" t="s">
        <v>52</v>
      </c>
      <c r="H29" s="5" t="s">
        <v>45</v>
      </c>
      <c r="I29" s="5" t="s">
        <v>76</v>
      </c>
      <c r="J29" s="5" t="s">
        <v>47</v>
      </c>
      <c r="K29" s="5"/>
    </row>
    <row r="30" customFormat="false" ht="23.85" hidden="false" customHeight="false" outlineLevel="0" collapsed="false">
      <c r="A30" s="5" t="n">
        <v>29</v>
      </c>
      <c r="B30" s="5" t="s">
        <v>72</v>
      </c>
      <c r="C30" s="5" t="s">
        <v>73</v>
      </c>
      <c r="D30" s="5" t="s">
        <v>74</v>
      </c>
      <c r="E30" s="5" t="s">
        <v>96</v>
      </c>
      <c r="F30" s="5" t="s">
        <v>97</v>
      </c>
      <c r="G30" s="5" t="s">
        <v>52</v>
      </c>
      <c r="H30" s="5" t="s">
        <v>53</v>
      </c>
      <c r="I30" s="5" t="s">
        <v>76</v>
      </c>
      <c r="J30" s="5" t="s">
        <v>47</v>
      </c>
      <c r="K30" s="5"/>
    </row>
    <row r="31" customFormat="false" ht="23.85" hidden="false" customHeight="false" outlineLevel="0" collapsed="false">
      <c r="A31" s="5" t="n">
        <v>30</v>
      </c>
      <c r="B31" s="5" t="s">
        <v>72</v>
      </c>
      <c r="C31" s="5" t="s">
        <v>73</v>
      </c>
      <c r="D31" s="5" t="s">
        <v>74</v>
      </c>
      <c r="E31" s="5" t="s">
        <v>98</v>
      </c>
      <c r="F31" s="5" t="s">
        <v>99</v>
      </c>
      <c r="G31" s="5" t="s">
        <v>44</v>
      </c>
      <c r="H31" s="5" t="s">
        <v>45</v>
      </c>
      <c r="I31" s="5" t="s">
        <v>76</v>
      </c>
      <c r="J31" s="5" t="s">
        <v>47</v>
      </c>
      <c r="K31" s="5"/>
    </row>
    <row r="32" customFormat="false" ht="23.85" hidden="false" customHeight="false" outlineLevel="0" collapsed="false">
      <c r="A32" s="5" t="n">
        <v>31</v>
      </c>
      <c r="B32" s="5" t="s">
        <v>72</v>
      </c>
      <c r="C32" s="5" t="s">
        <v>73</v>
      </c>
      <c r="D32" s="5" t="s">
        <v>74</v>
      </c>
      <c r="E32" s="5" t="s">
        <v>100</v>
      </c>
      <c r="F32" s="5" t="s">
        <v>101</v>
      </c>
      <c r="G32" s="5" t="s">
        <v>52</v>
      </c>
      <c r="H32" s="5" t="s">
        <v>45</v>
      </c>
      <c r="I32" s="5" t="s">
        <v>76</v>
      </c>
      <c r="J32" s="5" t="s">
        <v>47</v>
      </c>
      <c r="K32" s="5"/>
    </row>
    <row r="33" customFormat="false" ht="23.85" hidden="false" customHeight="false" outlineLevel="0" collapsed="false">
      <c r="A33" s="5" t="n">
        <v>32</v>
      </c>
      <c r="B33" s="5" t="s">
        <v>72</v>
      </c>
      <c r="C33" s="5" t="s">
        <v>73</v>
      </c>
      <c r="D33" s="5" t="s">
        <v>74</v>
      </c>
      <c r="E33" s="5" t="s">
        <v>102</v>
      </c>
      <c r="F33" s="5" t="s">
        <v>103</v>
      </c>
      <c r="G33" s="5" t="s">
        <v>44</v>
      </c>
      <c r="H33" s="5" t="s">
        <v>45</v>
      </c>
      <c r="I33" s="5" t="s">
        <v>76</v>
      </c>
      <c r="J33" s="5" t="s">
        <v>47</v>
      </c>
      <c r="K33" s="5"/>
    </row>
    <row r="34" customFormat="false" ht="23.85" hidden="false" customHeight="false" outlineLevel="0" collapsed="false">
      <c r="A34" s="5" t="n">
        <v>33</v>
      </c>
      <c r="B34" s="5" t="s">
        <v>72</v>
      </c>
      <c r="C34" s="5" t="s">
        <v>73</v>
      </c>
      <c r="D34" s="5" t="s">
        <v>74</v>
      </c>
      <c r="E34" s="5" t="s">
        <v>104</v>
      </c>
      <c r="F34" s="5" t="s">
        <v>105</v>
      </c>
      <c r="G34" s="5" t="s">
        <v>52</v>
      </c>
      <c r="H34" s="5" t="s">
        <v>45</v>
      </c>
      <c r="I34" s="5" t="s">
        <v>76</v>
      </c>
      <c r="J34" s="5" t="s">
        <v>47</v>
      </c>
      <c r="K34" s="5"/>
    </row>
    <row r="35" customFormat="false" ht="23.85" hidden="false" customHeight="false" outlineLevel="0" collapsed="false">
      <c r="A35" s="5" t="n">
        <v>34</v>
      </c>
      <c r="B35" s="5" t="s">
        <v>72</v>
      </c>
      <c r="C35" s="5" t="s">
        <v>73</v>
      </c>
      <c r="D35" s="5" t="s">
        <v>106</v>
      </c>
      <c r="E35" s="5" t="s">
        <v>107</v>
      </c>
      <c r="F35" s="5" t="s">
        <v>75</v>
      </c>
      <c r="G35" s="5" t="s">
        <v>44</v>
      </c>
      <c r="H35" s="5" t="s">
        <v>53</v>
      </c>
      <c r="I35" s="5" t="s">
        <v>76</v>
      </c>
      <c r="J35" s="5" t="s">
        <v>47</v>
      </c>
      <c r="K35" s="5"/>
    </row>
    <row r="36" customFormat="false" ht="23.85" hidden="false" customHeight="false" outlineLevel="0" collapsed="false">
      <c r="A36" s="5" t="n">
        <v>35</v>
      </c>
      <c r="B36" s="5" t="s">
        <v>72</v>
      </c>
      <c r="C36" s="5" t="s">
        <v>73</v>
      </c>
      <c r="D36" s="5" t="s">
        <v>106</v>
      </c>
      <c r="E36" s="5" t="s">
        <v>108</v>
      </c>
      <c r="F36" s="5" t="s">
        <v>77</v>
      </c>
      <c r="G36" s="5" t="s">
        <v>44</v>
      </c>
      <c r="H36" s="5" t="s">
        <v>53</v>
      </c>
      <c r="I36" s="5" t="s">
        <v>76</v>
      </c>
      <c r="J36" s="5" t="s">
        <v>47</v>
      </c>
      <c r="K36" s="5"/>
    </row>
    <row r="37" customFormat="false" ht="23.85" hidden="false" customHeight="false" outlineLevel="0" collapsed="false">
      <c r="A37" s="5" t="n">
        <v>36</v>
      </c>
      <c r="B37" s="5" t="s">
        <v>72</v>
      </c>
      <c r="C37" s="5" t="s">
        <v>73</v>
      </c>
      <c r="D37" s="5" t="s">
        <v>106</v>
      </c>
      <c r="E37" s="5" t="s">
        <v>109</v>
      </c>
      <c r="F37" s="5" t="s">
        <v>78</v>
      </c>
      <c r="G37" s="5" t="s">
        <v>44</v>
      </c>
      <c r="H37" s="5" t="s">
        <v>53</v>
      </c>
      <c r="I37" s="5" t="s">
        <v>76</v>
      </c>
      <c r="J37" s="5" t="s">
        <v>47</v>
      </c>
      <c r="K37" s="5"/>
    </row>
    <row r="38" customFormat="false" ht="23.85" hidden="false" customHeight="false" outlineLevel="0" collapsed="false">
      <c r="A38" s="5" t="n">
        <v>37</v>
      </c>
      <c r="B38" s="5" t="s">
        <v>72</v>
      </c>
      <c r="C38" s="5" t="s">
        <v>73</v>
      </c>
      <c r="D38" s="5" t="s">
        <v>106</v>
      </c>
      <c r="E38" s="5" t="s">
        <v>110</v>
      </c>
      <c r="F38" s="5" t="s">
        <v>79</v>
      </c>
      <c r="G38" s="5" t="s">
        <v>44</v>
      </c>
      <c r="H38" s="5" t="s">
        <v>45</v>
      </c>
      <c r="I38" s="5" t="s">
        <v>76</v>
      </c>
      <c r="J38" s="5" t="s">
        <v>47</v>
      </c>
      <c r="K38" s="5"/>
    </row>
    <row r="39" customFormat="false" ht="23.85" hidden="false" customHeight="false" outlineLevel="0" collapsed="false">
      <c r="A39" s="5" t="n">
        <v>38</v>
      </c>
      <c r="B39" s="5" t="s">
        <v>72</v>
      </c>
      <c r="C39" s="5" t="s">
        <v>73</v>
      </c>
      <c r="D39" s="5" t="s">
        <v>106</v>
      </c>
      <c r="E39" s="5" t="s">
        <v>111</v>
      </c>
      <c r="F39" s="5" t="s">
        <v>112</v>
      </c>
      <c r="G39" s="5" t="s">
        <v>44</v>
      </c>
      <c r="H39" s="5" t="s">
        <v>45</v>
      </c>
      <c r="I39" s="5" t="s">
        <v>76</v>
      </c>
      <c r="J39" s="5" t="s">
        <v>47</v>
      </c>
      <c r="K39" s="5"/>
    </row>
    <row r="40" customFormat="false" ht="23.85" hidden="false" customHeight="false" outlineLevel="0" collapsed="false">
      <c r="A40" s="5" t="n">
        <v>39</v>
      </c>
      <c r="B40" s="5" t="s">
        <v>72</v>
      </c>
      <c r="C40" s="5" t="s">
        <v>73</v>
      </c>
      <c r="D40" s="5" t="s">
        <v>106</v>
      </c>
      <c r="E40" s="5" t="s">
        <v>113</v>
      </c>
      <c r="F40" s="5" t="s">
        <v>81</v>
      </c>
      <c r="G40" s="5" t="s">
        <v>44</v>
      </c>
      <c r="H40" s="5" t="s">
        <v>45</v>
      </c>
      <c r="I40" s="5" t="s">
        <v>76</v>
      </c>
      <c r="J40" s="5" t="s">
        <v>47</v>
      </c>
      <c r="K40" s="5"/>
    </row>
    <row r="41" customFormat="false" ht="23.85" hidden="false" customHeight="false" outlineLevel="0" collapsed="false">
      <c r="A41" s="5" t="n">
        <v>40</v>
      </c>
      <c r="B41" s="5" t="s">
        <v>72</v>
      </c>
      <c r="C41" s="5" t="s">
        <v>73</v>
      </c>
      <c r="D41" s="5" t="s">
        <v>106</v>
      </c>
      <c r="E41" s="5" t="s">
        <v>114</v>
      </c>
      <c r="F41" s="5" t="s">
        <v>82</v>
      </c>
      <c r="G41" s="5" t="s">
        <v>44</v>
      </c>
      <c r="H41" s="5" t="s">
        <v>45</v>
      </c>
      <c r="I41" s="5" t="s">
        <v>76</v>
      </c>
      <c r="J41" s="5" t="s">
        <v>47</v>
      </c>
      <c r="K41" s="5"/>
    </row>
    <row r="42" customFormat="false" ht="23.85" hidden="false" customHeight="false" outlineLevel="0" collapsed="false">
      <c r="A42" s="5" t="n">
        <v>41</v>
      </c>
      <c r="B42" s="5" t="s">
        <v>72</v>
      </c>
      <c r="C42" s="5" t="s">
        <v>73</v>
      </c>
      <c r="D42" s="5" t="s">
        <v>106</v>
      </c>
      <c r="E42" s="5" t="s">
        <v>115</v>
      </c>
      <c r="F42" s="5" t="s">
        <v>83</v>
      </c>
      <c r="G42" s="5" t="s">
        <v>44</v>
      </c>
      <c r="H42" s="5" t="s">
        <v>45</v>
      </c>
      <c r="I42" s="5" t="s">
        <v>76</v>
      </c>
      <c r="J42" s="5" t="s">
        <v>47</v>
      </c>
      <c r="K42" s="5"/>
    </row>
    <row r="43" customFormat="false" ht="23.85" hidden="false" customHeight="false" outlineLevel="0" collapsed="false">
      <c r="A43" s="5" t="n">
        <v>42</v>
      </c>
      <c r="B43" s="5" t="s">
        <v>72</v>
      </c>
      <c r="C43" s="5" t="s">
        <v>73</v>
      </c>
      <c r="D43" s="5" t="s">
        <v>106</v>
      </c>
      <c r="E43" s="5" t="s">
        <v>116</v>
      </c>
      <c r="F43" s="5" t="s">
        <v>84</v>
      </c>
      <c r="G43" s="5" t="s">
        <v>44</v>
      </c>
      <c r="H43" s="5" t="s">
        <v>45</v>
      </c>
      <c r="I43" s="5" t="s">
        <v>76</v>
      </c>
      <c r="J43" s="5" t="s">
        <v>47</v>
      </c>
      <c r="K43" s="5"/>
    </row>
    <row r="44" customFormat="false" ht="23.85" hidden="false" customHeight="false" outlineLevel="0" collapsed="false">
      <c r="A44" s="5" t="n">
        <v>43</v>
      </c>
      <c r="B44" s="5" t="s">
        <v>72</v>
      </c>
      <c r="C44" s="5" t="s">
        <v>73</v>
      </c>
      <c r="D44" s="5" t="s">
        <v>106</v>
      </c>
      <c r="E44" s="5" t="s">
        <v>117</v>
      </c>
      <c r="F44" s="5" t="s">
        <v>85</v>
      </c>
      <c r="G44" s="5" t="s">
        <v>44</v>
      </c>
      <c r="H44" s="5" t="s">
        <v>45</v>
      </c>
      <c r="I44" s="5" t="s">
        <v>76</v>
      </c>
      <c r="J44" s="5" t="s">
        <v>47</v>
      </c>
      <c r="K44" s="5"/>
    </row>
    <row r="45" customFormat="false" ht="23.85" hidden="false" customHeight="false" outlineLevel="0" collapsed="false">
      <c r="A45" s="5" t="n">
        <v>44</v>
      </c>
      <c r="B45" s="5" t="s">
        <v>72</v>
      </c>
      <c r="C45" s="5" t="s">
        <v>73</v>
      </c>
      <c r="D45" s="5" t="s">
        <v>106</v>
      </c>
      <c r="E45" s="5" t="s">
        <v>118</v>
      </c>
      <c r="F45" s="5" t="s">
        <v>86</v>
      </c>
      <c r="G45" s="5" t="s">
        <v>52</v>
      </c>
      <c r="H45" s="5" t="s">
        <v>45</v>
      </c>
      <c r="I45" s="5" t="s">
        <v>76</v>
      </c>
      <c r="J45" s="5" t="s">
        <v>47</v>
      </c>
      <c r="K45" s="5"/>
    </row>
    <row r="46" customFormat="false" ht="23.85" hidden="false" customHeight="false" outlineLevel="0" collapsed="false">
      <c r="A46" s="5" t="n">
        <v>45</v>
      </c>
      <c r="B46" s="5" t="s">
        <v>72</v>
      </c>
      <c r="C46" s="5" t="s">
        <v>73</v>
      </c>
      <c r="D46" s="5" t="s">
        <v>106</v>
      </c>
      <c r="E46" s="5" t="s">
        <v>119</v>
      </c>
      <c r="F46" s="5" t="s">
        <v>89</v>
      </c>
      <c r="G46" s="5" t="s">
        <v>44</v>
      </c>
      <c r="H46" s="5" t="s">
        <v>45</v>
      </c>
      <c r="I46" s="5" t="s">
        <v>76</v>
      </c>
      <c r="J46" s="5" t="s">
        <v>47</v>
      </c>
      <c r="K46" s="5"/>
    </row>
    <row r="47" customFormat="false" ht="23.85" hidden="false" customHeight="false" outlineLevel="0" collapsed="false">
      <c r="A47" s="5" t="n">
        <v>46</v>
      </c>
      <c r="B47" s="5" t="s">
        <v>72</v>
      </c>
      <c r="C47" s="5" t="s">
        <v>73</v>
      </c>
      <c r="D47" s="5" t="s">
        <v>106</v>
      </c>
      <c r="E47" s="5" t="s">
        <v>120</v>
      </c>
      <c r="F47" s="5" t="s">
        <v>91</v>
      </c>
      <c r="G47" s="5" t="s">
        <v>44</v>
      </c>
      <c r="H47" s="5" t="s">
        <v>45</v>
      </c>
      <c r="I47" s="5" t="s">
        <v>76</v>
      </c>
      <c r="J47" s="5" t="s">
        <v>47</v>
      </c>
      <c r="K47" s="5"/>
    </row>
    <row r="48" customFormat="false" ht="23.85" hidden="false" customHeight="false" outlineLevel="0" collapsed="false">
      <c r="A48" s="5" t="n">
        <v>47</v>
      </c>
      <c r="B48" s="5" t="s">
        <v>72</v>
      </c>
      <c r="C48" s="5" t="s">
        <v>73</v>
      </c>
      <c r="D48" s="5" t="s">
        <v>106</v>
      </c>
      <c r="E48" s="5" t="s">
        <v>121</v>
      </c>
      <c r="F48" s="5" t="s">
        <v>122</v>
      </c>
      <c r="G48" s="5" t="s">
        <v>44</v>
      </c>
      <c r="H48" s="5" t="s">
        <v>45</v>
      </c>
      <c r="I48" s="5" t="s">
        <v>76</v>
      </c>
      <c r="J48" s="5" t="s">
        <v>47</v>
      </c>
      <c r="K48" s="5"/>
    </row>
    <row r="49" customFormat="false" ht="23.85" hidden="false" customHeight="false" outlineLevel="0" collapsed="false">
      <c r="A49" s="5" t="n">
        <v>48</v>
      </c>
      <c r="B49" s="5" t="s">
        <v>72</v>
      </c>
      <c r="C49" s="5" t="s">
        <v>73</v>
      </c>
      <c r="D49" s="5" t="s">
        <v>106</v>
      </c>
      <c r="E49" s="5" t="s">
        <v>123</v>
      </c>
      <c r="F49" s="5" t="s">
        <v>101</v>
      </c>
      <c r="G49" s="5" t="s">
        <v>52</v>
      </c>
      <c r="H49" s="5" t="s">
        <v>45</v>
      </c>
      <c r="I49" s="5" t="s">
        <v>76</v>
      </c>
      <c r="J49" s="5" t="s">
        <v>47</v>
      </c>
      <c r="K49" s="5"/>
    </row>
    <row r="50" customFormat="false" ht="23.85" hidden="false" customHeight="false" outlineLevel="0" collapsed="false">
      <c r="A50" s="5" t="n">
        <v>49</v>
      </c>
      <c r="B50" s="5" t="s">
        <v>72</v>
      </c>
      <c r="C50" s="5" t="s">
        <v>73</v>
      </c>
      <c r="D50" s="5" t="s">
        <v>106</v>
      </c>
      <c r="E50" s="5" t="s">
        <v>124</v>
      </c>
      <c r="F50" s="5" t="s">
        <v>103</v>
      </c>
      <c r="G50" s="5" t="s">
        <v>44</v>
      </c>
      <c r="H50" s="5" t="s">
        <v>45</v>
      </c>
      <c r="I50" s="5" t="s">
        <v>76</v>
      </c>
      <c r="J50" s="5" t="s">
        <v>47</v>
      </c>
      <c r="K50" s="5"/>
    </row>
    <row r="51" customFormat="false" ht="23.85" hidden="false" customHeight="false" outlineLevel="0" collapsed="false">
      <c r="A51" s="5" t="n">
        <v>50</v>
      </c>
      <c r="B51" s="5" t="s">
        <v>72</v>
      </c>
      <c r="C51" s="5" t="s">
        <v>73</v>
      </c>
      <c r="D51" s="5" t="s">
        <v>106</v>
      </c>
      <c r="E51" s="5" t="s">
        <v>125</v>
      </c>
      <c r="F51" s="5" t="s">
        <v>105</v>
      </c>
      <c r="G51" s="5" t="s">
        <v>52</v>
      </c>
      <c r="H51" s="5" t="s">
        <v>45</v>
      </c>
      <c r="I51" s="5" t="s">
        <v>76</v>
      </c>
      <c r="J51" s="5" t="s">
        <v>47</v>
      </c>
      <c r="K51" s="5"/>
    </row>
    <row r="52" customFormat="false" ht="23.85" hidden="false" customHeight="false" outlineLevel="0" collapsed="false">
      <c r="A52" s="5" t="n">
        <v>51</v>
      </c>
      <c r="B52" s="5" t="s">
        <v>72</v>
      </c>
      <c r="C52" s="5" t="s">
        <v>73</v>
      </c>
      <c r="D52" s="5" t="s">
        <v>126</v>
      </c>
      <c r="E52" s="5" t="s">
        <v>127</v>
      </c>
      <c r="F52" s="5" t="s">
        <v>128</v>
      </c>
      <c r="G52" s="5" t="s">
        <v>52</v>
      </c>
      <c r="H52" s="5" t="s">
        <v>53</v>
      </c>
      <c r="I52" s="5" t="s">
        <v>76</v>
      </c>
      <c r="J52" s="5" t="s">
        <v>47</v>
      </c>
      <c r="K52" s="5"/>
    </row>
    <row r="53" customFormat="false" ht="23.85" hidden="false" customHeight="false" outlineLevel="0" collapsed="false">
      <c r="A53" s="5" t="n">
        <v>52</v>
      </c>
      <c r="B53" s="5" t="s">
        <v>72</v>
      </c>
      <c r="C53" s="5" t="s">
        <v>73</v>
      </c>
      <c r="D53" s="5" t="s">
        <v>126</v>
      </c>
      <c r="E53" s="5" t="s">
        <v>129</v>
      </c>
      <c r="F53" s="5" t="s">
        <v>130</v>
      </c>
      <c r="G53" s="5" t="s">
        <v>52</v>
      </c>
      <c r="H53" s="5" t="s">
        <v>45</v>
      </c>
      <c r="I53" s="5" t="s">
        <v>76</v>
      </c>
      <c r="J53" s="5" t="s">
        <v>47</v>
      </c>
      <c r="K53" s="5"/>
    </row>
    <row r="54" customFormat="false" ht="23.85" hidden="false" customHeight="false" outlineLevel="0" collapsed="false">
      <c r="A54" s="5" t="n">
        <v>53</v>
      </c>
      <c r="B54" s="5" t="s">
        <v>72</v>
      </c>
      <c r="C54" s="5" t="s">
        <v>73</v>
      </c>
      <c r="D54" s="5" t="s">
        <v>126</v>
      </c>
      <c r="E54" s="5" t="s">
        <v>131</v>
      </c>
      <c r="F54" s="5" t="s">
        <v>132</v>
      </c>
      <c r="G54" s="5" t="s">
        <v>44</v>
      </c>
      <c r="H54" s="5" t="s">
        <v>45</v>
      </c>
      <c r="I54" s="5" t="s">
        <v>76</v>
      </c>
      <c r="J54" s="5" t="s">
        <v>47</v>
      </c>
      <c r="K54" s="5"/>
    </row>
    <row r="55" customFormat="false" ht="23.85" hidden="false" customHeight="false" outlineLevel="0" collapsed="false">
      <c r="A55" s="5" t="n">
        <v>54</v>
      </c>
      <c r="B55" s="5" t="s">
        <v>72</v>
      </c>
      <c r="C55" s="5" t="s">
        <v>73</v>
      </c>
      <c r="D55" s="5" t="s">
        <v>126</v>
      </c>
      <c r="E55" s="5" t="s">
        <v>133</v>
      </c>
      <c r="F55" s="5" t="s">
        <v>134</v>
      </c>
      <c r="G55" s="5" t="s">
        <v>52</v>
      </c>
      <c r="H55" s="5" t="s">
        <v>45</v>
      </c>
      <c r="I55" s="5" t="s">
        <v>76</v>
      </c>
      <c r="J55" s="5" t="s">
        <v>47</v>
      </c>
      <c r="K55" s="5"/>
    </row>
    <row r="56" customFormat="false" ht="23.85" hidden="false" customHeight="false" outlineLevel="0" collapsed="false">
      <c r="A56" s="5" t="n">
        <v>55</v>
      </c>
      <c r="B56" s="5" t="s">
        <v>72</v>
      </c>
      <c r="C56" s="5" t="s">
        <v>73</v>
      </c>
      <c r="D56" s="5" t="s">
        <v>126</v>
      </c>
      <c r="E56" s="5" t="s">
        <v>135</v>
      </c>
      <c r="F56" s="5" t="s">
        <v>136</v>
      </c>
      <c r="G56" s="5" t="s">
        <v>44</v>
      </c>
      <c r="H56" s="5" t="s">
        <v>45</v>
      </c>
      <c r="I56" s="5" t="s">
        <v>76</v>
      </c>
      <c r="J56" s="5" t="s">
        <v>47</v>
      </c>
      <c r="K56" s="5"/>
    </row>
    <row r="57" customFormat="false" ht="23.85" hidden="false" customHeight="false" outlineLevel="0" collapsed="false">
      <c r="A57" s="5" t="n">
        <v>56</v>
      </c>
      <c r="B57" s="5" t="s">
        <v>72</v>
      </c>
      <c r="C57" s="5" t="s">
        <v>73</v>
      </c>
      <c r="D57" s="5" t="s">
        <v>126</v>
      </c>
      <c r="E57" s="5" t="s">
        <v>137</v>
      </c>
      <c r="F57" s="5" t="s">
        <v>138</v>
      </c>
      <c r="G57" s="5" t="s">
        <v>44</v>
      </c>
      <c r="H57" s="5" t="s">
        <v>45</v>
      </c>
      <c r="I57" s="5" t="s">
        <v>76</v>
      </c>
      <c r="J57" s="5" t="s">
        <v>47</v>
      </c>
      <c r="K57" s="5"/>
    </row>
    <row r="58" customFormat="false" ht="23.85" hidden="false" customHeight="false" outlineLevel="0" collapsed="false">
      <c r="A58" s="5" t="n">
        <v>57</v>
      </c>
      <c r="B58" s="5" t="s">
        <v>72</v>
      </c>
      <c r="C58" s="5" t="s">
        <v>139</v>
      </c>
      <c r="D58" s="5" t="s">
        <v>140</v>
      </c>
      <c r="E58" s="5" t="s">
        <v>141</v>
      </c>
      <c r="F58" s="5" t="s">
        <v>142</v>
      </c>
      <c r="G58" s="5" t="s">
        <v>52</v>
      </c>
      <c r="H58" s="5" t="s">
        <v>53</v>
      </c>
      <c r="I58" s="5" t="s">
        <v>76</v>
      </c>
      <c r="J58" s="5" t="s">
        <v>47</v>
      </c>
      <c r="K58" s="5"/>
    </row>
    <row r="59" customFormat="false" ht="23.85" hidden="false" customHeight="false" outlineLevel="0" collapsed="false">
      <c r="A59" s="5" t="n">
        <v>58</v>
      </c>
      <c r="B59" s="5" t="s">
        <v>72</v>
      </c>
      <c r="C59" s="5" t="s">
        <v>139</v>
      </c>
      <c r="D59" s="5" t="s">
        <v>140</v>
      </c>
      <c r="E59" s="5" t="s">
        <v>143</v>
      </c>
      <c r="F59" s="5" t="s">
        <v>144</v>
      </c>
      <c r="G59" s="5" t="s">
        <v>44</v>
      </c>
      <c r="H59" s="5" t="s">
        <v>45</v>
      </c>
      <c r="I59" s="5" t="s">
        <v>76</v>
      </c>
      <c r="J59" s="5" t="s">
        <v>47</v>
      </c>
      <c r="K59" s="5"/>
    </row>
    <row r="60" customFormat="false" ht="23.85" hidden="false" customHeight="false" outlineLevel="0" collapsed="false">
      <c r="A60" s="5" t="n">
        <v>59</v>
      </c>
      <c r="B60" s="5" t="s">
        <v>72</v>
      </c>
      <c r="C60" s="5" t="s">
        <v>139</v>
      </c>
      <c r="D60" s="5" t="s">
        <v>140</v>
      </c>
      <c r="E60" s="5" t="s">
        <v>145</v>
      </c>
      <c r="F60" s="5" t="s">
        <v>146</v>
      </c>
      <c r="G60" s="5" t="s">
        <v>44</v>
      </c>
      <c r="H60" s="5" t="s">
        <v>45</v>
      </c>
      <c r="I60" s="5" t="s">
        <v>76</v>
      </c>
      <c r="J60" s="5" t="s">
        <v>47</v>
      </c>
      <c r="K60" s="5"/>
    </row>
    <row r="61" customFormat="false" ht="23.85" hidden="false" customHeight="false" outlineLevel="0" collapsed="false">
      <c r="A61" s="5" t="n">
        <v>60</v>
      </c>
      <c r="B61" s="5" t="s">
        <v>72</v>
      </c>
      <c r="C61" s="5" t="s">
        <v>139</v>
      </c>
      <c r="D61" s="5" t="s">
        <v>140</v>
      </c>
      <c r="E61" s="5" t="s">
        <v>147</v>
      </c>
      <c r="F61" s="5" t="s">
        <v>148</v>
      </c>
      <c r="G61" s="5" t="s">
        <v>52</v>
      </c>
      <c r="H61" s="5" t="s">
        <v>45</v>
      </c>
      <c r="I61" s="5" t="s">
        <v>76</v>
      </c>
      <c r="J61" s="5" t="s">
        <v>47</v>
      </c>
      <c r="K61" s="5"/>
    </row>
    <row r="62" customFormat="false" ht="23.85" hidden="false" customHeight="false" outlineLevel="0" collapsed="false">
      <c r="A62" s="5" t="n">
        <v>61</v>
      </c>
      <c r="B62" s="5" t="s">
        <v>72</v>
      </c>
      <c r="C62" s="5" t="s">
        <v>139</v>
      </c>
      <c r="D62" s="5" t="s">
        <v>140</v>
      </c>
      <c r="E62" s="5" t="s">
        <v>149</v>
      </c>
      <c r="F62" s="5" t="s">
        <v>150</v>
      </c>
      <c r="G62" s="5" t="s">
        <v>44</v>
      </c>
      <c r="H62" s="5" t="s">
        <v>45</v>
      </c>
      <c r="I62" s="5" t="s">
        <v>76</v>
      </c>
      <c r="J62" s="5" t="s">
        <v>47</v>
      </c>
      <c r="K62" s="5"/>
    </row>
    <row r="63" customFormat="false" ht="23.85" hidden="false" customHeight="false" outlineLevel="0" collapsed="false">
      <c r="A63" s="5" t="n">
        <v>62</v>
      </c>
      <c r="B63" s="5" t="s">
        <v>72</v>
      </c>
      <c r="C63" s="5" t="s">
        <v>139</v>
      </c>
      <c r="D63" s="5" t="s">
        <v>140</v>
      </c>
      <c r="E63" s="5" t="s">
        <v>151</v>
      </c>
      <c r="F63" s="5" t="s">
        <v>152</v>
      </c>
      <c r="G63" s="5" t="s">
        <v>52</v>
      </c>
      <c r="H63" s="5" t="s">
        <v>53</v>
      </c>
      <c r="I63" s="5" t="s">
        <v>76</v>
      </c>
      <c r="J63" s="5" t="s">
        <v>47</v>
      </c>
      <c r="K63" s="5"/>
    </row>
    <row r="64" customFormat="false" ht="23.85" hidden="false" customHeight="false" outlineLevel="0" collapsed="false">
      <c r="A64" s="5" t="n">
        <v>63</v>
      </c>
      <c r="B64" s="5" t="s">
        <v>72</v>
      </c>
      <c r="C64" s="5" t="s">
        <v>139</v>
      </c>
      <c r="D64" s="5" t="s">
        <v>140</v>
      </c>
      <c r="E64" s="5" t="s">
        <v>153</v>
      </c>
      <c r="F64" s="5" t="s">
        <v>154</v>
      </c>
      <c r="G64" s="5" t="s">
        <v>44</v>
      </c>
      <c r="H64" s="5" t="s">
        <v>45</v>
      </c>
      <c r="I64" s="5" t="s">
        <v>76</v>
      </c>
      <c r="J64" s="5" t="s">
        <v>47</v>
      </c>
      <c r="K64" s="5"/>
    </row>
    <row r="65" customFormat="false" ht="23.85" hidden="false" customHeight="false" outlineLevel="0" collapsed="false">
      <c r="A65" s="5" t="n">
        <v>64</v>
      </c>
      <c r="B65" s="5" t="s">
        <v>72</v>
      </c>
      <c r="C65" s="5" t="s">
        <v>155</v>
      </c>
      <c r="D65" s="5" t="s">
        <v>155</v>
      </c>
      <c r="E65" s="5" t="s">
        <v>156</v>
      </c>
      <c r="F65" s="5" t="s">
        <v>157</v>
      </c>
      <c r="G65" s="5" t="s">
        <v>44</v>
      </c>
      <c r="H65" s="5" t="s">
        <v>53</v>
      </c>
      <c r="I65" s="5" t="s">
        <v>76</v>
      </c>
      <c r="J65" s="5" t="s">
        <v>47</v>
      </c>
      <c r="K65" s="5"/>
    </row>
    <row r="66" customFormat="false" ht="23.85" hidden="false" customHeight="false" outlineLevel="0" collapsed="false">
      <c r="A66" s="5" t="n">
        <v>65</v>
      </c>
      <c r="B66" s="5" t="s">
        <v>72</v>
      </c>
      <c r="C66" s="5" t="s">
        <v>155</v>
      </c>
      <c r="D66" s="5" t="s">
        <v>155</v>
      </c>
      <c r="E66" s="5" t="s">
        <v>158</v>
      </c>
      <c r="F66" s="5" t="s">
        <v>159</v>
      </c>
      <c r="G66" s="5" t="s">
        <v>44</v>
      </c>
      <c r="H66" s="5" t="s">
        <v>53</v>
      </c>
      <c r="I66" s="5" t="s">
        <v>76</v>
      </c>
      <c r="J66" s="5" t="s">
        <v>47</v>
      </c>
      <c r="K66" s="5"/>
    </row>
    <row r="67" customFormat="false" ht="23.85" hidden="false" customHeight="false" outlineLevel="0" collapsed="false">
      <c r="A67" s="5" t="n">
        <v>66</v>
      </c>
      <c r="B67" s="5" t="s">
        <v>72</v>
      </c>
      <c r="C67" s="5" t="s">
        <v>155</v>
      </c>
      <c r="D67" s="5" t="s">
        <v>155</v>
      </c>
      <c r="E67" s="5" t="s">
        <v>160</v>
      </c>
      <c r="F67" s="5" t="s">
        <v>161</v>
      </c>
      <c r="G67" s="5" t="s">
        <v>44</v>
      </c>
      <c r="H67" s="5" t="s">
        <v>53</v>
      </c>
      <c r="I67" s="5" t="s">
        <v>76</v>
      </c>
      <c r="J67" s="5" t="s">
        <v>47</v>
      </c>
      <c r="K67" s="5"/>
    </row>
    <row r="68" customFormat="false" ht="23.85" hidden="false" customHeight="false" outlineLevel="0" collapsed="false">
      <c r="A68" s="5" t="n">
        <v>67</v>
      </c>
      <c r="B68" s="5" t="s">
        <v>72</v>
      </c>
      <c r="C68" s="5" t="s">
        <v>162</v>
      </c>
      <c r="D68" s="5" t="s">
        <v>162</v>
      </c>
      <c r="E68" s="5" t="s">
        <v>163</v>
      </c>
      <c r="F68" s="5" t="s">
        <v>164</v>
      </c>
      <c r="G68" s="5" t="s">
        <v>44</v>
      </c>
      <c r="H68" s="5" t="s">
        <v>53</v>
      </c>
      <c r="I68" s="5" t="s">
        <v>76</v>
      </c>
      <c r="J68" s="5" t="s">
        <v>47</v>
      </c>
      <c r="K68" s="5"/>
    </row>
    <row r="69" customFormat="false" ht="23.85" hidden="false" customHeight="false" outlineLevel="0" collapsed="false">
      <c r="A69" s="5" t="n">
        <v>68</v>
      </c>
      <c r="B69" s="5" t="s">
        <v>72</v>
      </c>
      <c r="C69" s="5" t="s">
        <v>165</v>
      </c>
      <c r="D69" s="5" t="s">
        <v>166</v>
      </c>
      <c r="E69" s="5" t="s">
        <v>167</v>
      </c>
      <c r="F69" s="5" t="s">
        <v>75</v>
      </c>
      <c r="G69" s="5" t="s">
        <v>44</v>
      </c>
      <c r="H69" s="5" t="s">
        <v>53</v>
      </c>
      <c r="I69" s="5" t="s">
        <v>76</v>
      </c>
      <c r="J69" s="5" t="s">
        <v>47</v>
      </c>
      <c r="K69" s="5"/>
    </row>
    <row r="70" customFormat="false" ht="23.85" hidden="false" customHeight="false" outlineLevel="0" collapsed="false">
      <c r="A70" s="5" t="n">
        <v>69</v>
      </c>
      <c r="B70" s="5" t="s">
        <v>72</v>
      </c>
      <c r="C70" s="5" t="s">
        <v>165</v>
      </c>
      <c r="D70" s="5" t="s">
        <v>166</v>
      </c>
      <c r="E70" s="5" t="s">
        <v>168</v>
      </c>
      <c r="F70" s="5" t="s">
        <v>77</v>
      </c>
      <c r="G70" s="5" t="s">
        <v>44</v>
      </c>
      <c r="H70" s="5" t="s">
        <v>53</v>
      </c>
      <c r="I70" s="5" t="s">
        <v>76</v>
      </c>
      <c r="J70" s="5" t="s">
        <v>47</v>
      </c>
      <c r="K70" s="5"/>
    </row>
    <row r="71" customFormat="false" ht="23.85" hidden="false" customHeight="false" outlineLevel="0" collapsed="false">
      <c r="A71" s="5" t="n">
        <v>70</v>
      </c>
      <c r="B71" s="5" t="s">
        <v>72</v>
      </c>
      <c r="C71" s="5" t="s">
        <v>165</v>
      </c>
      <c r="D71" s="5" t="s">
        <v>166</v>
      </c>
      <c r="E71" s="5" t="s">
        <v>169</v>
      </c>
      <c r="F71" s="5" t="s">
        <v>79</v>
      </c>
      <c r="G71" s="5" t="s">
        <v>44</v>
      </c>
      <c r="H71" s="5" t="s">
        <v>45</v>
      </c>
      <c r="I71" s="5" t="s">
        <v>76</v>
      </c>
      <c r="J71" s="5" t="s">
        <v>47</v>
      </c>
      <c r="K71" s="5"/>
    </row>
    <row r="72" customFormat="false" ht="23.85" hidden="false" customHeight="false" outlineLevel="0" collapsed="false">
      <c r="A72" s="5" t="n">
        <v>71</v>
      </c>
      <c r="B72" s="5" t="s">
        <v>72</v>
      </c>
      <c r="C72" s="5" t="s">
        <v>165</v>
      </c>
      <c r="D72" s="5" t="s">
        <v>166</v>
      </c>
      <c r="E72" s="5" t="s">
        <v>170</v>
      </c>
      <c r="F72" s="5" t="s">
        <v>112</v>
      </c>
      <c r="G72" s="5" t="s">
        <v>44</v>
      </c>
      <c r="H72" s="5" t="s">
        <v>45</v>
      </c>
      <c r="I72" s="5" t="s">
        <v>76</v>
      </c>
      <c r="J72" s="5" t="s">
        <v>47</v>
      </c>
      <c r="K72" s="5"/>
    </row>
    <row r="73" customFormat="false" ht="23.85" hidden="false" customHeight="false" outlineLevel="0" collapsed="false">
      <c r="A73" s="5" t="n">
        <v>72</v>
      </c>
      <c r="B73" s="5" t="s">
        <v>72</v>
      </c>
      <c r="C73" s="5" t="s">
        <v>165</v>
      </c>
      <c r="D73" s="5" t="s">
        <v>166</v>
      </c>
      <c r="E73" s="5" t="s">
        <v>171</v>
      </c>
      <c r="F73" s="5" t="s">
        <v>81</v>
      </c>
      <c r="G73" s="5" t="s">
        <v>44</v>
      </c>
      <c r="H73" s="5" t="s">
        <v>45</v>
      </c>
      <c r="I73" s="5" t="s">
        <v>76</v>
      </c>
      <c r="J73" s="5" t="s">
        <v>47</v>
      </c>
      <c r="K73" s="5"/>
    </row>
    <row r="74" customFormat="false" ht="23.85" hidden="false" customHeight="false" outlineLevel="0" collapsed="false">
      <c r="A74" s="5" t="n">
        <v>73</v>
      </c>
      <c r="B74" s="5" t="s">
        <v>72</v>
      </c>
      <c r="C74" s="5" t="s">
        <v>165</v>
      </c>
      <c r="D74" s="5" t="s">
        <v>166</v>
      </c>
      <c r="E74" s="5" t="s">
        <v>172</v>
      </c>
      <c r="F74" s="5" t="s">
        <v>82</v>
      </c>
      <c r="G74" s="5" t="s">
        <v>44</v>
      </c>
      <c r="H74" s="5" t="s">
        <v>45</v>
      </c>
      <c r="I74" s="5" t="s">
        <v>76</v>
      </c>
      <c r="J74" s="5" t="s">
        <v>47</v>
      </c>
      <c r="K74" s="5"/>
    </row>
    <row r="75" customFormat="false" ht="23.85" hidden="false" customHeight="false" outlineLevel="0" collapsed="false">
      <c r="A75" s="5" t="n">
        <v>74</v>
      </c>
      <c r="B75" s="5" t="s">
        <v>72</v>
      </c>
      <c r="C75" s="5" t="s">
        <v>165</v>
      </c>
      <c r="D75" s="5" t="s">
        <v>166</v>
      </c>
      <c r="E75" s="5" t="s">
        <v>173</v>
      </c>
      <c r="F75" s="5" t="s">
        <v>83</v>
      </c>
      <c r="G75" s="5" t="s">
        <v>44</v>
      </c>
      <c r="H75" s="5" t="s">
        <v>45</v>
      </c>
      <c r="I75" s="5" t="s">
        <v>76</v>
      </c>
      <c r="J75" s="5" t="s">
        <v>47</v>
      </c>
      <c r="K75" s="5"/>
    </row>
    <row r="76" customFormat="false" ht="23.85" hidden="false" customHeight="false" outlineLevel="0" collapsed="false">
      <c r="A76" s="5" t="n">
        <v>75</v>
      </c>
      <c r="B76" s="5" t="s">
        <v>72</v>
      </c>
      <c r="C76" s="5" t="s">
        <v>165</v>
      </c>
      <c r="D76" s="5" t="s">
        <v>166</v>
      </c>
      <c r="E76" s="5" t="s">
        <v>174</v>
      </c>
      <c r="F76" s="5" t="s">
        <v>84</v>
      </c>
      <c r="G76" s="5" t="s">
        <v>44</v>
      </c>
      <c r="H76" s="5" t="s">
        <v>45</v>
      </c>
      <c r="I76" s="5" t="s">
        <v>76</v>
      </c>
      <c r="J76" s="5" t="s">
        <v>47</v>
      </c>
      <c r="K76" s="5"/>
    </row>
    <row r="77" customFormat="false" ht="23.85" hidden="false" customHeight="false" outlineLevel="0" collapsed="false">
      <c r="A77" s="5" t="n">
        <v>76</v>
      </c>
      <c r="B77" s="5" t="s">
        <v>72</v>
      </c>
      <c r="C77" s="5" t="s">
        <v>165</v>
      </c>
      <c r="D77" s="5" t="s">
        <v>166</v>
      </c>
      <c r="E77" s="5" t="s">
        <v>175</v>
      </c>
      <c r="F77" s="5" t="s">
        <v>85</v>
      </c>
      <c r="G77" s="5" t="s">
        <v>44</v>
      </c>
      <c r="H77" s="5" t="s">
        <v>45</v>
      </c>
      <c r="I77" s="5" t="s">
        <v>76</v>
      </c>
      <c r="J77" s="5" t="s">
        <v>47</v>
      </c>
      <c r="K77" s="5"/>
    </row>
    <row r="78" customFormat="false" ht="23.85" hidden="false" customHeight="false" outlineLevel="0" collapsed="false">
      <c r="A78" s="5" t="n">
        <v>77</v>
      </c>
      <c r="B78" s="5" t="s">
        <v>72</v>
      </c>
      <c r="C78" s="5" t="s">
        <v>165</v>
      </c>
      <c r="D78" s="5" t="s">
        <v>166</v>
      </c>
      <c r="E78" s="5" t="s">
        <v>176</v>
      </c>
      <c r="F78" s="5" t="s">
        <v>86</v>
      </c>
      <c r="G78" s="5" t="s">
        <v>52</v>
      </c>
      <c r="H78" s="5" t="s">
        <v>45</v>
      </c>
      <c r="I78" s="5" t="s">
        <v>76</v>
      </c>
      <c r="J78" s="5" t="s">
        <v>47</v>
      </c>
      <c r="K78" s="5"/>
    </row>
    <row r="79" customFormat="false" ht="23.85" hidden="false" customHeight="false" outlineLevel="0" collapsed="false">
      <c r="A79" s="5" t="n">
        <v>78</v>
      </c>
      <c r="B79" s="5" t="s">
        <v>72</v>
      </c>
      <c r="C79" s="5" t="s">
        <v>165</v>
      </c>
      <c r="D79" s="5" t="s">
        <v>166</v>
      </c>
      <c r="E79" s="5" t="s">
        <v>177</v>
      </c>
      <c r="F79" s="5" t="s">
        <v>87</v>
      </c>
      <c r="G79" s="5" t="s">
        <v>52</v>
      </c>
      <c r="H79" s="5" t="s">
        <v>45</v>
      </c>
      <c r="I79" s="5" t="s">
        <v>76</v>
      </c>
      <c r="J79" s="5" t="s">
        <v>47</v>
      </c>
      <c r="K79" s="5"/>
    </row>
    <row r="80" customFormat="false" ht="23.85" hidden="false" customHeight="false" outlineLevel="0" collapsed="false">
      <c r="A80" s="5" t="n">
        <v>79</v>
      </c>
      <c r="B80" s="5" t="s">
        <v>72</v>
      </c>
      <c r="C80" s="5" t="s">
        <v>165</v>
      </c>
      <c r="D80" s="5" t="s">
        <v>166</v>
      </c>
      <c r="E80" s="5" t="s">
        <v>178</v>
      </c>
      <c r="F80" s="5" t="s">
        <v>89</v>
      </c>
      <c r="G80" s="5" t="s">
        <v>44</v>
      </c>
      <c r="H80" s="5" t="s">
        <v>45</v>
      </c>
      <c r="I80" s="5" t="s">
        <v>76</v>
      </c>
      <c r="J80" s="5" t="s">
        <v>47</v>
      </c>
      <c r="K80" s="5"/>
    </row>
    <row r="81" customFormat="false" ht="23.85" hidden="false" customHeight="false" outlineLevel="0" collapsed="false">
      <c r="A81" s="5" t="n">
        <v>80</v>
      </c>
      <c r="B81" s="5" t="s">
        <v>72</v>
      </c>
      <c r="C81" s="5" t="s">
        <v>165</v>
      </c>
      <c r="D81" s="5" t="s">
        <v>166</v>
      </c>
      <c r="E81" s="5" t="s">
        <v>179</v>
      </c>
      <c r="F81" s="5" t="s">
        <v>91</v>
      </c>
      <c r="G81" s="5" t="s">
        <v>44</v>
      </c>
      <c r="H81" s="5" t="s">
        <v>45</v>
      </c>
      <c r="I81" s="5" t="s">
        <v>76</v>
      </c>
      <c r="J81" s="5" t="s">
        <v>47</v>
      </c>
      <c r="K81" s="5"/>
    </row>
    <row r="82" customFormat="false" ht="23.85" hidden="false" customHeight="false" outlineLevel="0" collapsed="false">
      <c r="A82" s="5" t="n">
        <v>81</v>
      </c>
      <c r="B82" s="5" t="s">
        <v>72</v>
      </c>
      <c r="C82" s="5" t="s">
        <v>165</v>
      </c>
      <c r="D82" s="5" t="s">
        <v>166</v>
      </c>
      <c r="E82" s="5" t="s">
        <v>180</v>
      </c>
      <c r="F82" s="5" t="s">
        <v>181</v>
      </c>
      <c r="G82" s="5" t="s">
        <v>44</v>
      </c>
      <c r="H82" s="5" t="s">
        <v>45</v>
      </c>
      <c r="I82" s="5" t="s">
        <v>76</v>
      </c>
      <c r="J82" s="5" t="s">
        <v>47</v>
      </c>
      <c r="K82" s="5"/>
    </row>
    <row r="83" customFormat="false" ht="23.85" hidden="false" customHeight="false" outlineLevel="0" collapsed="false">
      <c r="A83" s="5" t="n">
        <v>82</v>
      </c>
      <c r="B83" s="5" t="s">
        <v>72</v>
      </c>
      <c r="C83" s="5" t="s">
        <v>165</v>
      </c>
      <c r="D83" s="5" t="s">
        <v>166</v>
      </c>
      <c r="E83" s="5" t="s">
        <v>182</v>
      </c>
      <c r="F83" s="5" t="s">
        <v>101</v>
      </c>
      <c r="G83" s="5" t="s">
        <v>52</v>
      </c>
      <c r="H83" s="5" t="s">
        <v>45</v>
      </c>
      <c r="I83" s="5" t="s">
        <v>76</v>
      </c>
      <c r="J83" s="5" t="s">
        <v>47</v>
      </c>
      <c r="K83" s="5"/>
    </row>
    <row r="84" customFormat="false" ht="23.85" hidden="false" customHeight="false" outlineLevel="0" collapsed="false">
      <c r="A84" s="5" t="n">
        <v>83</v>
      </c>
      <c r="B84" s="5" t="s">
        <v>72</v>
      </c>
      <c r="C84" s="5" t="s">
        <v>165</v>
      </c>
      <c r="D84" s="5" t="s">
        <v>166</v>
      </c>
      <c r="E84" s="5" t="s">
        <v>183</v>
      </c>
      <c r="F84" s="5" t="s">
        <v>103</v>
      </c>
      <c r="G84" s="5" t="s">
        <v>44</v>
      </c>
      <c r="H84" s="5" t="s">
        <v>45</v>
      </c>
      <c r="I84" s="5" t="s">
        <v>76</v>
      </c>
      <c r="J84" s="5" t="s">
        <v>47</v>
      </c>
      <c r="K84" s="5"/>
    </row>
    <row r="85" customFormat="false" ht="23.85" hidden="false" customHeight="false" outlineLevel="0" collapsed="false">
      <c r="A85" s="5" t="n">
        <v>84</v>
      </c>
      <c r="B85" s="5" t="s">
        <v>72</v>
      </c>
      <c r="C85" s="5" t="s">
        <v>165</v>
      </c>
      <c r="D85" s="5" t="s">
        <v>166</v>
      </c>
      <c r="E85" s="5" t="s">
        <v>184</v>
      </c>
      <c r="F85" s="5" t="s">
        <v>105</v>
      </c>
      <c r="G85" s="5" t="s">
        <v>52</v>
      </c>
      <c r="H85" s="5" t="s">
        <v>45</v>
      </c>
      <c r="I85" s="5" t="s">
        <v>76</v>
      </c>
      <c r="J85" s="5" t="s">
        <v>47</v>
      </c>
      <c r="K85" s="5"/>
    </row>
    <row r="86" customFormat="false" ht="23.85" hidden="false" customHeight="false" outlineLevel="0" collapsed="false">
      <c r="A86" s="5" t="n">
        <v>85</v>
      </c>
      <c r="B86" s="5" t="s">
        <v>72</v>
      </c>
      <c r="C86" s="5" t="s">
        <v>165</v>
      </c>
      <c r="D86" s="5" t="s">
        <v>185</v>
      </c>
      <c r="E86" s="5" t="s">
        <v>186</v>
      </c>
      <c r="F86" s="5" t="s">
        <v>75</v>
      </c>
      <c r="G86" s="5" t="s">
        <v>44</v>
      </c>
      <c r="H86" s="5" t="s">
        <v>53</v>
      </c>
      <c r="I86" s="5" t="s">
        <v>76</v>
      </c>
      <c r="J86" s="5" t="s">
        <v>47</v>
      </c>
      <c r="K86" s="5"/>
    </row>
    <row r="87" customFormat="false" ht="23.85" hidden="false" customHeight="false" outlineLevel="0" collapsed="false">
      <c r="A87" s="5" t="n">
        <v>86</v>
      </c>
      <c r="B87" s="5" t="s">
        <v>72</v>
      </c>
      <c r="C87" s="5" t="s">
        <v>165</v>
      </c>
      <c r="D87" s="5" t="s">
        <v>185</v>
      </c>
      <c r="E87" s="5" t="s">
        <v>187</v>
      </c>
      <c r="F87" s="5" t="s">
        <v>77</v>
      </c>
      <c r="G87" s="5" t="s">
        <v>44</v>
      </c>
      <c r="H87" s="5" t="s">
        <v>53</v>
      </c>
      <c r="I87" s="5" t="s">
        <v>76</v>
      </c>
      <c r="J87" s="5" t="s">
        <v>47</v>
      </c>
      <c r="K87" s="5"/>
    </row>
    <row r="88" customFormat="false" ht="23.85" hidden="false" customHeight="false" outlineLevel="0" collapsed="false">
      <c r="A88" s="5" t="n">
        <v>87</v>
      </c>
      <c r="B88" s="5" t="s">
        <v>72</v>
      </c>
      <c r="C88" s="5" t="s">
        <v>165</v>
      </c>
      <c r="D88" s="5" t="s">
        <v>185</v>
      </c>
      <c r="E88" s="5" t="s">
        <v>188</v>
      </c>
      <c r="F88" s="5" t="s">
        <v>79</v>
      </c>
      <c r="G88" s="5" t="s">
        <v>44</v>
      </c>
      <c r="H88" s="5" t="s">
        <v>45</v>
      </c>
      <c r="I88" s="5" t="s">
        <v>76</v>
      </c>
      <c r="J88" s="5" t="s">
        <v>47</v>
      </c>
      <c r="K88" s="5"/>
    </row>
    <row r="89" customFormat="false" ht="23.85" hidden="false" customHeight="false" outlineLevel="0" collapsed="false">
      <c r="A89" s="5" t="n">
        <v>88</v>
      </c>
      <c r="B89" s="5" t="s">
        <v>72</v>
      </c>
      <c r="C89" s="5" t="s">
        <v>165</v>
      </c>
      <c r="D89" s="5" t="s">
        <v>185</v>
      </c>
      <c r="E89" s="5" t="s">
        <v>189</v>
      </c>
      <c r="F89" s="5" t="s">
        <v>112</v>
      </c>
      <c r="G89" s="5" t="s">
        <v>44</v>
      </c>
      <c r="H89" s="5" t="s">
        <v>45</v>
      </c>
      <c r="I89" s="5" t="s">
        <v>76</v>
      </c>
      <c r="J89" s="5" t="s">
        <v>47</v>
      </c>
      <c r="K89" s="5"/>
    </row>
    <row r="90" customFormat="false" ht="23.85" hidden="false" customHeight="false" outlineLevel="0" collapsed="false">
      <c r="A90" s="5" t="n">
        <v>89</v>
      </c>
      <c r="B90" s="5" t="s">
        <v>72</v>
      </c>
      <c r="C90" s="5" t="s">
        <v>165</v>
      </c>
      <c r="D90" s="5" t="s">
        <v>185</v>
      </c>
      <c r="E90" s="5" t="s">
        <v>190</v>
      </c>
      <c r="F90" s="5" t="s">
        <v>81</v>
      </c>
      <c r="G90" s="5" t="s">
        <v>44</v>
      </c>
      <c r="H90" s="5" t="s">
        <v>45</v>
      </c>
      <c r="I90" s="5" t="s">
        <v>76</v>
      </c>
      <c r="J90" s="5" t="s">
        <v>47</v>
      </c>
      <c r="K90" s="5"/>
    </row>
    <row r="91" customFormat="false" ht="23.85" hidden="false" customHeight="false" outlineLevel="0" collapsed="false">
      <c r="A91" s="5" t="n">
        <v>90</v>
      </c>
      <c r="B91" s="5" t="s">
        <v>72</v>
      </c>
      <c r="C91" s="5" t="s">
        <v>165</v>
      </c>
      <c r="D91" s="5" t="s">
        <v>185</v>
      </c>
      <c r="E91" s="5" t="s">
        <v>191</v>
      </c>
      <c r="F91" s="5" t="s">
        <v>82</v>
      </c>
      <c r="G91" s="5" t="s">
        <v>44</v>
      </c>
      <c r="H91" s="5" t="s">
        <v>45</v>
      </c>
      <c r="I91" s="5" t="s">
        <v>76</v>
      </c>
      <c r="J91" s="5" t="s">
        <v>47</v>
      </c>
      <c r="K91" s="5"/>
    </row>
    <row r="92" customFormat="false" ht="23.85" hidden="false" customHeight="false" outlineLevel="0" collapsed="false">
      <c r="A92" s="5" t="n">
        <v>91</v>
      </c>
      <c r="B92" s="5" t="s">
        <v>72</v>
      </c>
      <c r="C92" s="5" t="s">
        <v>165</v>
      </c>
      <c r="D92" s="5" t="s">
        <v>185</v>
      </c>
      <c r="E92" s="5" t="s">
        <v>192</v>
      </c>
      <c r="F92" s="5" t="s">
        <v>83</v>
      </c>
      <c r="G92" s="5" t="s">
        <v>44</v>
      </c>
      <c r="H92" s="5" t="s">
        <v>45</v>
      </c>
      <c r="I92" s="5" t="s">
        <v>76</v>
      </c>
      <c r="J92" s="5" t="s">
        <v>47</v>
      </c>
      <c r="K92" s="5"/>
    </row>
    <row r="93" customFormat="false" ht="23.85" hidden="false" customHeight="false" outlineLevel="0" collapsed="false">
      <c r="A93" s="5" t="n">
        <v>92</v>
      </c>
      <c r="B93" s="5" t="s">
        <v>72</v>
      </c>
      <c r="C93" s="5" t="s">
        <v>165</v>
      </c>
      <c r="D93" s="5" t="s">
        <v>185</v>
      </c>
      <c r="E93" s="5" t="s">
        <v>193</v>
      </c>
      <c r="F93" s="5" t="s">
        <v>84</v>
      </c>
      <c r="G93" s="5" t="s">
        <v>44</v>
      </c>
      <c r="H93" s="5" t="s">
        <v>45</v>
      </c>
      <c r="I93" s="5" t="s">
        <v>76</v>
      </c>
      <c r="J93" s="5" t="s">
        <v>47</v>
      </c>
      <c r="K93" s="5"/>
    </row>
    <row r="94" customFormat="false" ht="23.85" hidden="false" customHeight="false" outlineLevel="0" collapsed="false">
      <c r="A94" s="5" t="n">
        <v>93</v>
      </c>
      <c r="B94" s="5" t="s">
        <v>72</v>
      </c>
      <c r="C94" s="5" t="s">
        <v>165</v>
      </c>
      <c r="D94" s="5" t="s">
        <v>185</v>
      </c>
      <c r="E94" s="5" t="s">
        <v>194</v>
      </c>
      <c r="F94" s="5" t="s">
        <v>85</v>
      </c>
      <c r="G94" s="5" t="s">
        <v>44</v>
      </c>
      <c r="H94" s="5" t="s">
        <v>45</v>
      </c>
      <c r="I94" s="5" t="s">
        <v>76</v>
      </c>
      <c r="J94" s="5" t="s">
        <v>47</v>
      </c>
      <c r="K94" s="5"/>
    </row>
    <row r="95" customFormat="false" ht="23.85" hidden="false" customHeight="false" outlineLevel="0" collapsed="false">
      <c r="A95" s="5" t="n">
        <v>94</v>
      </c>
      <c r="B95" s="5" t="s">
        <v>72</v>
      </c>
      <c r="C95" s="5" t="s">
        <v>165</v>
      </c>
      <c r="D95" s="5" t="s">
        <v>185</v>
      </c>
      <c r="E95" s="5" t="s">
        <v>195</v>
      </c>
      <c r="F95" s="5" t="s">
        <v>86</v>
      </c>
      <c r="G95" s="5" t="s">
        <v>52</v>
      </c>
      <c r="H95" s="5" t="s">
        <v>45</v>
      </c>
      <c r="I95" s="5" t="s">
        <v>76</v>
      </c>
      <c r="J95" s="5" t="s">
        <v>47</v>
      </c>
      <c r="K95" s="5"/>
    </row>
    <row r="96" customFormat="false" ht="23.85" hidden="false" customHeight="false" outlineLevel="0" collapsed="false">
      <c r="A96" s="5" t="n">
        <v>95</v>
      </c>
      <c r="B96" s="5" t="s">
        <v>72</v>
      </c>
      <c r="C96" s="5" t="s">
        <v>165</v>
      </c>
      <c r="D96" s="5" t="s">
        <v>185</v>
      </c>
      <c r="E96" s="5" t="s">
        <v>196</v>
      </c>
      <c r="F96" s="5" t="s">
        <v>89</v>
      </c>
      <c r="G96" s="5" t="s">
        <v>44</v>
      </c>
      <c r="H96" s="5" t="s">
        <v>45</v>
      </c>
      <c r="I96" s="5" t="s">
        <v>76</v>
      </c>
      <c r="J96" s="5" t="s">
        <v>47</v>
      </c>
      <c r="K96" s="5"/>
    </row>
    <row r="97" customFormat="false" ht="23.85" hidden="false" customHeight="false" outlineLevel="0" collapsed="false">
      <c r="A97" s="5" t="n">
        <v>96</v>
      </c>
      <c r="B97" s="5" t="s">
        <v>72</v>
      </c>
      <c r="C97" s="5" t="s">
        <v>165</v>
      </c>
      <c r="D97" s="5" t="s">
        <v>185</v>
      </c>
      <c r="E97" s="5" t="s">
        <v>197</v>
      </c>
      <c r="F97" s="5" t="s">
        <v>91</v>
      </c>
      <c r="G97" s="5" t="s">
        <v>44</v>
      </c>
      <c r="H97" s="5" t="s">
        <v>45</v>
      </c>
      <c r="I97" s="5" t="s">
        <v>76</v>
      </c>
      <c r="J97" s="5" t="s">
        <v>47</v>
      </c>
      <c r="K97" s="5"/>
    </row>
    <row r="98" customFormat="false" ht="23.85" hidden="false" customHeight="false" outlineLevel="0" collapsed="false">
      <c r="A98" s="5" t="n">
        <v>97</v>
      </c>
      <c r="B98" s="5" t="s">
        <v>72</v>
      </c>
      <c r="C98" s="5" t="s">
        <v>165</v>
      </c>
      <c r="D98" s="5" t="s">
        <v>185</v>
      </c>
      <c r="E98" s="5" t="s">
        <v>198</v>
      </c>
      <c r="F98" s="5" t="s">
        <v>122</v>
      </c>
      <c r="G98" s="5" t="s">
        <v>44</v>
      </c>
      <c r="H98" s="5" t="s">
        <v>45</v>
      </c>
      <c r="I98" s="5" t="s">
        <v>76</v>
      </c>
      <c r="J98" s="5" t="s">
        <v>47</v>
      </c>
      <c r="K98" s="5"/>
    </row>
    <row r="99" customFormat="false" ht="23.85" hidden="false" customHeight="false" outlineLevel="0" collapsed="false">
      <c r="A99" s="5" t="n">
        <v>98</v>
      </c>
      <c r="B99" s="5" t="s">
        <v>72</v>
      </c>
      <c r="C99" s="5" t="s">
        <v>165</v>
      </c>
      <c r="D99" s="5" t="s">
        <v>185</v>
      </c>
      <c r="E99" s="5" t="s">
        <v>199</v>
      </c>
      <c r="F99" s="5" t="s">
        <v>101</v>
      </c>
      <c r="G99" s="5" t="s">
        <v>52</v>
      </c>
      <c r="H99" s="5" t="s">
        <v>45</v>
      </c>
      <c r="I99" s="5" t="s">
        <v>76</v>
      </c>
      <c r="J99" s="5" t="s">
        <v>47</v>
      </c>
      <c r="K99" s="5"/>
    </row>
    <row r="100" customFormat="false" ht="23.85" hidden="false" customHeight="false" outlineLevel="0" collapsed="false">
      <c r="A100" s="5" t="n">
        <v>99</v>
      </c>
      <c r="B100" s="5" t="s">
        <v>72</v>
      </c>
      <c r="C100" s="5" t="s">
        <v>165</v>
      </c>
      <c r="D100" s="5" t="s">
        <v>185</v>
      </c>
      <c r="E100" s="5" t="s">
        <v>200</v>
      </c>
      <c r="F100" s="5" t="s">
        <v>103</v>
      </c>
      <c r="G100" s="5" t="s">
        <v>44</v>
      </c>
      <c r="H100" s="5" t="s">
        <v>45</v>
      </c>
      <c r="I100" s="5" t="s">
        <v>76</v>
      </c>
      <c r="J100" s="5" t="s">
        <v>47</v>
      </c>
      <c r="K100" s="5"/>
    </row>
    <row r="101" customFormat="false" ht="23.85" hidden="false" customHeight="false" outlineLevel="0" collapsed="false">
      <c r="A101" s="5" t="n">
        <v>100</v>
      </c>
      <c r="B101" s="5" t="s">
        <v>72</v>
      </c>
      <c r="C101" s="5" t="s">
        <v>165</v>
      </c>
      <c r="D101" s="5" t="s">
        <v>185</v>
      </c>
      <c r="E101" s="5" t="s">
        <v>201</v>
      </c>
      <c r="F101" s="5" t="s">
        <v>105</v>
      </c>
      <c r="G101" s="5" t="s">
        <v>52</v>
      </c>
      <c r="H101" s="5" t="s">
        <v>45</v>
      </c>
      <c r="I101" s="5" t="s">
        <v>76</v>
      </c>
      <c r="J101" s="5" t="s">
        <v>47</v>
      </c>
      <c r="K101" s="5"/>
    </row>
    <row r="102" customFormat="false" ht="15" hidden="false" customHeight="false" outlineLevel="0" collapsed="false">
      <c r="A102" s="5" t="n">
        <v>101</v>
      </c>
      <c r="B102" s="5" t="s">
        <v>72</v>
      </c>
      <c r="C102" s="5" t="s">
        <v>202</v>
      </c>
      <c r="D102" s="5" t="s">
        <v>203</v>
      </c>
      <c r="E102" s="5" t="s">
        <v>204</v>
      </c>
      <c r="F102" s="5" t="s">
        <v>205</v>
      </c>
      <c r="G102" s="5" t="s">
        <v>52</v>
      </c>
      <c r="H102" s="5" t="s">
        <v>53</v>
      </c>
      <c r="I102" s="5" t="s">
        <v>46</v>
      </c>
      <c r="J102" s="6" t="s">
        <v>206</v>
      </c>
      <c r="K102" s="5" t="s">
        <v>207</v>
      </c>
    </row>
    <row r="103" customFormat="false" ht="23.85" hidden="false" customHeight="false" outlineLevel="0" collapsed="false">
      <c r="A103" s="5" t="n">
        <v>102</v>
      </c>
      <c r="B103" s="5" t="s">
        <v>72</v>
      </c>
      <c r="C103" s="5" t="s">
        <v>202</v>
      </c>
      <c r="D103" s="5" t="s">
        <v>208</v>
      </c>
      <c r="E103" s="5" t="s">
        <v>209</v>
      </c>
      <c r="F103" s="5" t="s">
        <v>210</v>
      </c>
      <c r="G103" s="5" t="s">
        <v>44</v>
      </c>
      <c r="H103" s="5" t="s">
        <v>45</v>
      </c>
      <c r="I103" s="5" t="s">
        <v>76</v>
      </c>
      <c r="J103" s="5" t="s">
        <v>47</v>
      </c>
      <c r="K103" s="5"/>
    </row>
    <row r="104" customFormat="false" ht="23.85" hidden="false" customHeight="false" outlineLevel="0" collapsed="false">
      <c r="A104" s="5" t="n">
        <v>103</v>
      </c>
      <c r="B104" s="5" t="s">
        <v>72</v>
      </c>
      <c r="C104" s="5" t="s">
        <v>202</v>
      </c>
      <c r="D104" s="5" t="s">
        <v>208</v>
      </c>
      <c r="E104" s="5" t="s">
        <v>211</v>
      </c>
      <c r="F104" s="5" t="s">
        <v>212</v>
      </c>
      <c r="G104" s="5" t="s">
        <v>52</v>
      </c>
      <c r="H104" s="5" t="s">
        <v>45</v>
      </c>
      <c r="I104" s="5" t="s">
        <v>76</v>
      </c>
      <c r="J104" s="5" t="s">
        <v>47</v>
      </c>
      <c r="K104" s="5"/>
    </row>
    <row r="105" customFormat="false" ht="23.85" hidden="false" customHeight="false" outlineLevel="0" collapsed="false">
      <c r="A105" s="5" t="n">
        <v>104</v>
      </c>
      <c r="B105" s="5" t="s">
        <v>72</v>
      </c>
      <c r="C105" s="5" t="s">
        <v>202</v>
      </c>
      <c r="D105" s="5" t="s">
        <v>208</v>
      </c>
      <c r="E105" s="5" t="s">
        <v>213</v>
      </c>
      <c r="F105" s="5" t="s">
        <v>214</v>
      </c>
      <c r="G105" s="5" t="s">
        <v>52</v>
      </c>
      <c r="H105" s="5" t="s">
        <v>45</v>
      </c>
      <c r="I105" s="5" t="s">
        <v>76</v>
      </c>
      <c r="J105" s="5" t="s">
        <v>47</v>
      </c>
      <c r="K105" s="5"/>
    </row>
    <row r="106" customFormat="false" ht="23.85" hidden="false" customHeight="false" outlineLevel="0" collapsed="false">
      <c r="A106" s="5" t="n">
        <v>105</v>
      </c>
      <c r="B106" s="5" t="s">
        <v>72</v>
      </c>
      <c r="C106" s="5" t="s">
        <v>202</v>
      </c>
      <c r="D106" s="5" t="s">
        <v>208</v>
      </c>
      <c r="E106" s="5" t="s">
        <v>215</v>
      </c>
      <c r="F106" s="5" t="s">
        <v>216</v>
      </c>
      <c r="G106" s="5" t="s">
        <v>44</v>
      </c>
      <c r="H106" s="5" t="s">
        <v>45</v>
      </c>
      <c r="I106" s="5" t="s">
        <v>76</v>
      </c>
      <c r="J106" s="5" t="s">
        <v>47</v>
      </c>
      <c r="K106" s="5"/>
    </row>
    <row r="107" customFormat="false" ht="23.85" hidden="false" customHeight="false" outlineLevel="0" collapsed="false">
      <c r="A107" s="5" t="n">
        <v>106</v>
      </c>
      <c r="B107" s="5" t="s">
        <v>72</v>
      </c>
      <c r="C107" s="5" t="s">
        <v>202</v>
      </c>
      <c r="D107" s="5" t="s">
        <v>208</v>
      </c>
      <c r="E107" s="5" t="s">
        <v>217</v>
      </c>
      <c r="F107" s="5" t="s">
        <v>218</v>
      </c>
      <c r="G107" s="5" t="s">
        <v>44</v>
      </c>
      <c r="H107" s="5" t="s">
        <v>45</v>
      </c>
      <c r="I107" s="5" t="s">
        <v>76</v>
      </c>
      <c r="J107" s="5" t="s">
        <v>47</v>
      </c>
      <c r="K107" s="5"/>
    </row>
    <row r="108" customFormat="false" ht="23.85" hidden="false" customHeight="false" outlineLevel="0" collapsed="false">
      <c r="A108" s="5" t="n">
        <v>107</v>
      </c>
      <c r="B108" s="5" t="s">
        <v>72</v>
      </c>
      <c r="C108" s="5" t="s">
        <v>202</v>
      </c>
      <c r="D108" s="5" t="s">
        <v>208</v>
      </c>
      <c r="E108" s="5" t="s">
        <v>219</v>
      </c>
      <c r="F108" s="5" t="s">
        <v>220</v>
      </c>
      <c r="G108" s="5" t="s">
        <v>44</v>
      </c>
      <c r="H108" s="5" t="s">
        <v>53</v>
      </c>
      <c r="I108" s="5" t="s">
        <v>76</v>
      </c>
      <c r="J108" s="5" t="s">
        <v>47</v>
      </c>
      <c r="K108" s="5"/>
    </row>
    <row r="109" customFormat="false" ht="23.85" hidden="false" customHeight="false" outlineLevel="0" collapsed="false">
      <c r="A109" s="5" t="n">
        <v>108</v>
      </c>
      <c r="B109" s="5" t="s">
        <v>72</v>
      </c>
      <c r="C109" s="5" t="s">
        <v>202</v>
      </c>
      <c r="D109" s="5" t="s">
        <v>208</v>
      </c>
      <c r="E109" s="5" t="s">
        <v>221</v>
      </c>
      <c r="F109" s="5" t="s">
        <v>222</v>
      </c>
      <c r="G109" s="5" t="s">
        <v>52</v>
      </c>
      <c r="H109" s="5" t="s">
        <v>53</v>
      </c>
      <c r="I109" s="5" t="s">
        <v>76</v>
      </c>
      <c r="J109" s="7" t="s">
        <v>223</v>
      </c>
      <c r="K109" s="5" t="s">
        <v>224</v>
      </c>
    </row>
    <row r="110" customFormat="false" ht="23.85" hidden="false" customHeight="false" outlineLevel="0" collapsed="false">
      <c r="A110" s="5" t="n">
        <v>109</v>
      </c>
      <c r="B110" s="5" t="s">
        <v>72</v>
      </c>
      <c r="C110" s="5" t="s">
        <v>202</v>
      </c>
      <c r="D110" s="5" t="s">
        <v>208</v>
      </c>
      <c r="E110" s="5" t="s">
        <v>225</v>
      </c>
      <c r="F110" s="5" t="s">
        <v>226</v>
      </c>
      <c r="G110" s="5" t="s">
        <v>52</v>
      </c>
      <c r="H110" s="5" t="s">
        <v>53</v>
      </c>
      <c r="I110" s="5" t="s">
        <v>76</v>
      </c>
      <c r="J110" s="5" t="s">
        <v>47</v>
      </c>
      <c r="K110" s="5"/>
    </row>
    <row r="111" customFormat="false" ht="23.85" hidden="false" customHeight="false" outlineLevel="0" collapsed="false">
      <c r="A111" s="5" t="n">
        <v>110</v>
      </c>
      <c r="B111" s="5" t="s">
        <v>72</v>
      </c>
      <c r="C111" s="5" t="s">
        <v>202</v>
      </c>
      <c r="D111" s="5" t="s">
        <v>208</v>
      </c>
      <c r="E111" s="5" t="s">
        <v>227</v>
      </c>
      <c r="F111" s="5" t="s">
        <v>228</v>
      </c>
      <c r="G111" s="5" t="s">
        <v>52</v>
      </c>
      <c r="H111" s="5" t="s">
        <v>53</v>
      </c>
      <c r="I111" s="5" t="s">
        <v>76</v>
      </c>
      <c r="J111" s="6" t="s">
        <v>206</v>
      </c>
      <c r="K111" s="5" t="s">
        <v>229</v>
      </c>
    </row>
    <row r="112" customFormat="false" ht="23.85" hidden="false" customHeight="false" outlineLevel="0" collapsed="false">
      <c r="A112" s="5" t="n">
        <v>111</v>
      </c>
      <c r="B112" s="5" t="s">
        <v>72</v>
      </c>
      <c r="C112" s="5" t="s">
        <v>202</v>
      </c>
      <c r="D112" s="5" t="s">
        <v>208</v>
      </c>
      <c r="E112" s="5" t="s">
        <v>230</v>
      </c>
      <c r="F112" s="5" t="s">
        <v>231</v>
      </c>
      <c r="G112" s="5" t="s">
        <v>44</v>
      </c>
      <c r="H112" s="5" t="s">
        <v>45</v>
      </c>
      <c r="I112" s="5" t="s">
        <v>76</v>
      </c>
      <c r="J112" s="5" t="s">
        <v>47</v>
      </c>
      <c r="K112" s="5"/>
    </row>
    <row r="113" customFormat="false" ht="23.85" hidden="false" customHeight="false" outlineLevel="0" collapsed="false">
      <c r="A113" s="5" t="n">
        <v>112</v>
      </c>
      <c r="B113" s="5" t="s">
        <v>72</v>
      </c>
      <c r="C113" s="5" t="s">
        <v>202</v>
      </c>
      <c r="D113" s="5" t="s">
        <v>208</v>
      </c>
      <c r="E113" s="5" t="s">
        <v>232</v>
      </c>
      <c r="F113" s="5" t="s">
        <v>233</v>
      </c>
      <c r="G113" s="5" t="s">
        <v>44</v>
      </c>
      <c r="H113" s="5" t="s">
        <v>45</v>
      </c>
      <c r="I113" s="5" t="s">
        <v>76</v>
      </c>
      <c r="J113" s="5" t="s">
        <v>47</v>
      </c>
      <c r="K113" s="5"/>
    </row>
    <row r="114" customFormat="false" ht="23.85" hidden="false" customHeight="false" outlineLevel="0" collapsed="false">
      <c r="A114" s="5" t="n">
        <v>113</v>
      </c>
      <c r="B114" s="5" t="s">
        <v>234</v>
      </c>
      <c r="C114" s="5" t="s">
        <v>235</v>
      </c>
      <c r="D114" s="5" t="s">
        <v>236</v>
      </c>
      <c r="E114" s="5" t="s">
        <v>237</v>
      </c>
      <c r="F114" s="5" t="s">
        <v>238</v>
      </c>
      <c r="G114" s="5" t="s">
        <v>44</v>
      </c>
      <c r="H114" s="5" t="s">
        <v>53</v>
      </c>
      <c r="I114" s="5" t="s">
        <v>239</v>
      </c>
      <c r="J114" s="5" t="s">
        <v>47</v>
      </c>
      <c r="K114" s="5"/>
    </row>
    <row r="115" customFormat="false" ht="23.85" hidden="false" customHeight="false" outlineLevel="0" collapsed="false">
      <c r="A115" s="5" t="n">
        <v>114</v>
      </c>
      <c r="B115" s="5" t="s">
        <v>234</v>
      </c>
      <c r="C115" s="5" t="s">
        <v>235</v>
      </c>
      <c r="D115" s="5" t="s">
        <v>236</v>
      </c>
      <c r="E115" s="5" t="s">
        <v>240</v>
      </c>
      <c r="F115" s="5" t="s">
        <v>241</v>
      </c>
      <c r="G115" s="5" t="s">
        <v>44</v>
      </c>
      <c r="H115" s="5" t="s">
        <v>45</v>
      </c>
      <c r="I115" s="5" t="s">
        <v>239</v>
      </c>
      <c r="J115" s="5" t="s">
        <v>47</v>
      </c>
      <c r="K115" s="5"/>
    </row>
    <row r="116" customFormat="false" ht="23.85" hidden="false" customHeight="false" outlineLevel="0" collapsed="false">
      <c r="A116" s="5" t="n">
        <v>115</v>
      </c>
      <c r="B116" s="5" t="s">
        <v>234</v>
      </c>
      <c r="C116" s="5" t="s">
        <v>235</v>
      </c>
      <c r="D116" s="5" t="s">
        <v>236</v>
      </c>
      <c r="E116" s="5" t="s">
        <v>242</v>
      </c>
      <c r="F116" s="5" t="s">
        <v>243</v>
      </c>
      <c r="G116" s="5" t="s">
        <v>44</v>
      </c>
      <c r="H116" s="5" t="s">
        <v>53</v>
      </c>
      <c r="I116" s="5" t="s">
        <v>239</v>
      </c>
      <c r="J116" s="5" t="s">
        <v>47</v>
      </c>
      <c r="K116" s="5"/>
    </row>
    <row r="117" customFormat="false" ht="23.85" hidden="false" customHeight="false" outlineLevel="0" collapsed="false">
      <c r="A117" s="5" t="n">
        <v>116</v>
      </c>
      <c r="B117" s="5" t="s">
        <v>234</v>
      </c>
      <c r="C117" s="5" t="s">
        <v>235</v>
      </c>
      <c r="D117" s="5" t="s">
        <v>236</v>
      </c>
      <c r="E117" s="5" t="s">
        <v>244</v>
      </c>
      <c r="F117" s="5" t="s">
        <v>245</v>
      </c>
      <c r="G117" s="5" t="s">
        <v>52</v>
      </c>
      <c r="H117" s="5" t="s">
        <v>53</v>
      </c>
      <c r="I117" s="5" t="s">
        <v>239</v>
      </c>
      <c r="J117" s="5" t="s">
        <v>47</v>
      </c>
      <c r="K117" s="5"/>
    </row>
    <row r="118" customFormat="false" ht="23.85" hidden="false" customHeight="false" outlineLevel="0" collapsed="false">
      <c r="A118" s="5" t="n">
        <v>117</v>
      </c>
      <c r="B118" s="5" t="s">
        <v>234</v>
      </c>
      <c r="C118" s="5" t="s">
        <v>235</v>
      </c>
      <c r="D118" s="5" t="s">
        <v>236</v>
      </c>
      <c r="E118" s="5" t="s">
        <v>127</v>
      </c>
      <c r="F118" s="5" t="s">
        <v>246</v>
      </c>
      <c r="G118" s="5" t="s">
        <v>44</v>
      </c>
      <c r="H118" s="5" t="s">
        <v>53</v>
      </c>
      <c r="I118" s="5" t="s">
        <v>239</v>
      </c>
      <c r="J118" s="5" t="s">
        <v>47</v>
      </c>
      <c r="K118" s="5"/>
    </row>
    <row r="119" customFormat="false" ht="23.85" hidden="false" customHeight="false" outlineLevel="0" collapsed="false">
      <c r="A119" s="5" t="n">
        <v>118</v>
      </c>
      <c r="B119" s="5" t="s">
        <v>234</v>
      </c>
      <c r="C119" s="5" t="s">
        <v>235</v>
      </c>
      <c r="D119" s="5" t="s">
        <v>236</v>
      </c>
      <c r="E119" s="5" t="s">
        <v>129</v>
      </c>
      <c r="F119" s="5" t="s">
        <v>247</v>
      </c>
      <c r="G119" s="5" t="s">
        <v>52</v>
      </c>
      <c r="H119" s="5" t="s">
        <v>53</v>
      </c>
      <c r="I119" s="5" t="s">
        <v>239</v>
      </c>
      <c r="J119" s="5" t="s">
        <v>47</v>
      </c>
      <c r="K119" s="5"/>
    </row>
    <row r="120" customFormat="false" ht="23.85" hidden="false" customHeight="false" outlineLevel="0" collapsed="false">
      <c r="A120" s="5" t="n">
        <v>119</v>
      </c>
      <c r="B120" s="5" t="s">
        <v>234</v>
      </c>
      <c r="C120" s="5" t="s">
        <v>235</v>
      </c>
      <c r="D120" s="5" t="s">
        <v>236</v>
      </c>
      <c r="E120" s="5" t="s">
        <v>131</v>
      </c>
      <c r="F120" s="5" t="s">
        <v>248</v>
      </c>
      <c r="G120" s="5" t="s">
        <v>52</v>
      </c>
      <c r="H120" s="5" t="s">
        <v>53</v>
      </c>
      <c r="I120" s="5" t="s">
        <v>239</v>
      </c>
      <c r="J120" s="5" t="s">
        <v>47</v>
      </c>
      <c r="K120" s="5"/>
    </row>
    <row r="121" customFormat="false" ht="23.85" hidden="false" customHeight="false" outlineLevel="0" collapsed="false">
      <c r="A121" s="5" t="n">
        <v>120</v>
      </c>
      <c r="B121" s="5" t="s">
        <v>234</v>
      </c>
      <c r="C121" s="5" t="s">
        <v>235</v>
      </c>
      <c r="D121" s="5" t="s">
        <v>236</v>
      </c>
      <c r="E121" s="5" t="s">
        <v>133</v>
      </c>
      <c r="F121" s="5" t="s">
        <v>249</v>
      </c>
      <c r="G121" s="5" t="s">
        <v>52</v>
      </c>
      <c r="H121" s="5" t="s">
        <v>53</v>
      </c>
      <c r="I121" s="5" t="s">
        <v>239</v>
      </c>
      <c r="J121" s="5" t="s">
        <v>47</v>
      </c>
      <c r="K121" s="5"/>
    </row>
    <row r="122" customFormat="false" ht="23.85" hidden="false" customHeight="false" outlineLevel="0" collapsed="false">
      <c r="A122" s="5" t="n">
        <v>121</v>
      </c>
      <c r="B122" s="5" t="s">
        <v>234</v>
      </c>
      <c r="C122" s="5" t="s">
        <v>235</v>
      </c>
      <c r="D122" s="5" t="s">
        <v>236</v>
      </c>
      <c r="E122" s="5" t="s">
        <v>135</v>
      </c>
      <c r="F122" s="5" t="s">
        <v>250</v>
      </c>
      <c r="G122" s="5" t="s">
        <v>44</v>
      </c>
      <c r="H122" s="5" t="s">
        <v>45</v>
      </c>
      <c r="I122" s="5" t="s">
        <v>239</v>
      </c>
      <c r="J122" s="5" t="s">
        <v>47</v>
      </c>
      <c r="K122" s="5"/>
    </row>
    <row r="123" customFormat="false" ht="23.85" hidden="false" customHeight="false" outlineLevel="0" collapsed="false">
      <c r="A123" s="5" t="n">
        <v>122</v>
      </c>
      <c r="B123" s="5" t="s">
        <v>234</v>
      </c>
      <c r="C123" s="5" t="s">
        <v>235</v>
      </c>
      <c r="D123" s="5" t="s">
        <v>236</v>
      </c>
      <c r="E123" s="5" t="s">
        <v>137</v>
      </c>
      <c r="F123" s="5" t="s">
        <v>251</v>
      </c>
      <c r="G123" s="5" t="s">
        <v>44</v>
      </c>
      <c r="H123" s="5" t="s">
        <v>45</v>
      </c>
      <c r="I123" s="5" t="s">
        <v>239</v>
      </c>
      <c r="J123" s="5" t="s">
        <v>47</v>
      </c>
      <c r="K123" s="5"/>
    </row>
    <row r="124" customFormat="false" ht="23.85" hidden="false" customHeight="false" outlineLevel="0" collapsed="false">
      <c r="A124" s="5" t="n">
        <v>123</v>
      </c>
      <c r="B124" s="5" t="s">
        <v>234</v>
      </c>
      <c r="C124" s="5" t="s">
        <v>252</v>
      </c>
      <c r="D124" s="5" t="s">
        <v>252</v>
      </c>
      <c r="E124" s="5" t="s">
        <v>156</v>
      </c>
      <c r="F124" s="5" t="s">
        <v>253</v>
      </c>
      <c r="G124" s="5" t="s">
        <v>52</v>
      </c>
      <c r="H124" s="5" t="s">
        <v>45</v>
      </c>
      <c r="I124" s="5" t="s">
        <v>239</v>
      </c>
      <c r="J124" s="5" t="s">
        <v>47</v>
      </c>
      <c r="K124" s="5"/>
    </row>
    <row r="125" customFormat="false" ht="23.85" hidden="false" customHeight="false" outlineLevel="0" collapsed="false">
      <c r="A125" s="5" t="n">
        <v>124</v>
      </c>
      <c r="B125" s="5" t="s">
        <v>234</v>
      </c>
      <c r="C125" s="5" t="s">
        <v>252</v>
      </c>
      <c r="D125" s="5" t="s">
        <v>252</v>
      </c>
      <c r="E125" s="5" t="s">
        <v>158</v>
      </c>
      <c r="F125" s="5" t="s">
        <v>254</v>
      </c>
      <c r="G125" s="5" t="s">
        <v>52</v>
      </c>
      <c r="H125" s="5" t="s">
        <v>45</v>
      </c>
      <c r="I125" s="5" t="s">
        <v>239</v>
      </c>
      <c r="J125" s="5" t="s">
        <v>47</v>
      </c>
      <c r="K125" s="5"/>
    </row>
    <row r="126" customFormat="false" ht="23.85" hidden="false" customHeight="false" outlineLevel="0" collapsed="false">
      <c r="A126" s="5" t="n">
        <v>125</v>
      </c>
      <c r="B126" s="5" t="s">
        <v>234</v>
      </c>
      <c r="C126" s="5" t="s">
        <v>252</v>
      </c>
      <c r="D126" s="5" t="s">
        <v>252</v>
      </c>
      <c r="E126" s="5" t="s">
        <v>160</v>
      </c>
      <c r="F126" s="5" t="s">
        <v>255</v>
      </c>
      <c r="G126" s="5" t="s">
        <v>44</v>
      </c>
      <c r="H126" s="5" t="s">
        <v>45</v>
      </c>
      <c r="I126" s="5" t="s">
        <v>239</v>
      </c>
      <c r="J126" s="5" t="s">
        <v>47</v>
      </c>
      <c r="K126" s="5"/>
    </row>
    <row r="127" customFormat="false" ht="23.85" hidden="false" customHeight="false" outlineLevel="0" collapsed="false">
      <c r="A127" s="5" t="n">
        <v>126</v>
      </c>
      <c r="B127" s="5" t="s">
        <v>234</v>
      </c>
      <c r="C127" s="5" t="s">
        <v>252</v>
      </c>
      <c r="D127" s="5" t="s">
        <v>252</v>
      </c>
      <c r="E127" s="5" t="s">
        <v>256</v>
      </c>
      <c r="F127" s="5" t="s">
        <v>257</v>
      </c>
      <c r="G127" s="5" t="s">
        <v>52</v>
      </c>
      <c r="H127" s="5" t="s">
        <v>53</v>
      </c>
      <c r="I127" s="5" t="s">
        <v>239</v>
      </c>
      <c r="J127" s="5" t="s">
        <v>47</v>
      </c>
      <c r="K127" s="5"/>
    </row>
    <row r="128" customFormat="false" ht="23.85" hidden="false" customHeight="false" outlineLevel="0" collapsed="false">
      <c r="A128" s="5" t="n">
        <v>127</v>
      </c>
      <c r="B128" s="5" t="s">
        <v>234</v>
      </c>
      <c r="C128" s="5" t="s">
        <v>252</v>
      </c>
      <c r="D128" s="5" t="s">
        <v>252</v>
      </c>
      <c r="E128" s="5" t="s">
        <v>258</v>
      </c>
      <c r="F128" s="5" t="s">
        <v>259</v>
      </c>
      <c r="G128" s="5" t="s">
        <v>52</v>
      </c>
      <c r="H128" s="5" t="s">
        <v>53</v>
      </c>
      <c r="I128" s="5" t="s">
        <v>239</v>
      </c>
      <c r="J128" s="5" t="s">
        <v>47</v>
      </c>
      <c r="K128" s="5"/>
    </row>
    <row r="129" customFormat="false" ht="23.85" hidden="false" customHeight="false" outlineLevel="0" collapsed="false">
      <c r="A129" s="5" t="n">
        <v>128</v>
      </c>
      <c r="B129" s="5" t="s">
        <v>234</v>
      </c>
      <c r="C129" s="5" t="s">
        <v>252</v>
      </c>
      <c r="D129" s="5" t="s">
        <v>252</v>
      </c>
      <c r="E129" s="5" t="s">
        <v>260</v>
      </c>
      <c r="F129" s="5" t="s">
        <v>261</v>
      </c>
      <c r="G129" s="5" t="s">
        <v>44</v>
      </c>
      <c r="H129" s="5" t="s">
        <v>45</v>
      </c>
      <c r="I129" s="5" t="s">
        <v>239</v>
      </c>
      <c r="J129" s="5" t="s">
        <v>47</v>
      </c>
      <c r="K129" s="5"/>
    </row>
    <row r="130" customFormat="false" ht="23.85" hidden="false" customHeight="false" outlineLevel="0" collapsed="false">
      <c r="A130" s="5" t="n">
        <v>129</v>
      </c>
      <c r="B130" s="5" t="s">
        <v>234</v>
      </c>
      <c r="C130" s="5" t="s">
        <v>252</v>
      </c>
      <c r="D130" s="5" t="s">
        <v>252</v>
      </c>
      <c r="E130" s="5" t="s">
        <v>262</v>
      </c>
      <c r="F130" s="5" t="s">
        <v>263</v>
      </c>
      <c r="G130" s="5" t="s">
        <v>44</v>
      </c>
      <c r="H130" s="5" t="s">
        <v>53</v>
      </c>
      <c r="I130" s="5" t="s">
        <v>239</v>
      </c>
      <c r="J130" s="5" t="s">
        <v>47</v>
      </c>
      <c r="K130" s="5"/>
    </row>
    <row r="131" customFormat="false" ht="23.85" hidden="false" customHeight="false" outlineLevel="0" collapsed="false">
      <c r="A131" s="5" t="n">
        <v>130</v>
      </c>
      <c r="B131" s="5" t="s">
        <v>234</v>
      </c>
      <c r="C131" s="5" t="s">
        <v>264</v>
      </c>
      <c r="D131" s="5" t="s">
        <v>264</v>
      </c>
      <c r="E131" s="5" t="s">
        <v>163</v>
      </c>
      <c r="F131" s="5" t="s">
        <v>265</v>
      </c>
      <c r="G131" s="5" t="s">
        <v>52</v>
      </c>
      <c r="H131" s="5" t="s">
        <v>53</v>
      </c>
      <c r="I131" s="5" t="s">
        <v>239</v>
      </c>
      <c r="J131" s="5" t="s">
        <v>47</v>
      </c>
      <c r="K131" s="5"/>
    </row>
    <row r="132" customFormat="false" ht="23.85" hidden="false" customHeight="false" outlineLevel="0" collapsed="false">
      <c r="A132" s="5" t="n">
        <v>131</v>
      </c>
      <c r="B132" s="5" t="s">
        <v>234</v>
      </c>
      <c r="C132" s="5" t="s">
        <v>264</v>
      </c>
      <c r="D132" s="5" t="s">
        <v>264</v>
      </c>
      <c r="E132" s="5" t="s">
        <v>266</v>
      </c>
      <c r="F132" s="5" t="s">
        <v>267</v>
      </c>
      <c r="G132" s="5" t="s">
        <v>44</v>
      </c>
      <c r="H132" s="5" t="s">
        <v>45</v>
      </c>
      <c r="I132" s="5" t="s">
        <v>239</v>
      </c>
      <c r="J132" s="5" t="s">
        <v>47</v>
      </c>
      <c r="K132" s="5"/>
    </row>
    <row r="133" customFormat="false" ht="23.85" hidden="false" customHeight="false" outlineLevel="0" collapsed="false">
      <c r="A133" s="5" t="n">
        <v>132</v>
      </c>
      <c r="B133" s="5" t="s">
        <v>234</v>
      </c>
      <c r="C133" s="5" t="s">
        <v>264</v>
      </c>
      <c r="D133" s="5" t="s">
        <v>264</v>
      </c>
      <c r="E133" s="5" t="s">
        <v>268</v>
      </c>
      <c r="F133" s="5" t="s">
        <v>269</v>
      </c>
      <c r="G133" s="5" t="s">
        <v>52</v>
      </c>
      <c r="H133" s="5" t="s">
        <v>53</v>
      </c>
      <c r="I133" s="5" t="s">
        <v>239</v>
      </c>
      <c r="J133" s="5" t="s">
        <v>47</v>
      </c>
      <c r="K133" s="5"/>
    </row>
    <row r="134" customFormat="false" ht="23.85" hidden="false" customHeight="false" outlineLevel="0" collapsed="false">
      <c r="A134" s="5" t="n">
        <v>133</v>
      </c>
      <c r="B134" s="5" t="s">
        <v>234</v>
      </c>
      <c r="C134" s="5" t="s">
        <v>264</v>
      </c>
      <c r="D134" s="5" t="s">
        <v>264</v>
      </c>
      <c r="E134" s="5" t="s">
        <v>270</v>
      </c>
      <c r="F134" s="5" t="s">
        <v>271</v>
      </c>
      <c r="G134" s="5" t="s">
        <v>52</v>
      </c>
      <c r="H134" s="5" t="s">
        <v>53</v>
      </c>
      <c r="I134" s="5" t="s">
        <v>239</v>
      </c>
      <c r="J134" s="5" t="s">
        <v>47</v>
      </c>
      <c r="K134" s="5"/>
    </row>
    <row r="135" customFormat="false" ht="23.85" hidden="false" customHeight="false" outlineLevel="0" collapsed="false">
      <c r="A135" s="5" t="n">
        <v>134</v>
      </c>
      <c r="B135" s="5" t="s">
        <v>234</v>
      </c>
      <c r="C135" s="5" t="s">
        <v>272</v>
      </c>
      <c r="D135" s="5" t="s">
        <v>272</v>
      </c>
      <c r="E135" s="5" t="s">
        <v>273</v>
      </c>
      <c r="F135" s="5" t="s">
        <v>274</v>
      </c>
      <c r="G135" s="5" t="s">
        <v>52</v>
      </c>
      <c r="H135" s="5" t="s">
        <v>53</v>
      </c>
      <c r="I135" s="5" t="s">
        <v>239</v>
      </c>
      <c r="J135" s="5" t="s">
        <v>47</v>
      </c>
      <c r="K135" s="5"/>
    </row>
    <row r="136" customFormat="false" ht="23.85" hidden="false" customHeight="false" outlineLevel="0" collapsed="false">
      <c r="A136" s="5" t="n">
        <v>135</v>
      </c>
      <c r="B136" s="5" t="s">
        <v>234</v>
      </c>
      <c r="C136" s="5" t="s">
        <v>272</v>
      </c>
      <c r="D136" s="5" t="s">
        <v>272</v>
      </c>
      <c r="E136" s="5" t="s">
        <v>275</v>
      </c>
      <c r="F136" s="5" t="s">
        <v>276</v>
      </c>
      <c r="G136" s="5" t="s">
        <v>44</v>
      </c>
      <c r="H136" s="5" t="s">
        <v>45</v>
      </c>
      <c r="I136" s="5" t="s">
        <v>239</v>
      </c>
      <c r="J136" s="5" t="s">
        <v>47</v>
      </c>
      <c r="K136" s="5"/>
    </row>
    <row r="137" customFormat="false" ht="23.85" hidden="false" customHeight="false" outlineLevel="0" collapsed="false">
      <c r="A137" s="5" t="n">
        <v>136</v>
      </c>
      <c r="B137" s="5" t="s">
        <v>234</v>
      </c>
      <c r="C137" s="5" t="s">
        <v>272</v>
      </c>
      <c r="D137" s="5" t="s">
        <v>272</v>
      </c>
      <c r="E137" s="5" t="s">
        <v>277</v>
      </c>
      <c r="F137" s="5" t="s">
        <v>278</v>
      </c>
      <c r="G137" s="5" t="s">
        <v>52</v>
      </c>
      <c r="H137" s="5" t="s">
        <v>45</v>
      </c>
      <c r="I137" s="5" t="s">
        <v>239</v>
      </c>
      <c r="J137" s="5" t="s">
        <v>47</v>
      </c>
      <c r="K137" s="5"/>
    </row>
    <row r="138" customFormat="false" ht="23.85" hidden="false" customHeight="false" outlineLevel="0" collapsed="false">
      <c r="A138" s="5" t="n">
        <v>137</v>
      </c>
      <c r="B138" s="5" t="s">
        <v>234</v>
      </c>
      <c r="C138" s="5" t="s">
        <v>272</v>
      </c>
      <c r="D138" s="5" t="s">
        <v>272</v>
      </c>
      <c r="E138" s="5" t="s">
        <v>279</v>
      </c>
      <c r="F138" s="5" t="s">
        <v>280</v>
      </c>
      <c r="G138" s="5" t="s">
        <v>52</v>
      </c>
      <c r="H138" s="5" t="s">
        <v>45</v>
      </c>
      <c r="I138" s="5" t="s">
        <v>239</v>
      </c>
      <c r="J138" s="5" t="s">
        <v>47</v>
      </c>
      <c r="K138" s="5"/>
    </row>
    <row r="139" customFormat="false" ht="23.85" hidden="false" customHeight="false" outlineLevel="0" collapsed="false">
      <c r="A139" s="5" t="n">
        <v>138</v>
      </c>
      <c r="B139" s="5" t="s">
        <v>234</v>
      </c>
      <c r="C139" s="5" t="s">
        <v>272</v>
      </c>
      <c r="D139" s="5" t="s">
        <v>272</v>
      </c>
      <c r="E139" s="5" t="s">
        <v>281</v>
      </c>
      <c r="F139" s="5" t="s">
        <v>282</v>
      </c>
      <c r="G139" s="5" t="s">
        <v>52</v>
      </c>
      <c r="H139" s="5" t="s">
        <v>45</v>
      </c>
      <c r="I139" s="5" t="s">
        <v>239</v>
      </c>
      <c r="J139" s="5" t="s">
        <v>47</v>
      </c>
      <c r="K139" s="5"/>
    </row>
    <row r="140" customFormat="false" ht="23.85" hidden="false" customHeight="false" outlineLevel="0" collapsed="false">
      <c r="A140" s="5" t="n">
        <v>139</v>
      </c>
      <c r="B140" s="5" t="s">
        <v>234</v>
      </c>
      <c r="C140" s="5" t="s">
        <v>272</v>
      </c>
      <c r="D140" s="5" t="s">
        <v>272</v>
      </c>
      <c r="E140" s="5" t="s">
        <v>283</v>
      </c>
      <c r="F140" s="5" t="s">
        <v>284</v>
      </c>
      <c r="G140" s="5" t="s">
        <v>52</v>
      </c>
      <c r="H140" s="5" t="s">
        <v>45</v>
      </c>
      <c r="I140" s="5" t="s">
        <v>239</v>
      </c>
      <c r="J140" s="5" t="s">
        <v>47</v>
      </c>
      <c r="K140" s="5"/>
    </row>
    <row r="141" customFormat="false" ht="23.85" hidden="false" customHeight="false" outlineLevel="0" collapsed="false">
      <c r="A141" s="5" t="n">
        <v>140</v>
      </c>
      <c r="B141" s="5" t="s">
        <v>234</v>
      </c>
      <c r="C141" s="5" t="s">
        <v>272</v>
      </c>
      <c r="D141" s="5" t="s">
        <v>272</v>
      </c>
      <c r="E141" s="5" t="s">
        <v>285</v>
      </c>
      <c r="F141" s="5" t="s">
        <v>286</v>
      </c>
      <c r="G141" s="5" t="s">
        <v>52</v>
      </c>
      <c r="H141" s="5" t="s">
        <v>53</v>
      </c>
      <c r="I141" s="5" t="s">
        <v>239</v>
      </c>
      <c r="J141" s="5" t="s">
        <v>47</v>
      </c>
      <c r="K141" s="5"/>
    </row>
    <row r="142" customFormat="false" ht="23.85" hidden="false" customHeight="false" outlineLevel="0" collapsed="false">
      <c r="A142" s="5" t="n">
        <v>141</v>
      </c>
      <c r="B142" s="5" t="s">
        <v>234</v>
      </c>
      <c r="C142" s="5" t="s">
        <v>272</v>
      </c>
      <c r="D142" s="5" t="s">
        <v>272</v>
      </c>
      <c r="E142" s="5" t="s">
        <v>287</v>
      </c>
      <c r="F142" s="5" t="s">
        <v>288</v>
      </c>
      <c r="G142" s="5" t="s">
        <v>44</v>
      </c>
      <c r="H142" s="5" t="s">
        <v>45</v>
      </c>
      <c r="I142" s="5" t="s">
        <v>239</v>
      </c>
      <c r="J142" s="5" t="s">
        <v>47</v>
      </c>
      <c r="K142" s="5"/>
    </row>
    <row r="143" customFormat="false" ht="23.85" hidden="false" customHeight="false" outlineLevel="0" collapsed="false">
      <c r="A143" s="5" t="n">
        <v>142</v>
      </c>
      <c r="B143" s="5" t="s">
        <v>234</v>
      </c>
      <c r="C143" s="5" t="s">
        <v>272</v>
      </c>
      <c r="D143" s="5" t="s">
        <v>272</v>
      </c>
      <c r="E143" s="5" t="s">
        <v>289</v>
      </c>
      <c r="F143" s="5" t="s">
        <v>290</v>
      </c>
      <c r="G143" s="5" t="s">
        <v>44</v>
      </c>
      <c r="H143" s="5" t="s">
        <v>45</v>
      </c>
      <c r="I143" s="5" t="s">
        <v>239</v>
      </c>
      <c r="J143" s="5" t="s">
        <v>47</v>
      </c>
      <c r="K143" s="5"/>
    </row>
    <row r="144" customFormat="false" ht="23.85" hidden="false" customHeight="false" outlineLevel="0" collapsed="false">
      <c r="A144" s="5" t="n">
        <v>143</v>
      </c>
      <c r="B144" s="5" t="s">
        <v>234</v>
      </c>
      <c r="C144" s="5" t="s">
        <v>291</v>
      </c>
      <c r="D144" s="5" t="s">
        <v>291</v>
      </c>
      <c r="E144" s="5" t="s">
        <v>292</v>
      </c>
      <c r="F144" s="5" t="s">
        <v>293</v>
      </c>
      <c r="G144" s="5" t="s">
        <v>52</v>
      </c>
      <c r="H144" s="5" t="s">
        <v>53</v>
      </c>
      <c r="I144" s="5" t="s">
        <v>239</v>
      </c>
      <c r="J144" s="5" t="s">
        <v>47</v>
      </c>
      <c r="K144" s="5"/>
    </row>
    <row r="145" customFormat="false" ht="23.85" hidden="false" customHeight="false" outlineLevel="0" collapsed="false">
      <c r="A145" s="5" t="n">
        <v>144</v>
      </c>
      <c r="B145" s="5" t="s">
        <v>234</v>
      </c>
      <c r="C145" s="5" t="s">
        <v>291</v>
      </c>
      <c r="D145" s="5" t="s">
        <v>291</v>
      </c>
      <c r="E145" s="5" t="s">
        <v>294</v>
      </c>
      <c r="F145" s="5" t="s">
        <v>295</v>
      </c>
      <c r="G145" s="5" t="s">
        <v>44</v>
      </c>
      <c r="H145" s="5" t="s">
        <v>53</v>
      </c>
      <c r="I145" s="5" t="s">
        <v>239</v>
      </c>
      <c r="J145" s="5" t="s">
        <v>47</v>
      </c>
      <c r="K145" s="5"/>
    </row>
    <row r="146" customFormat="false" ht="23.85" hidden="false" customHeight="false" outlineLevel="0" collapsed="false">
      <c r="A146" s="5" t="n">
        <v>145</v>
      </c>
      <c r="B146" s="5" t="s">
        <v>234</v>
      </c>
      <c r="C146" s="5" t="s">
        <v>291</v>
      </c>
      <c r="D146" s="5" t="s">
        <v>291</v>
      </c>
      <c r="E146" s="5" t="s">
        <v>296</v>
      </c>
      <c r="F146" s="5" t="s">
        <v>297</v>
      </c>
      <c r="G146" s="5" t="s">
        <v>52</v>
      </c>
      <c r="H146" s="5" t="s">
        <v>45</v>
      </c>
      <c r="I146" s="5" t="s">
        <v>239</v>
      </c>
      <c r="J146" s="5" t="s">
        <v>47</v>
      </c>
      <c r="K146" s="5"/>
    </row>
    <row r="147" customFormat="false" ht="23.85" hidden="false" customHeight="false" outlineLevel="0" collapsed="false">
      <c r="A147" s="5" t="n">
        <v>146</v>
      </c>
      <c r="B147" s="5" t="s">
        <v>234</v>
      </c>
      <c r="C147" s="5" t="s">
        <v>291</v>
      </c>
      <c r="D147" s="5" t="s">
        <v>291</v>
      </c>
      <c r="E147" s="5" t="s">
        <v>298</v>
      </c>
      <c r="F147" s="5" t="s">
        <v>299</v>
      </c>
      <c r="G147" s="5" t="s">
        <v>52</v>
      </c>
      <c r="H147" s="5" t="s">
        <v>45</v>
      </c>
      <c r="I147" s="5" t="s">
        <v>239</v>
      </c>
      <c r="J147" s="5" t="s">
        <v>47</v>
      </c>
      <c r="K147" s="5"/>
    </row>
    <row r="148" customFormat="false" ht="23.85" hidden="false" customHeight="false" outlineLevel="0" collapsed="false">
      <c r="A148" s="5" t="n">
        <v>147</v>
      </c>
      <c r="B148" s="5" t="s">
        <v>234</v>
      </c>
      <c r="C148" s="5" t="s">
        <v>291</v>
      </c>
      <c r="D148" s="5" t="s">
        <v>291</v>
      </c>
      <c r="E148" s="5" t="s">
        <v>300</v>
      </c>
      <c r="F148" s="5" t="s">
        <v>301</v>
      </c>
      <c r="G148" s="5" t="s">
        <v>44</v>
      </c>
      <c r="H148" s="5" t="s">
        <v>45</v>
      </c>
      <c r="I148" s="5" t="s">
        <v>239</v>
      </c>
      <c r="J148" s="5" t="s">
        <v>47</v>
      </c>
      <c r="K148" s="5"/>
    </row>
    <row r="149" customFormat="false" ht="23.85" hidden="false" customHeight="false" outlineLevel="0" collapsed="false">
      <c r="A149" s="5" t="n">
        <v>148</v>
      </c>
      <c r="B149" s="5" t="s">
        <v>234</v>
      </c>
      <c r="C149" s="5" t="s">
        <v>291</v>
      </c>
      <c r="D149" s="5" t="s">
        <v>291</v>
      </c>
      <c r="E149" s="5" t="s">
        <v>302</v>
      </c>
      <c r="F149" s="5" t="s">
        <v>303</v>
      </c>
      <c r="G149" s="5" t="s">
        <v>44</v>
      </c>
      <c r="H149" s="5" t="s">
        <v>45</v>
      </c>
      <c r="I149" s="5" t="s">
        <v>239</v>
      </c>
      <c r="J149" s="5" t="s">
        <v>47</v>
      </c>
      <c r="K149" s="5"/>
    </row>
    <row r="150" customFormat="false" ht="23.85" hidden="false" customHeight="false" outlineLevel="0" collapsed="false">
      <c r="A150" s="5" t="n">
        <v>149</v>
      </c>
      <c r="B150" s="5" t="s">
        <v>234</v>
      </c>
      <c r="C150" s="5" t="s">
        <v>291</v>
      </c>
      <c r="D150" s="5" t="s">
        <v>291</v>
      </c>
      <c r="E150" s="5" t="s">
        <v>304</v>
      </c>
      <c r="F150" s="5" t="s">
        <v>305</v>
      </c>
      <c r="G150" s="5" t="s">
        <v>44</v>
      </c>
      <c r="H150" s="5" t="s">
        <v>45</v>
      </c>
      <c r="I150" s="5" t="s">
        <v>239</v>
      </c>
      <c r="J150" s="5" t="s">
        <v>47</v>
      </c>
      <c r="K150" s="5"/>
    </row>
    <row r="151" customFormat="false" ht="23.85" hidden="false" customHeight="false" outlineLevel="0" collapsed="false">
      <c r="A151" s="5" t="n">
        <v>150</v>
      </c>
      <c r="B151" s="5" t="s">
        <v>234</v>
      </c>
      <c r="C151" s="5" t="s">
        <v>291</v>
      </c>
      <c r="D151" s="5" t="s">
        <v>291</v>
      </c>
      <c r="E151" s="5" t="s">
        <v>306</v>
      </c>
      <c r="F151" s="5" t="s">
        <v>307</v>
      </c>
      <c r="G151" s="5" t="s">
        <v>44</v>
      </c>
      <c r="H151" s="5" t="s">
        <v>45</v>
      </c>
      <c r="I151" s="5" t="s">
        <v>239</v>
      </c>
      <c r="J151" s="5" t="s">
        <v>47</v>
      </c>
      <c r="K151" s="5"/>
    </row>
    <row r="152" customFormat="false" ht="23.85" hidden="false" customHeight="false" outlineLevel="0" collapsed="false">
      <c r="A152" s="5" t="n">
        <v>151</v>
      </c>
      <c r="B152" s="5" t="s">
        <v>234</v>
      </c>
      <c r="C152" s="5" t="s">
        <v>291</v>
      </c>
      <c r="D152" s="5" t="s">
        <v>291</v>
      </c>
      <c r="E152" s="5" t="s">
        <v>308</v>
      </c>
      <c r="F152" s="5" t="s">
        <v>309</v>
      </c>
      <c r="G152" s="5" t="s">
        <v>44</v>
      </c>
      <c r="H152" s="5" t="s">
        <v>45</v>
      </c>
      <c r="I152" s="5" t="s">
        <v>239</v>
      </c>
      <c r="J152" s="5" t="s">
        <v>47</v>
      </c>
      <c r="K152" s="5"/>
    </row>
    <row r="153" customFormat="false" ht="23.85" hidden="false" customHeight="false" outlineLevel="0" collapsed="false">
      <c r="A153" s="5" t="n">
        <v>152</v>
      </c>
      <c r="B153" s="5" t="s">
        <v>234</v>
      </c>
      <c r="C153" s="5" t="s">
        <v>291</v>
      </c>
      <c r="D153" s="5" t="s">
        <v>291</v>
      </c>
      <c r="E153" s="5" t="s">
        <v>310</v>
      </c>
      <c r="F153" s="5" t="s">
        <v>311</v>
      </c>
      <c r="G153" s="5" t="s">
        <v>44</v>
      </c>
      <c r="H153" s="5" t="s">
        <v>45</v>
      </c>
      <c r="I153" s="5" t="s">
        <v>239</v>
      </c>
      <c r="J153" s="5" t="s">
        <v>47</v>
      </c>
      <c r="K153" s="5"/>
    </row>
    <row r="154" customFormat="false" ht="23.85" hidden="false" customHeight="false" outlineLevel="0" collapsed="false">
      <c r="A154" s="5" t="n">
        <v>153</v>
      </c>
      <c r="B154" s="5" t="s">
        <v>234</v>
      </c>
      <c r="C154" s="5" t="s">
        <v>291</v>
      </c>
      <c r="D154" s="5" t="s">
        <v>291</v>
      </c>
      <c r="E154" s="5" t="s">
        <v>312</v>
      </c>
      <c r="F154" s="5" t="s">
        <v>313</v>
      </c>
      <c r="G154" s="5" t="s">
        <v>44</v>
      </c>
      <c r="H154" s="5" t="s">
        <v>45</v>
      </c>
      <c r="I154" s="5" t="s">
        <v>239</v>
      </c>
      <c r="J154" s="5" t="s">
        <v>47</v>
      </c>
      <c r="K154" s="5"/>
    </row>
    <row r="155" customFormat="false" ht="23.85" hidden="false" customHeight="false" outlineLevel="0" collapsed="false">
      <c r="A155" s="5" t="n">
        <v>154</v>
      </c>
      <c r="B155" s="5" t="s">
        <v>234</v>
      </c>
      <c r="C155" s="5" t="s">
        <v>314</v>
      </c>
      <c r="D155" s="5" t="s">
        <v>314</v>
      </c>
      <c r="E155" s="5" t="s">
        <v>315</v>
      </c>
      <c r="F155" s="5" t="s">
        <v>316</v>
      </c>
      <c r="G155" s="5" t="s">
        <v>44</v>
      </c>
      <c r="H155" s="5" t="s">
        <v>45</v>
      </c>
      <c r="I155" s="5" t="s">
        <v>239</v>
      </c>
      <c r="J155" s="5" t="s">
        <v>47</v>
      </c>
      <c r="K155" s="5"/>
    </row>
    <row r="156" customFormat="false" ht="23.85" hidden="false" customHeight="false" outlineLevel="0" collapsed="false">
      <c r="A156" s="5" t="n">
        <v>155</v>
      </c>
      <c r="B156" s="5" t="s">
        <v>234</v>
      </c>
      <c r="C156" s="5" t="s">
        <v>314</v>
      </c>
      <c r="D156" s="5" t="s">
        <v>314</v>
      </c>
      <c r="E156" s="5" t="s">
        <v>317</v>
      </c>
      <c r="F156" s="5" t="s">
        <v>318</v>
      </c>
      <c r="G156" s="5" t="s">
        <v>52</v>
      </c>
      <c r="H156" s="5" t="s">
        <v>45</v>
      </c>
      <c r="I156" s="5" t="s">
        <v>239</v>
      </c>
      <c r="J156" s="5" t="s">
        <v>47</v>
      </c>
      <c r="K156" s="5"/>
    </row>
    <row r="157" customFormat="false" ht="23.85" hidden="false" customHeight="false" outlineLevel="0" collapsed="false">
      <c r="A157" s="5" t="n">
        <v>156</v>
      </c>
      <c r="B157" s="5" t="s">
        <v>234</v>
      </c>
      <c r="C157" s="5" t="s">
        <v>314</v>
      </c>
      <c r="D157" s="5" t="s">
        <v>314</v>
      </c>
      <c r="E157" s="5" t="s">
        <v>319</v>
      </c>
      <c r="F157" s="5" t="s">
        <v>320</v>
      </c>
      <c r="G157" s="5" t="s">
        <v>44</v>
      </c>
      <c r="H157" s="5" t="s">
        <v>45</v>
      </c>
      <c r="I157" s="5" t="s">
        <v>239</v>
      </c>
      <c r="J157" s="5" t="s">
        <v>47</v>
      </c>
      <c r="K157" s="5"/>
    </row>
    <row r="158" customFormat="false" ht="23.85" hidden="false" customHeight="false" outlineLevel="0" collapsed="false">
      <c r="A158" s="5" t="n">
        <v>157</v>
      </c>
      <c r="B158" s="5" t="s">
        <v>234</v>
      </c>
      <c r="C158" s="5" t="s">
        <v>314</v>
      </c>
      <c r="D158" s="5" t="s">
        <v>314</v>
      </c>
      <c r="E158" s="5" t="s">
        <v>321</v>
      </c>
      <c r="F158" s="5" t="s">
        <v>322</v>
      </c>
      <c r="G158" s="5" t="s">
        <v>52</v>
      </c>
      <c r="H158" s="5" t="s">
        <v>45</v>
      </c>
      <c r="I158" s="5" t="s">
        <v>239</v>
      </c>
      <c r="J158" s="5" t="s">
        <v>47</v>
      </c>
      <c r="K158" s="5"/>
    </row>
    <row r="159" customFormat="false" ht="23.85" hidden="false" customHeight="false" outlineLevel="0" collapsed="false">
      <c r="A159" s="5" t="n">
        <v>158</v>
      </c>
      <c r="B159" s="5" t="s">
        <v>234</v>
      </c>
      <c r="C159" s="5" t="s">
        <v>314</v>
      </c>
      <c r="D159" s="5" t="s">
        <v>314</v>
      </c>
      <c r="E159" s="5" t="s">
        <v>323</v>
      </c>
      <c r="F159" s="5" t="s">
        <v>324</v>
      </c>
      <c r="G159" s="5" t="s">
        <v>44</v>
      </c>
      <c r="H159" s="5" t="s">
        <v>45</v>
      </c>
      <c r="I159" s="5" t="s">
        <v>239</v>
      </c>
      <c r="J159" s="5" t="s">
        <v>47</v>
      </c>
      <c r="K159" s="5"/>
    </row>
    <row r="160" customFormat="false" ht="23.85" hidden="false" customHeight="false" outlineLevel="0" collapsed="false">
      <c r="A160" s="5" t="n">
        <v>159</v>
      </c>
      <c r="B160" s="5" t="s">
        <v>234</v>
      </c>
      <c r="C160" s="5" t="s">
        <v>314</v>
      </c>
      <c r="D160" s="5" t="s">
        <v>314</v>
      </c>
      <c r="E160" s="5" t="s">
        <v>325</v>
      </c>
      <c r="F160" s="5" t="s">
        <v>326</v>
      </c>
      <c r="G160" s="5" t="s">
        <v>44</v>
      </c>
      <c r="H160" s="5" t="s">
        <v>45</v>
      </c>
      <c r="I160" s="5" t="s">
        <v>239</v>
      </c>
      <c r="J160" s="5" t="s">
        <v>47</v>
      </c>
      <c r="K160" s="5"/>
    </row>
    <row r="161" customFormat="false" ht="23.85" hidden="false" customHeight="false" outlineLevel="0" collapsed="false">
      <c r="A161" s="5" t="n">
        <v>160</v>
      </c>
      <c r="B161" s="5" t="s">
        <v>234</v>
      </c>
      <c r="C161" s="5" t="s">
        <v>314</v>
      </c>
      <c r="D161" s="5" t="s">
        <v>314</v>
      </c>
      <c r="E161" s="5" t="s">
        <v>327</v>
      </c>
      <c r="F161" s="5" t="s">
        <v>328</v>
      </c>
      <c r="G161" s="5" t="s">
        <v>44</v>
      </c>
      <c r="H161" s="5" t="s">
        <v>45</v>
      </c>
      <c r="I161" s="5" t="s">
        <v>239</v>
      </c>
      <c r="J161" s="5" t="s">
        <v>47</v>
      </c>
      <c r="K161" s="5"/>
    </row>
    <row r="162" customFormat="false" ht="23.85" hidden="false" customHeight="false" outlineLevel="0" collapsed="false">
      <c r="A162" s="5" t="n">
        <v>161</v>
      </c>
      <c r="B162" s="5" t="s">
        <v>234</v>
      </c>
      <c r="C162" s="5" t="s">
        <v>314</v>
      </c>
      <c r="D162" s="5" t="s">
        <v>314</v>
      </c>
      <c r="E162" s="5" t="s">
        <v>329</v>
      </c>
      <c r="F162" s="5" t="s">
        <v>330</v>
      </c>
      <c r="G162" s="5" t="s">
        <v>44</v>
      </c>
      <c r="H162" s="5" t="s">
        <v>45</v>
      </c>
      <c r="I162" s="5" t="s">
        <v>239</v>
      </c>
      <c r="J162" s="5" t="s">
        <v>47</v>
      </c>
      <c r="K162" s="5"/>
    </row>
    <row r="163" customFormat="false" ht="23.85" hidden="false" customHeight="false" outlineLevel="0" collapsed="false">
      <c r="A163" s="5" t="n">
        <v>162</v>
      </c>
      <c r="B163" s="5" t="s">
        <v>331</v>
      </c>
      <c r="C163" s="5" t="s">
        <v>332</v>
      </c>
      <c r="D163" s="5" t="s">
        <v>333</v>
      </c>
      <c r="E163" s="5" t="s">
        <v>334</v>
      </c>
      <c r="F163" s="5" t="s">
        <v>335</v>
      </c>
      <c r="G163" s="5" t="s">
        <v>44</v>
      </c>
      <c r="H163" s="5" t="s">
        <v>45</v>
      </c>
      <c r="I163" s="5" t="s">
        <v>46</v>
      </c>
      <c r="J163" s="5" t="s">
        <v>47</v>
      </c>
      <c r="K163" s="5"/>
    </row>
    <row r="164" customFormat="false" ht="23.85" hidden="false" customHeight="false" outlineLevel="0" collapsed="false">
      <c r="A164" s="5" t="n">
        <v>163</v>
      </c>
      <c r="B164" s="5" t="s">
        <v>331</v>
      </c>
      <c r="C164" s="5" t="s">
        <v>332</v>
      </c>
      <c r="D164" s="5" t="s">
        <v>333</v>
      </c>
      <c r="E164" s="5" t="s">
        <v>336</v>
      </c>
      <c r="F164" s="5" t="s">
        <v>337</v>
      </c>
      <c r="G164" s="5" t="s">
        <v>44</v>
      </c>
      <c r="H164" s="5" t="s">
        <v>53</v>
      </c>
      <c r="I164" s="5" t="s">
        <v>46</v>
      </c>
      <c r="J164" s="5" t="s">
        <v>47</v>
      </c>
      <c r="K164" s="5"/>
    </row>
    <row r="165" customFormat="false" ht="23.85" hidden="false" customHeight="false" outlineLevel="0" collapsed="false">
      <c r="A165" s="5" t="n">
        <v>164</v>
      </c>
      <c r="B165" s="5" t="s">
        <v>331</v>
      </c>
      <c r="C165" s="5" t="s">
        <v>332</v>
      </c>
      <c r="D165" s="5" t="s">
        <v>333</v>
      </c>
      <c r="E165" s="5" t="s">
        <v>338</v>
      </c>
      <c r="F165" s="5" t="s">
        <v>339</v>
      </c>
      <c r="G165" s="5" t="s">
        <v>44</v>
      </c>
      <c r="H165" s="5" t="s">
        <v>45</v>
      </c>
      <c r="I165" s="5" t="s">
        <v>46</v>
      </c>
      <c r="J165" s="5" t="s">
        <v>47</v>
      </c>
      <c r="K165" s="5"/>
    </row>
    <row r="166" customFormat="false" ht="23.85" hidden="false" customHeight="false" outlineLevel="0" collapsed="false">
      <c r="A166" s="5" t="n">
        <v>165</v>
      </c>
      <c r="B166" s="5" t="s">
        <v>331</v>
      </c>
      <c r="C166" s="5" t="s">
        <v>332</v>
      </c>
      <c r="D166" s="5" t="s">
        <v>333</v>
      </c>
      <c r="E166" s="5" t="s">
        <v>340</v>
      </c>
      <c r="F166" s="5" t="s">
        <v>341</v>
      </c>
      <c r="G166" s="5" t="s">
        <v>44</v>
      </c>
      <c r="H166" s="5" t="s">
        <v>53</v>
      </c>
      <c r="I166" s="5" t="s">
        <v>46</v>
      </c>
      <c r="J166" s="5" t="s">
        <v>47</v>
      </c>
      <c r="K166" s="5"/>
    </row>
    <row r="167" customFormat="false" ht="15" hidden="false" customHeight="false" outlineLevel="0" collapsed="false">
      <c r="A167" s="5" t="n">
        <v>166</v>
      </c>
      <c r="B167" s="5" t="s">
        <v>331</v>
      </c>
      <c r="C167" s="5" t="s">
        <v>332</v>
      </c>
      <c r="D167" s="5" t="s">
        <v>342</v>
      </c>
      <c r="E167" s="5" t="s">
        <v>343</v>
      </c>
      <c r="F167" s="5" t="s">
        <v>344</v>
      </c>
      <c r="G167" s="5" t="s">
        <v>44</v>
      </c>
      <c r="H167" s="5" t="s">
        <v>53</v>
      </c>
      <c r="I167" s="5" t="s">
        <v>46</v>
      </c>
      <c r="J167" s="5" t="s">
        <v>47</v>
      </c>
      <c r="K167" s="5"/>
    </row>
    <row r="168" customFormat="false" ht="15" hidden="false" customHeight="false" outlineLevel="0" collapsed="false">
      <c r="A168" s="5" t="n">
        <v>167</v>
      </c>
      <c r="B168" s="5" t="s">
        <v>331</v>
      </c>
      <c r="C168" s="5" t="s">
        <v>332</v>
      </c>
      <c r="D168" s="5" t="s">
        <v>342</v>
      </c>
      <c r="E168" s="5" t="s">
        <v>345</v>
      </c>
      <c r="F168" s="5" t="s">
        <v>346</v>
      </c>
      <c r="G168" s="5" t="s">
        <v>44</v>
      </c>
      <c r="H168" s="5" t="s">
        <v>53</v>
      </c>
      <c r="I168" s="5" t="s">
        <v>46</v>
      </c>
      <c r="J168" s="5" t="s">
        <v>47</v>
      </c>
      <c r="K168" s="5"/>
    </row>
    <row r="169" customFormat="false" ht="15" hidden="false" customHeight="false" outlineLevel="0" collapsed="false">
      <c r="A169" s="5" t="n">
        <v>168</v>
      </c>
      <c r="B169" s="5" t="s">
        <v>331</v>
      </c>
      <c r="C169" s="5" t="s">
        <v>332</v>
      </c>
      <c r="D169" s="5" t="s">
        <v>342</v>
      </c>
      <c r="E169" s="5" t="s">
        <v>347</v>
      </c>
      <c r="F169" s="5" t="s">
        <v>348</v>
      </c>
      <c r="G169" s="5" t="s">
        <v>44</v>
      </c>
      <c r="H169" s="5" t="s">
        <v>45</v>
      </c>
      <c r="I169" s="5" t="s">
        <v>46</v>
      </c>
      <c r="J169" s="5" t="s">
        <v>47</v>
      </c>
      <c r="K169" s="5"/>
    </row>
    <row r="170" customFormat="false" ht="15" hidden="false" customHeight="false" outlineLevel="0" collapsed="false">
      <c r="A170" s="5" t="n">
        <v>169</v>
      </c>
      <c r="B170" s="5" t="s">
        <v>331</v>
      </c>
      <c r="C170" s="5" t="s">
        <v>332</v>
      </c>
      <c r="D170" s="5" t="s">
        <v>342</v>
      </c>
      <c r="E170" s="5" t="s">
        <v>349</v>
      </c>
      <c r="F170" s="5" t="s">
        <v>350</v>
      </c>
      <c r="G170" s="5" t="s">
        <v>44</v>
      </c>
      <c r="H170" s="5" t="s">
        <v>53</v>
      </c>
      <c r="I170" s="5" t="s">
        <v>46</v>
      </c>
      <c r="J170" s="5" t="s">
        <v>47</v>
      </c>
      <c r="K170" s="5"/>
    </row>
    <row r="171" customFormat="false" ht="15" hidden="false" customHeight="false" outlineLevel="0" collapsed="false">
      <c r="A171" s="5" t="n">
        <v>170</v>
      </c>
      <c r="B171" s="5" t="s">
        <v>331</v>
      </c>
      <c r="C171" s="5" t="s">
        <v>332</v>
      </c>
      <c r="D171" s="5" t="s">
        <v>342</v>
      </c>
      <c r="E171" s="5" t="s">
        <v>351</v>
      </c>
      <c r="F171" s="5" t="s">
        <v>352</v>
      </c>
      <c r="G171" s="5" t="s">
        <v>44</v>
      </c>
      <c r="H171" s="5" t="s">
        <v>53</v>
      </c>
      <c r="I171" s="5" t="s">
        <v>46</v>
      </c>
      <c r="J171" s="5" t="s">
        <v>47</v>
      </c>
      <c r="K171" s="5"/>
    </row>
    <row r="172" customFormat="false" ht="15" hidden="false" customHeight="false" outlineLevel="0" collapsed="false">
      <c r="A172" s="5" t="n">
        <v>171</v>
      </c>
      <c r="B172" s="5" t="s">
        <v>331</v>
      </c>
      <c r="C172" s="5" t="s">
        <v>332</v>
      </c>
      <c r="D172" s="5" t="s">
        <v>342</v>
      </c>
      <c r="E172" s="5" t="s">
        <v>353</v>
      </c>
      <c r="F172" s="5" t="s">
        <v>354</v>
      </c>
      <c r="G172" s="5" t="s">
        <v>44</v>
      </c>
      <c r="H172" s="5" t="s">
        <v>53</v>
      </c>
      <c r="I172" s="5" t="s">
        <v>46</v>
      </c>
      <c r="J172" s="5" t="s">
        <v>47</v>
      </c>
      <c r="K172" s="5"/>
    </row>
    <row r="173" customFormat="false" ht="15" hidden="false" customHeight="false" outlineLevel="0" collapsed="false">
      <c r="A173" s="5" t="n">
        <v>172</v>
      </c>
      <c r="B173" s="5" t="s">
        <v>331</v>
      </c>
      <c r="C173" s="5" t="s">
        <v>332</v>
      </c>
      <c r="D173" s="5" t="s">
        <v>342</v>
      </c>
      <c r="E173" s="5" t="s">
        <v>355</v>
      </c>
      <c r="F173" s="5" t="s">
        <v>356</v>
      </c>
      <c r="G173" s="5" t="s">
        <v>44</v>
      </c>
      <c r="H173" s="5" t="s">
        <v>53</v>
      </c>
      <c r="I173" s="5" t="s">
        <v>46</v>
      </c>
      <c r="J173" s="5" t="s">
        <v>47</v>
      </c>
      <c r="K173" s="5"/>
    </row>
    <row r="174" customFormat="false" ht="15" hidden="false" customHeight="false" outlineLevel="0" collapsed="false">
      <c r="A174" s="5" t="n">
        <v>173</v>
      </c>
      <c r="B174" s="5" t="s">
        <v>331</v>
      </c>
      <c r="C174" s="5" t="s">
        <v>332</v>
      </c>
      <c r="D174" s="5" t="s">
        <v>357</v>
      </c>
      <c r="E174" s="5" t="s">
        <v>279</v>
      </c>
      <c r="F174" s="5" t="s">
        <v>358</v>
      </c>
      <c r="G174" s="5" t="s">
        <v>44</v>
      </c>
      <c r="H174" s="5" t="s">
        <v>45</v>
      </c>
      <c r="I174" s="5" t="s">
        <v>46</v>
      </c>
      <c r="J174" s="5" t="s">
        <v>47</v>
      </c>
      <c r="K174" s="5"/>
    </row>
    <row r="175" customFormat="false" ht="15" hidden="false" customHeight="false" outlineLevel="0" collapsed="false">
      <c r="A175" s="5" t="n">
        <v>174</v>
      </c>
      <c r="B175" s="5" t="s">
        <v>331</v>
      </c>
      <c r="C175" s="5" t="s">
        <v>332</v>
      </c>
      <c r="D175" s="5" t="s">
        <v>357</v>
      </c>
      <c r="E175" s="5" t="s">
        <v>281</v>
      </c>
      <c r="F175" s="5" t="s">
        <v>359</v>
      </c>
      <c r="G175" s="5" t="s">
        <v>52</v>
      </c>
      <c r="H175" s="5" t="s">
        <v>53</v>
      </c>
      <c r="I175" s="5" t="s">
        <v>46</v>
      </c>
      <c r="J175" s="5" t="s">
        <v>47</v>
      </c>
      <c r="K175" s="5"/>
    </row>
    <row r="176" customFormat="false" ht="23.85" hidden="false" customHeight="false" outlineLevel="0" collapsed="false">
      <c r="A176" s="5" t="n">
        <v>175</v>
      </c>
      <c r="B176" s="5" t="s">
        <v>331</v>
      </c>
      <c r="C176" s="5" t="s">
        <v>332</v>
      </c>
      <c r="D176" s="5" t="s">
        <v>357</v>
      </c>
      <c r="E176" s="5" t="s">
        <v>283</v>
      </c>
      <c r="F176" s="5" t="s">
        <v>360</v>
      </c>
      <c r="G176" s="5" t="s">
        <v>52</v>
      </c>
      <c r="H176" s="5" t="s">
        <v>53</v>
      </c>
      <c r="I176" s="5" t="s">
        <v>46</v>
      </c>
      <c r="J176" s="5" t="s">
        <v>47</v>
      </c>
      <c r="K176" s="5"/>
    </row>
    <row r="177" customFormat="false" ht="15" hidden="false" customHeight="false" outlineLevel="0" collapsed="false">
      <c r="A177" s="5" t="n">
        <v>176</v>
      </c>
      <c r="B177" s="5" t="s">
        <v>331</v>
      </c>
      <c r="C177" s="5" t="s">
        <v>332</v>
      </c>
      <c r="D177" s="5" t="s">
        <v>357</v>
      </c>
      <c r="E177" s="5" t="s">
        <v>285</v>
      </c>
      <c r="F177" s="5" t="s">
        <v>361</v>
      </c>
      <c r="G177" s="5" t="s">
        <v>44</v>
      </c>
      <c r="H177" s="5" t="s">
        <v>45</v>
      </c>
      <c r="I177" s="5" t="s">
        <v>46</v>
      </c>
      <c r="J177" s="5" t="s">
        <v>47</v>
      </c>
      <c r="K177" s="5"/>
    </row>
    <row r="178" customFormat="false" ht="23.85" hidden="false" customHeight="false" outlineLevel="0" collapsed="false">
      <c r="A178" s="5" t="n">
        <v>177</v>
      </c>
      <c r="B178" s="5" t="s">
        <v>362</v>
      </c>
      <c r="C178" s="5" t="s">
        <v>363</v>
      </c>
      <c r="D178" s="5" t="s">
        <v>364</v>
      </c>
      <c r="E178" s="5" t="s">
        <v>365</v>
      </c>
      <c r="F178" s="5" t="s">
        <v>366</v>
      </c>
      <c r="G178" s="5" t="s">
        <v>44</v>
      </c>
      <c r="H178" s="5" t="s">
        <v>45</v>
      </c>
      <c r="I178" s="5" t="s">
        <v>46</v>
      </c>
      <c r="J178" s="5" t="s">
        <v>47</v>
      </c>
      <c r="K178" s="5"/>
    </row>
    <row r="179" customFormat="false" ht="23.85" hidden="false" customHeight="false" outlineLevel="0" collapsed="false">
      <c r="A179" s="5" t="n">
        <v>178</v>
      </c>
      <c r="B179" s="5" t="s">
        <v>362</v>
      </c>
      <c r="C179" s="5" t="s">
        <v>363</v>
      </c>
      <c r="D179" s="5" t="s">
        <v>364</v>
      </c>
      <c r="E179" s="5" t="s">
        <v>367</v>
      </c>
      <c r="F179" s="5" t="s">
        <v>368</v>
      </c>
      <c r="G179" s="5" t="s">
        <v>44</v>
      </c>
      <c r="H179" s="5" t="s">
        <v>45</v>
      </c>
      <c r="I179" s="5" t="s">
        <v>46</v>
      </c>
      <c r="J179" s="5" t="s">
        <v>47</v>
      </c>
      <c r="K179" s="5"/>
    </row>
    <row r="180" customFormat="false" ht="23.85" hidden="false" customHeight="false" outlineLevel="0" collapsed="false">
      <c r="A180" s="5" t="n">
        <v>179</v>
      </c>
      <c r="B180" s="5" t="s">
        <v>362</v>
      </c>
      <c r="C180" s="5" t="s">
        <v>363</v>
      </c>
      <c r="D180" s="5" t="s">
        <v>364</v>
      </c>
      <c r="E180" s="5" t="s">
        <v>369</v>
      </c>
      <c r="F180" s="5" t="s">
        <v>370</v>
      </c>
      <c r="G180" s="5" t="s">
        <v>52</v>
      </c>
      <c r="H180" s="5" t="s">
        <v>53</v>
      </c>
      <c r="I180" s="5" t="s">
        <v>46</v>
      </c>
      <c r="J180" s="7" t="s">
        <v>223</v>
      </c>
      <c r="K180" s="5" t="s">
        <v>371</v>
      </c>
    </row>
    <row r="181" customFormat="false" ht="23.85" hidden="false" customHeight="false" outlineLevel="0" collapsed="false">
      <c r="A181" s="5" t="n">
        <v>180</v>
      </c>
      <c r="B181" s="5" t="s">
        <v>362</v>
      </c>
      <c r="C181" s="5" t="s">
        <v>363</v>
      </c>
      <c r="D181" s="5" t="s">
        <v>364</v>
      </c>
      <c r="E181" s="5" t="s">
        <v>372</v>
      </c>
      <c r="F181" s="5" t="s">
        <v>373</v>
      </c>
      <c r="G181" s="5" t="s">
        <v>44</v>
      </c>
      <c r="H181" s="5" t="s">
        <v>45</v>
      </c>
      <c r="I181" s="5" t="s">
        <v>46</v>
      </c>
      <c r="J181" s="5" t="s">
        <v>47</v>
      </c>
      <c r="K181" s="5"/>
    </row>
    <row r="182" customFormat="false" ht="23.85" hidden="false" customHeight="false" outlineLevel="0" collapsed="false">
      <c r="A182" s="5" t="n">
        <v>181</v>
      </c>
      <c r="B182" s="5" t="s">
        <v>362</v>
      </c>
      <c r="C182" s="5" t="s">
        <v>363</v>
      </c>
      <c r="D182" s="5" t="s">
        <v>364</v>
      </c>
      <c r="E182" s="5" t="s">
        <v>374</v>
      </c>
      <c r="F182" s="5" t="s">
        <v>375</v>
      </c>
      <c r="G182" s="5" t="s">
        <v>52</v>
      </c>
      <c r="H182" s="5" t="s">
        <v>53</v>
      </c>
      <c r="I182" s="5" t="s">
        <v>46</v>
      </c>
      <c r="J182" s="5" t="s">
        <v>47</v>
      </c>
      <c r="K182" s="5"/>
    </row>
    <row r="183" customFormat="false" ht="23.85" hidden="false" customHeight="false" outlineLevel="0" collapsed="false">
      <c r="A183" s="5" t="n">
        <v>182</v>
      </c>
      <c r="B183" s="5" t="s">
        <v>362</v>
      </c>
      <c r="C183" s="5" t="s">
        <v>363</v>
      </c>
      <c r="D183" s="5" t="s">
        <v>364</v>
      </c>
      <c r="E183" s="5" t="s">
        <v>376</v>
      </c>
      <c r="F183" s="5" t="s">
        <v>377</v>
      </c>
      <c r="G183" s="5" t="s">
        <v>52</v>
      </c>
      <c r="H183" s="5" t="s">
        <v>53</v>
      </c>
      <c r="I183" s="5" t="s">
        <v>46</v>
      </c>
      <c r="J183" s="5" t="s">
        <v>47</v>
      </c>
      <c r="K183" s="5"/>
    </row>
    <row r="184" customFormat="false" ht="23.85" hidden="false" customHeight="false" outlineLevel="0" collapsed="false">
      <c r="A184" s="5" t="n">
        <v>183</v>
      </c>
      <c r="B184" s="5" t="s">
        <v>362</v>
      </c>
      <c r="C184" s="5" t="s">
        <v>363</v>
      </c>
      <c r="D184" s="5" t="s">
        <v>364</v>
      </c>
      <c r="E184" s="5" t="s">
        <v>378</v>
      </c>
      <c r="F184" s="5" t="s">
        <v>379</v>
      </c>
      <c r="G184" s="5" t="s">
        <v>52</v>
      </c>
      <c r="H184" s="5" t="s">
        <v>53</v>
      </c>
      <c r="I184" s="5" t="s">
        <v>46</v>
      </c>
      <c r="J184" s="5" t="s">
        <v>47</v>
      </c>
      <c r="K184" s="5"/>
    </row>
    <row r="185" customFormat="false" ht="23.85" hidden="false" customHeight="false" outlineLevel="0" collapsed="false">
      <c r="A185" s="5" t="n">
        <v>184</v>
      </c>
      <c r="B185" s="5" t="s">
        <v>362</v>
      </c>
      <c r="C185" s="5" t="s">
        <v>363</v>
      </c>
      <c r="D185" s="5" t="s">
        <v>364</v>
      </c>
      <c r="E185" s="5" t="s">
        <v>380</v>
      </c>
      <c r="F185" s="5" t="s">
        <v>381</v>
      </c>
      <c r="G185" s="5" t="s">
        <v>52</v>
      </c>
      <c r="H185" s="5" t="s">
        <v>53</v>
      </c>
      <c r="I185" s="5" t="s">
        <v>46</v>
      </c>
      <c r="J185" s="5" t="s">
        <v>47</v>
      </c>
      <c r="K185" s="5"/>
    </row>
    <row r="186" customFormat="false" ht="23.85" hidden="false" customHeight="false" outlineLevel="0" collapsed="false">
      <c r="A186" s="5" t="n">
        <v>185</v>
      </c>
      <c r="B186" s="5" t="s">
        <v>362</v>
      </c>
      <c r="C186" s="5" t="s">
        <v>363</v>
      </c>
      <c r="D186" s="5" t="s">
        <v>364</v>
      </c>
      <c r="E186" s="5" t="s">
        <v>382</v>
      </c>
      <c r="F186" s="5" t="s">
        <v>383</v>
      </c>
      <c r="G186" s="5" t="s">
        <v>52</v>
      </c>
      <c r="H186" s="5" t="s">
        <v>53</v>
      </c>
      <c r="I186" s="5" t="s">
        <v>46</v>
      </c>
      <c r="J186" s="5" t="s">
        <v>47</v>
      </c>
      <c r="K186" s="5"/>
    </row>
    <row r="187" customFormat="false" ht="35.05" hidden="false" customHeight="false" outlineLevel="0" collapsed="false">
      <c r="A187" s="5" t="n">
        <v>186</v>
      </c>
      <c r="B187" s="5" t="s">
        <v>362</v>
      </c>
      <c r="C187" s="5" t="s">
        <v>363</v>
      </c>
      <c r="D187" s="5" t="s">
        <v>384</v>
      </c>
      <c r="E187" s="5" t="s">
        <v>385</v>
      </c>
      <c r="F187" s="5" t="s">
        <v>386</v>
      </c>
      <c r="G187" s="5" t="s">
        <v>44</v>
      </c>
      <c r="H187" s="5" t="s">
        <v>45</v>
      </c>
      <c r="I187" s="5" t="s">
        <v>46</v>
      </c>
      <c r="J187" s="5" t="s">
        <v>47</v>
      </c>
      <c r="K187" s="5"/>
    </row>
    <row r="188" customFormat="false" ht="35.05" hidden="false" customHeight="false" outlineLevel="0" collapsed="false">
      <c r="A188" s="5" t="n">
        <v>187</v>
      </c>
      <c r="B188" s="5" t="s">
        <v>362</v>
      </c>
      <c r="C188" s="5" t="s">
        <v>363</v>
      </c>
      <c r="D188" s="5" t="s">
        <v>384</v>
      </c>
      <c r="E188" s="5" t="s">
        <v>387</v>
      </c>
      <c r="F188" s="5" t="s">
        <v>388</v>
      </c>
      <c r="G188" s="5" t="s">
        <v>44</v>
      </c>
      <c r="H188" s="5" t="s">
        <v>45</v>
      </c>
      <c r="I188" s="5" t="s">
        <v>46</v>
      </c>
      <c r="J188" s="5" t="s">
        <v>47</v>
      </c>
      <c r="K188" s="5"/>
    </row>
    <row r="189" customFormat="false" ht="35.05" hidden="false" customHeight="false" outlineLevel="0" collapsed="false">
      <c r="A189" s="5" t="n">
        <v>188</v>
      </c>
      <c r="B189" s="5" t="s">
        <v>362</v>
      </c>
      <c r="C189" s="5" t="s">
        <v>363</v>
      </c>
      <c r="D189" s="5" t="s">
        <v>384</v>
      </c>
      <c r="E189" s="5" t="s">
        <v>389</v>
      </c>
      <c r="F189" s="5" t="s">
        <v>390</v>
      </c>
      <c r="G189" s="5" t="s">
        <v>44</v>
      </c>
      <c r="H189" s="5" t="s">
        <v>45</v>
      </c>
      <c r="I189" s="5" t="s">
        <v>46</v>
      </c>
      <c r="J189" s="5" t="s">
        <v>47</v>
      </c>
      <c r="K189" s="5"/>
    </row>
    <row r="190" customFormat="false" ht="35.05" hidden="false" customHeight="false" outlineLevel="0" collapsed="false">
      <c r="A190" s="5" t="n">
        <v>189</v>
      </c>
      <c r="B190" s="5" t="s">
        <v>362</v>
      </c>
      <c r="C190" s="5" t="s">
        <v>363</v>
      </c>
      <c r="D190" s="5" t="s">
        <v>384</v>
      </c>
      <c r="E190" s="5" t="s">
        <v>391</v>
      </c>
      <c r="F190" s="5" t="s">
        <v>392</v>
      </c>
      <c r="G190" s="5" t="s">
        <v>44</v>
      </c>
      <c r="H190" s="5" t="s">
        <v>45</v>
      </c>
      <c r="I190" s="5" t="s">
        <v>46</v>
      </c>
      <c r="J190" s="5" t="s">
        <v>47</v>
      </c>
      <c r="K190" s="5"/>
    </row>
    <row r="191" customFormat="false" ht="35.05" hidden="false" customHeight="false" outlineLevel="0" collapsed="false">
      <c r="A191" s="5" t="n">
        <v>190</v>
      </c>
      <c r="B191" s="5" t="s">
        <v>362</v>
      </c>
      <c r="C191" s="5" t="s">
        <v>363</v>
      </c>
      <c r="D191" s="5" t="s">
        <v>384</v>
      </c>
      <c r="E191" s="5" t="s">
        <v>393</v>
      </c>
      <c r="F191" s="5" t="s">
        <v>394</v>
      </c>
      <c r="G191" s="5" t="s">
        <v>44</v>
      </c>
      <c r="H191" s="5" t="s">
        <v>45</v>
      </c>
      <c r="I191" s="5" t="s">
        <v>46</v>
      </c>
      <c r="J191" s="5" t="s">
        <v>47</v>
      </c>
      <c r="K191" s="5"/>
    </row>
    <row r="192" customFormat="false" ht="35.05" hidden="false" customHeight="false" outlineLevel="0" collapsed="false">
      <c r="A192" s="5" t="n">
        <v>191</v>
      </c>
      <c r="B192" s="5" t="s">
        <v>362</v>
      </c>
      <c r="C192" s="5" t="s">
        <v>363</v>
      </c>
      <c r="D192" s="5" t="s">
        <v>384</v>
      </c>
      <c r="E192" s="5" t="s">
        <v>395</v>
      </c>
      <c r="F192" s="5" t="s">
        <v>396</v>
      </c>
      <c r="G192" s="5" t="s">
        <v>44</v>
      </c>
      <c r="H192" s="5" t="s">
        <v>45</v>
      </c>
      <c r="I192" s="5" t="s">
        <v>46</v>
      </c>
      <c r="J192" s="5" t="s">
        <v>47</v>
      </c>
      <c r="K192" s="5"/>
    </row>
    <row r="193" customFormat="false" ht="35.05" hidden="false" customHeight="false" outlineLevel="0" collapsed="false">
      <c r="A193" s="5" t="n">
        <v>192</v>
      </c>
      <c r="B193" s="5" t="s">
        <v>362</v>
      </c>
      <c r="C193" s="5" t="s">
        <v>363</v>
      </c>
      <c r="D193" s="5" t="s">
        <v>384</v>
      </c>
      <c r="E193" s="5" t="s">
        <v>397</v>
      </c>
      <c r="F193" s="5" t="s">
        <v>398</v>
      </c>
      <c r="G193" s="5" t="s">
        <v>44</v>
      </c>
      <c r="H193" s="5" t="s">
        <v>45</v>
      </c>
      <c r="I193" s="5" t="s">
        <v>46</v>
      </c>
      <c r="J193" s="5" t="s">
        <v>47</v>
      </c>
      <c r="K193" s="5"/>
    </row>
    <row r="194" customFormat="false" ht="35.05" hidden="false" customHeight="false" outlineLevel="0" collapsed="false">
      <c r="A194" s="5" t="n">
        <v>193</v>
      </c>
      <c r="B194" s="5" t="s">
        <v>362</v>
      </c>
      <c r="C194" s="5" t="s">
        <v>363</v>
      </c>
      <c r="D194" s="5" t="s">
        <v>384</v>
      </c>
      <c r="E194" s="5" t="s">
        <v>399</v>
      </c>
      <c r="F194" s="5" t="s">
        <v>400</v>
      </c>
      <c r="G194" s="5" t="s">
        <v>44</v>
      </c>
      <c r="H194" s="5" t="s">
        <v>45</v>
      </c>
      <c r="I194" s="5" t="s">
        <v>46</v>
      </c>
      <c r="J194" s="5" t="s">
        <v>47</v>
      </c>
      <c r="K194" s="5"/>
    </row>
    <row r="195" customFormat="false" ht="35.05" hidden="false" customHeight="false" outlineLevel="0" collapsed="false">
      <c r="A195" s="5" t="n">
        <v>194</v>
      </c>
      <c r="B195" s="5" t="s">
        <v>362</v>
      </c>
      <c r="C195" s="5" t="s">
        <v>363</v>
      </c>
      <c r="D195" s="5" t="s">
        <v>384</v>
      </c>
      <c r="E195" s="5" t="s">
        <v>401</v>
      </c>
      <c r="F195" s="5" t="s">
        <v>402</v>
      </c>
      <c r="G195" s="5" t="s">
        <v>44</v>
      </c>
      <c r="H195" s="5" t="s">
        <v>45</v>
      </c>
      <c r="I195" s="5" t="s">
        <v>46</v>
      </c>
      <c r="J195" s="5" t="s">
        <v>47</v>
      </c>
      <c r="K195" s="5"/>
    </row>
    <row r="196" customFormat="false" ht="35.05" hidden="false" customHeight="false" outlineLevel="0" collapsed="false">
      <c r="A196" s="5" t="n">
        <v>195</v>
      </c>
      <c r="B196" s="5" t="s">
        <v>362</v>
      </c>
      <c r="C196" s="5" t="s">
        <v>363</v>
      </c>
      <c r="D196" s="5" t="s">
        <v>384</v>
      </c>
      <c r="E196" s="5" t="s">
        <v>403</v>
      </c>
      <c r="F196" s="5" t="s">
        <v>404</v>
      </c>
      <c r="G196" s="5" t="s">
        <v>44</v>
      </c>
      <c r="H196" s="5" t="s">
        <v>45</v>
      </c>
      <c r="I196" s="5" t="s">
        <v>46</v>
      </c>
      <c r="J196" s="5" t="s">
        <v>47</v>
      </c>
      <c r="K196" s="5"/>
    </row>
    <row r="197" customFormat="false" ht="35.05" hidden="false" customHeight="false" outlineLevel="0" collapsed="false">
      <c r="A197" s="5" t="n">
        <v>196</v>
      </c>
      <c r="B197" s="5" t="s">
        <v>362</v>
      </c>
      <c r="C197" s="5" t="s">
        <v>363</v>
      </c>
      <c r="D197" s="5" t="s">
        <v>384</v>
      </c>
      <c r="E197" s="5" t="s">
        <v>405</v>
      </c>
      <c r="F197" s="5" t="s">
        <v>406</v>
      </c>
      <c r="G197" s="5" t="s">
        <v>44</v>
      </c>
      <c r="H197" s="5" t="s">
        <v>45</v>
      </c>
      <c r="I197" s="5" t="s">
        <v>46</v>
      </c>
      <c r="J197" s="5" t="s">
        <v>47</v>
      </c>
      <c r="K197" s="5"/>
    </row>
    <row r="198" customFormat="false" ht="23.85" hidden="false" customHeight="false" outlineLevel="0" collapsed="false">
      <c r="A198" s="5" t="n">
        <v>197</v>
      </c>
      <c r="B198" s="5" t="s">
        <v>362</v>
      </c>
      <c r="C198" s="5" t="s">
        <v>363</v>
      </c>
      <c r="D198" s="5" t="s">
        <v>407</v>
      </c>
      <c r="E198" s="5" t="s">
        <v>408</v>
      </c>
      <c r="F198" s="5" t="s">
        <v>409</v>
      </c>
      <c r="G198" s="5" t="s">
        <v>52</v>
      </c>
      <c r="H198" s="5" t="s">
        <v>45</v>
      </c>
      <c r="I198" s="5" t="s">
        <v>46</v>
      </c>
      <c r="J198" s="5" t="s">
        <v>47</v>
      </c>
      <c r="K198" s="5"/>
    </row>
    <row r="199" customFormat="false" ht="23.85" hidden="false" customHeight="false" outlineLevel="0" collapsed="false">
      <c r="A199" s="5" t="n">
        <v>198</v>
      </c>
      <c r="B199" s="5" t="s">
        <v>362</v>
      </c>
      <c r="C199" s="5" t="s">
        <v>363</v>
      </c>
      <c r="D199" s="5" t="s">
        <v>410</v>
      </c>
      <c r="E199" s="5" t="s">
        <v>411</v>
      </c>
      <c r="F199" s="5" t="s">
        <v>412</v>
      </c>
      <c r="G199" s="5" t="s">
        <v>44</v>
      </c>
      <c r="H199" s="5" t="s">
        <v>53</v>
      </c>
      <c r="I199" s="5" t="s">
        <v>46</v>
      </c>
      <c r="J199" s="5" t="s">
        <v>47</v>
      </c>
      <c r="K199" s="5"/>
    </row>
    <row r="200" customFormat="false" ht="23.85" hidden="false" customHeight="false" outlineLevel="0" collapsed="false">
      <c r="A200" s="5" t="n">
        <v>199</v>
      </c>
      <c r="B200" s="5" t="s">
        <v>362</v>
      </c>
      <c r="C200" s="5" t="s">
        <v>363</v>
      </c>
      <c r="D200" s="5" t="s">
        <v>410</v>
      </c>
      <c r="E200" s="5" t="s">
        <v>413</v>
      </c>
      <c r="F200" s="5" t="s">
        <v>414</v>
      </c>
      <c r="G200" s="5" t="s">
        <v>52</v>
      </c>
      <c r="H200" s="5" t="s">
        <v>53</v>
      </c>
      <c r="I200" s="5" t="s">
        <v>46</v>
      </c>
      <c r="J200" s="5" t="s">
        <v>47</v>
      </c>
      <c r="K200" s="5"/>
    </row>
    <row r="201" customFormat="false" ht="23.85" hidden="false" customHeight="false" outlineLevel="0" collapsed="false">
      <c r="A201" s="5" t="n">
        <v>200</v>
      </c>
      <c r="B201" s="5" t="s">
        <v>362</v>
      </c>
      <c r="C201" s="5" t="s">
        <v>415</v>
      </c>
      <c r="D201" s="5" t="s">
        <v>416</v>
      </c>
      <c r="E201" s="5" t="s">
        <v>294</v>
      </c>
      <c r="F201" s="5" t="s">
        <v>417</v>
      </c>
      <c r="G201" s="5" t="s">
        <v>52</v>
      </c>
      <c r="H201" s="5" t="s">
        <v>53</v>
      </c>
      <c r="I201" s="5" t="s">
        <v>46</v>
      </c>
      <c r="J201" s="5" t="s">
        <v>47</v>
      </c>
      <c r="K201" s="5"/>
    </row>
    <row r="202" customFormat="false" ht="15" hidden="false" customHeight="false" outlineLevel="0" collapsed="false">
      <c r="A202" s="5" t="n">
        <v>201</v>
      </c>
      <c r="B202" s="5" t="s">
        <v>418</v>
      </c>
      <c r="C202" s="5" t="s">
        <v>419</v>
      </c>
      <c r="D202" s="5" t="s">
        <v>420</v>
      </c>
      <c r="E202" s="5" t="s">
        <v>421</v>
      </c>
      <c r="F202" s="5" t="s">
        <v>422</v>
      </c>
      <c r="G202" s="5" t="s">
        <v>52</v>
      </c>
      <c r="H202" s="5" t="s">
        <v>45</v>
      </c>
      <c r="I202" s="5" t="s">
        <v>46</v>
      </c>
      <c r="J202" s="5" t="s">
        <v>47</v>
      </c>
      <c r="K202" s="5"/>
    </row>
    <row r="203" customFormat="false" ht="23.85" hidden="false" customHeight="false" outlineLevel="0" collapsed="false">
      <c r="A203" s="5" t="n">
        <v>202</v>
      </c>
      <c r="B203" s="5" t="s">
        <v>418</v>
      </c>
      <c r="C203" s="5" t="s">
        <v>419</v>
      </c>
      <c r="D203" s="5" t="s">
        <v>420</v>
      </c>
      <c r="E203" s="5" t="s">
        <v>423</v>
      </c>
      <c r="F203" s="5" t="s">
        <v>424</v>
      </c>
      <c r="G203" s="5" t="s">
        <v>44</v>
      </c>
      <c r="H203" s="5" t="s">
        <v>45</v>
      </c>
      <c r="I203" s="5" t="s">
        <v>46</v>
      </c>
      <c r="J203" s="5" t="s">
        <v>47</v>
      </c>
      <c r="K203" s="5"/>
    </row>
    <row r="204" customFormat="false" ht="15" hidden="false" customHeight="false" outlineLevel="0" collapsed="false">
      <c r="A204" s="5" t="n">
        <v>203</v>
      </c>
      <c r="B204" s="5" t="s">
        <v>418</v>
      </c>
      <c r="C204" s="5" t="s">
        <v>419</v>
      </c>
      <c r="D204" s="5" t="s">
        <v>420</v>
      </c>
      <c r="E204" s="5" t="s">
        <v>425</v>
      </c>
      <c r="F204" s="5" t="s">
        <v>426</v>
      </c>
      <c r="G204" s="5" t="s">
        <v>44</v>
      </c>
      <c r="H204" s="5" t="s">
        <v>45</v>
      </c>
      <c r="I204" s="5" t="s">
        <v>46</v>
      </c>
      <c r="J204" s="5" t="s">
        <v>47</v>
      </c>
      <c r="K204" s="5"/>
    </row>
    <row r="205" customFormat="false" ht="23.85" hidden="false" customHeight="false" outlineLevel="0" collapsed="false">
      <c r="A205" s="5" t="n">
        <v>204</v>
      </c>
      <c r="B205" s="5" t="s">
        <v>418</v>
      </c>
      <c r="C205" s="5" t="s">
        <v>419</v>
      </c>
      <c r="D205" s="5" t="s">
        <v>420</v>
      </c>
      <c r="E205" s="5" t="s">
        <v>427</v>
      </c>
      <c r="F205" s="5" t="s">
        <v>428</v>
      </c>
      <c r="G205" s="5" t="s">
        <v>52</v>
      </c>
      <c r="H205" s="5" t="s">
        <v>45</v>
      </c>
      <c r="I205" s="5" t="s">
        <v>46</v>
      </c>
      <c r="J205" s="5" t="s">
        <v>47</v>
      </c>
      <c r="K205" s="5"/>
    </row>
    <row r="206" customFormat="false" ht="23.85" hidden="false" customHeight="false" outlineLevel="0" collapsed="false">
      <c r="A206" s="5" t="n">
        <v>205</v>
      </c>
      <c r="B206" s="5" t="s">
        <v>418</v>
      </c>
      <c r="C206" s="5" t="s">
        <v>419</v>
      </c>
      <c r="D206" s="5" t="s">
        <v>420</v>
      </c>
      <c r="E206" s="5" t="s">
        <v>429</v>
      </c>
      <c r="F206" s="5" t="s">
        <v>430</v>
      </c>
      <c r="G206" s="5" t="s">
        <v>52</v>
      </c>
      <c r="H206" s="5" t="s">
        <v>45</v>
      </c>
      <c r="I206" s="5" t="s">
        <v>46</v>
      </c>
      <c r="J206" s="5" t="s">
        <v>47</v>
      </c>
      <c r="K206" s="5"/>
    </row>
    <row r="207" customFormat="false" ht="15" hidden="false" customHeight="false" outlineLevel="0" collapsed="false">
      <c r="A207" s="5" t="n">
        <v>206</v>
      </c>
      <c r="B207" s="5" t="s">
        <v>418</v>
      </c>
      <c r="C207" s="5" t="s">
        <v>431</v>
      </c>
      <c r="D207" s="5" t="s">
        <v>432</v>
      </c>
      <c r="E207" s="5" t="s">
        <v>433</v>
      </c>
      <c r="F207" s="5" t="s">
        <v>434</v>
      </c>
      <c r="G207" s="5" t="s">
        <v>52</v>
      </c>
      <c r="H207" s="5" t="s">
        <v>45</v>
      </c>
      <c r="I207" s="5" t="s">
        <v>46</v>
      </c>
      <c r="J207" s="5" t="s">
        <v>47</v>
      </c>
      <c r="K207" s="5"/>
    </row>
    <row r="208" customFormat="false" ht="23.85" hidden="false" customHeight="false" outlineLevel="0" collapsed="false">
      <c r="A208" s="5" t="n">
        <v>207</v>
      </c>
      <c r="B208" s="5" t="s">
        <v>418</v>
      </c>
      <c r="C208" s="5" t="s">
        <v>435</v>
      </c>
      <c r="D208" s="5" t="s">
        <v>420</v>
      </c>
      <c r="E208" s="5" t="s">
        <v>436</v>
      </c>
      <c r="F208" s="5" t="s">
        <v>437</v>
      </c>
      <c r="G208" s="5" t="s">
        <v>52</v>
      </c>
      <c r="H208" s="5" t="s">
        <v>53</v>
      </c>
      <c r="I208" s="5" t="s">
        <v>46</v>
      </c>
      <c r="J208" s="5" t="s">
        <v>47</v>
      </c>
      <c r="K208" s="5"/>
    </row>
    <row r="209" customFormat="false" ht="15" hidden="false" customHeight="false" outlineLevel="0" collapsed="false">
      <c r="A209" s="5" t="n">
        <v>208</v>
      </c>
      <c r="B209" s="5" t="s">
        <v>418</v>
      </c>
      <c r="C209" s="5" t="s">
        <v>438</v>
      </c>
      <c r="D209" s="5" t="s">
        <v>420</v>
      </c>
      <c r="E209" s="5" t="s">
        <v>439</v>
      </c>
      <c r="F209" s="5" t="s">
        <v>440</v>
      </c>
      <c r="G209" s="5" t="s">
        <v>52</v>
      </c>
      <c r="H209" s="5" t="s">
        <v>45</v>
      </c>
      <c r="I209" s="5" t="s">
        <v>46</v>
      </c>
      <c r="J209" s="5" t="s">
        <v>47</v>
      </c>
      <c r="K209" s="5"/>
    </row>
    <row r="210" customFormat="false" ht="15" hidden="false" customHeight="false" outlineLevel="0" collapsed="false">
      <c r="A210" s="5" t="n">
        <v>209</v>
      </c>
      <c r="B210" s="5" t="s">
        <v>418</v>
      </c>
      <c r="C210" s="5" t="s">
        <v>438</v>
      </c>
      <c r="D210" s="5" t="s">
        <v>420</v>
      </c>
      <c r="E210" s="5" t="s">
        <v>441</v>
      </c>
      <c r="F210" s="5" t="s">
        <v>442</v>
      </c>
      <c r="G210" s="5" t="s">
        <v>52</v>
      </c>
      <c r="H210" s="5" t="s">
        <v>45</v>
      </c>
      <c r="I210" s="5" t="s">
        <v>46</v>
      </c>
      <c r="J210" s="5" t="s">
        <v>47</v>
      </c>
      <c r="K210" s="5"/>
    </row>
    <row r="211" customFormat="false" ht="15" hidden="false" customHeight="false" outlineLevel="0" collapsed="false">
      <c r="A211" s="5" t="n">
        <v>210</v>
      </c>
      <c r="B211" s="5" t="s">
        <v>418</v>
      </c>
      <c r="C211" s="5" t="s">
        <v>438</v>
      </c>
      <c r="D211" s="5" t="s">
        <v>420</v>
      </c>
      <c r="E211" s="5" t="s">
        <v>443</v>
      </c>
      <c r="F211" s="5" t="s">
        <v>444</v>
      </c>
      <c r="G211" s="5" t="s">
        <v>52</v>
      </c>
      <c r="H211" s="5" t="s">
        <v>45</v>
      </c>
      <c r="I211" s="5" t="s">
        <v>46</v>
      </c>
      <c r="J211" s="5" t="s">
        <v>47</v>
      </c>
      <c r="K211" s="5"/>
    </row>
    <row r="212" customFormat="false" ht="15" hidden="false" customHeight="false" outlineLevel="0" collapsed="false">
      <c r="A212" s="5" t="n">
        <v>211</v>
      </c>
      <c r="B212" s="5" t="s">
        <v>418</v>
      </c>
      <c r="C212" s="5" t="s">
        <v>445</v>
      </c>
      <c r="D212" s="5" t="s">
        <v>420</v>
      </c>
      <c r="E212" s="5" t="s">
        <v>446</v>
      </c>
      <c r="F212" s="5" t="s">
        <v>447</v>
      </c>
      <c r="G212" s="5" t="s">
        <v>44</v>
      </c>
      <c r="H212" s="5" t="s">
        <v>53</v>
      </c>
      <c r="I212" s="5" t="s">
        <v>46</v>
      </c>
      <c r="J212" s="5" t="s">
        <v>47</v>
      </c>
      <c r="K212" s="5"/>
    </row>
    <row r="213" customFormat="false" ht="23.85" hidden="false" customHeight="false" outlineLevel="0" collapsed="false">
      <c r="A213" s="5" t="n">
        <v>212</v>
      </c>
      <c r="B213" s="5" t="s">
        <v>418</v>
      </c>
      <c r="C213" s="5" t="s">
        <v>448</v>
      </c>
      <c r="D213" s="5" t="s">
        <v>420</v>
      </c>
      <c r="E213" s="5" t="s">
        <v>449</v>
      </c>
      <c r="F213" s="5" t="s">
        <v>450</v>
      </c>
      <c r="G213" s="5" t="s">
        <v>52</v>
      </c>
      <c r="H213" s="5" t="s">
        <v>45</v>
      </c>
      <c r="I213" s="5" t="s">
        <v>46</v>
      </c>
      <c r="J213" s="5" t="s">
        <v>47</v>
      </c>
      <c r="K213" s="5"/>
    </row>
    <row r="214" customFormat="false" ht="15" hidden="false" customHeight="false" outlineLevel="0" collapsed="false">
      <c r="A214" s="5" t="n">
        <v>213</v>
      </c>
      <c r="B214" s="5" t="s">
        <v>418</v>
      </c>
      <c r="C214" s="5" t="s">
        <v>451</v>
      </c>
      <c r="D214" s="5" t="s">
        <v>420</v>
      </c>
      <c r="E214" s="5" t="s">
        <v>452</v>
      </c>
      <c r="F214" s="5" t="s">
        <v>453</v>
      </c>
      <c r="G214" s="5" t="s">
        <v>44</v>
      </c>
      <c r="H214" s="5" t="s">
        <v>45</v>
      </c>
      <c r="I214" s="5" t="s">
        <v>46</v>
      </c>
      <c r="J214" s="5" t="s">
        <v>47</v>
      </c>
      <c r="K214" s="5"/>
    </row>
    <row r="215" customFormat="false" ht="15" hidden="false" customHeight="false" outlineLevel="0" collapsed="false">
      <c r="A215" s="5" t="n">
        <v>214</v>
      </c>
      <c r="B215" s="5" t="s">
        <v>418</v>
      </c>
      <c r="C215" s="5" t="s">
        <v>451</v>
      </c>
      <c r="D215" s="5" t="s">
        <v>420</v>
      </c>
      <c r="E215" s="5" t="s">
        <v>454</v>
      </c>
      <c r="F215" s="5" t="s">
        <v>455</v>
      </c>
      <c r="G215" s="5" t="s">
        <v>44</v>
      </c>
      <c r="H215" s="5" t="s">
        <v>45</v>
      </c>
      <c r="I215" s="5" t="s">
        <v>46</v>
      </c>
      <c r="J215" s="5" t="s">
        <v>47</v>
      </c>
      <c r="K215" s="5"/>
    </row>
    <row r="216" customFormat="false" ht="15" hidden="false" customHeight="false" outlineLevel="0" collapsed="false">
      <c r="A216" s="5" t="n">
        <v>215</v>
      </c>
      <c r="B216" s="5" t="s">
        <v>418</v>
      </c>
      <c r="C216" s="5" t="s">
        <v>451</v>
      </c>
      <c r="D216" s="5" t="s">
        <v>420</v>
      </c>
      <c r="E216" s="5" t="s">
        <v>456</v>
      </c>
      <c r="F216" s="5" t="s">
        <v>457</v>
      </c>
      <c r="G216" s="5" t="s">
        <v>44</v>
      </c>
      <c r="H216" s="5" t="s">
        <v>45</v>
      </c>
      <c r="I216" s="5" t="s">
        <v>46</v>
      </c>
      <c r="J216" s="5" t="s">
        <v>47</v>
      </c>
      <c r="K216" s="5"/>
    </row>
    <row r="217" customFormat="false" ht="15" hidden="false" customHeight="false" outlineLevel="0" collapsed="false">
      <c r="A217" s="5" t="n">
        <v>216</v>
      </c>
      <c r="B217" s="5" t="s">
        <v>418</v>
      </c>
      <c r="C217" s="5" t="s">
        <v>451</v>
      </c>
      <c r="D217" s="5" t="s">
        <v>420</v>
      </c>
      <c r="E217" s="5" t="s">
        <v>458</v>
      </c>
      <c r="F217" s="5" t="s">
        <v>459</v>
      </c>
      <c r="G217" s="5" t="s">
        <v>44</v>
      </c>
      <c r="H217" s="5" t="s">
        <v>45</v>
      </c>
      <c r="I217" s="5" t="s">
        <v>46</v>
      </c>
      <c r="J217" s="5" t="s">
        <v>47</v>
      </c>
      <c r="K217" s="5"/>
    </row>
    <row r="218" customFormat="false" ht="15" hidden="false" customHeight="false" outlineLevel="0" collapsed="false">
      <c r="A218" s="5" t="n">
        <v>217</v>
      </c>
      <c r="B218" s="5" t="s">
        <v>418</v>
      </c>
      <c r="C218" s="5" t="s">
        <v>451</v>
      </c>
      <c r="D218" s="5" t="s">
        <v>420</v>
      </c>
      <c r="E218" s="5" t="s">
        <v>460</v>
      </c>
      <c r="F218" s="5" t="s">
        <v>461</v>
      </c>
      <c r="G218" s="5" t="s">
        <v>44</v>
      </c>
      <c r="H218" s="5" t="s">
        <v>45</v>
      </c>
      <c r="I218" s="5" t="s">
        <v>46</v>
      </c>
      <c r="J218" s="5" t="s">
        <v>47</v>
      </c>
      <c r="K218" s="5"/>
    </row>
    <row r="219" customFormat="false" ht="15" hidden="false" customHeight="false" outlineLevel="0" collapsed="false">
      <c r="A219" s="5" t="n">
        <v>218</v>
      </c>
      <c r="B219" s="5" t="s">
        <v>462</v>
      </c>
      <c r="C219" s="5" t="s">
        <v>463</v>
      </c>
      <c r="D219" s="5" t="s">
        <v>464</v>
      </c>
      <c r="E219" s="5" t="s">
        <v>465</v>
      </c>
      <c r="F219" s="5" t="s">
        <v>466</v>
      </c>
      <c r="G219" s="5" t="s">
        <v>52</v>
      </c>
      <c r="H219" s="5" t="s">
        <v>45</v>
      </c>
      <c r="I219" s="5" t="s">
        <v>46</v>
      </c>
      <c r="J219" s="5" t="s">
        <v>47</v>
      </c>
      <c r="K219" s="5"/>
    </row>
    <row r="220" customFormat="false" ht="15" hidden="false" customHeight="false" outlineLevel="0" collapsed="false">
      <c r="A220" s="5" t="n">
        <v>219</v>
      </c>
      <c r="B220" s="5" t="s">
        <v>462</v>
      </c>
      <c r="C220" s="5" t="s">
        <v>467</v>
      </c>
      <c r="D220" s="5" t="s">
        <v>468</v>
      </c>
      <c r="E220" s="5" t="s">
        <v>469</v>
      </c>
      <c r="F220" s="5" t="s">
        <v>470</v>
      </c>
      <c r="G220" s="5" t="s">
        <v>44</v>
      </c>
      <c r="H220" s="5" t="s">
        <v>45</v>
      </c>
      <c r="I220" s="5" t="s">
        <v>46</v>
      </c>
      <c r="J220" s="5" t="s">
        <v>47</v>
      </c>
      <c r="K220" s="5"/>
    </row>
    <row r="221" customFormat="false" ht="15" hidden="false" customHeight="false" outlineLevel="0" collapsed="false">
      <c r="A221" s="5" t="n">
        <v>220</v>
      </c>
      <c r="B221" s="5" t="s">
        <v>462</v>
      </c>
      <c r="C221" s="5" t="s">
        <v>467</v>
      </c>
      <c r="D221" s="5" t="s">
        <v>468</v>
      </c>
      <c r="E221" s="5" t="s">
        <v>471</v>
      </c>
      <c r="F221" s="5" t="s">
        <v>472</v>
      </c>
      <c r="G221" s="5" t="s">
        <v>44</v>
      </c>
      <c r="H221" s="5" t="s">
        <v>45</v>
      </c>
      <c r="I221" s="5" t="s">
        <v>46</v>
      </c>
      <c r="J221" s="5" t="s">
        <v>47</v>
      </c>
      <c r="K221" s="5"/>
    </row>
    <row r="222" customFormat="false" ht="15" hidden="false" customHeight="false" outlineLevel="0" collapsed="false">
      <c r="A222" s="5" t="n">
        <v>221</v>
      </c>
      <c r="B222" s="5" t="s">
        <v>462</v>
      </c>
      <c r="C222" s="5" t="s">
        <v>467</v>
      </c>
      <c r="D222" s="5" t="s">
        <v>468</v>
      </c>
      <c r="E222" s="5" t="s">
        <v>473</v>
      </c>
      <c r="F222" s="5" t="s">
        <v>474</v>
      </c>
      <c r="G222" s="5" t="s">
        <v>44</v>
      </c>
      <c r="H222" s="5" t="s">
        <v>45</v>
      </c>
      <c r="I222" s="5" t="s">
        <v>46</v>
      </c>
      <c r="J222" s="5" t="s">
        <v>47</v>
      </c>
      <c r="K222" s="5"/>
    </row>
    <row r="223" customFormat="false" ht="15" hidden="false" customHeight="false" outlineLevel="0" collapsed="false">
      <c r="A223" s="5" t="n">
        <v>222</v>
      </c>
      <c r="B223" s="5" t="s">
        <v>462</v>
      </c>
      <c r="C223" s="5" t="s">
        <v>467</v>
      </c>
      <c r="D223" s="5" t="s">
        <v>468</v>
      </c>
      <c r="E223" s="5" t="s">
        <v>475</v>
      </c>
      <c r="F223" s="5" t="s">
        <v>476</v>
      </c>
      <c r="G223" s="5" t="s">
        <v>44</v>
      </c>
      <c r="H223" s="5" t="s">
        <v>45</v>
      </c>
      <c r="I223" s="5" t="s">
        <v>46</v>
      </c>
      <c r="J223" s="5" t="s">
        <v>47</v>
      </c>
      <c r="K223" s="5"/>
    </row>
    <row r="224" customFormat="false" ht="15" hidden="false" customHeight="false" outlineLevel="0" collapsed="false">
      <c r="A224" s="5" t="n">
        <v>223</v>
      </c>
      <c r="B224" s="5" t="s">
        <v>462</v>
      </c>
      <c r="C224" s="5" t="s">
        <v>467</v>
      </c>
      <c r="D224" s="5" t="s">
        <v>468</v>
      </c>
      <c r="E224" s="5" t="s">
        <v>477</v>
      </c>
      <c r="F224" s="5" t="s">
        <v>478</v>
      </c>
      <c r="G224" s="5" t="s">
        <v>44</v>
      </c>
      <c r="H224" s="5" t="s">
        <v>45</v>
      </c>
      <c r="I224" s="5" t="s">
        <v>46</v>
      </c>
      <c r="J224" s="5" t="s">
        <v>47</v>
      </c>
      <c r="K224" s="5"/>
    </row>
    <row r="225" customFormat="false" ht="15" hidden="false" customHeight="false" outlineLevel="0" collapsed="false">
      <c r="A225" s="5" t="n">
        <v>224</v>
      </c>
      <c r="B225" s="5" t="s">
        <v>462</v>
      </c>
      <c r="C225" s="5" t="s">
        <v>467</v>
      </c>
      <c r="D225" s="5" t="s">
        <v>468</v>
      </c>
      <c r="E225" s="5" t="s">
        <v>479</v>
      </c>
      <c r="F225" s="5" t="s">
        <v>480</v>
      </c>
      <c r="G225" s="5" t="s">
        <v>52</v>
      </c>
      <c r="H225" s="5" t="s">
        <v>45</v>
      </c>
      <c r="I225" s="5" t="s">
        <v>46</v>
      </c>
      <c r="J225" s="5" t="s">
        <v>47</v>
      </c>
      <c r="K225" s="5"/>
    </row>
    <row r="226" customFormat="false" ht="15" hidden="false" customHeight="false" outlineLevel="0" collapsed="false">
      <c r="A226" s="5" t="n">
        <v>225</v>
      </c>
      <c r="B226" s="5" t="s">
        <v>462</v>
      </c>
      <c r="C226" s="5" t="s">
        <v>467</v>
      </c>
      <c r="D226" s="5" t="s">
        <v>468</v>
      </c>
      <c r="E226" s="5" t="s">
        <v>481</v>
      </c>
      <c r="F226" s="5" t="s">
        <v>482</v>
      </c>
      <c r="G226" s="5" t="s">
        <v>44</v>
      </c>
      <c r="H226" s="5" t="s">
        <v>45</v>
      </c>
      <c r="I226" s="5" t="s">
        <v>46</v>
      </c>
      <c r="J226" s="5" t="s">
        <v>47</v>
      </c>
      <c r="K226" s="5"/>
    </row>
    <row r="227" customFormat="false" ht="15" hidden="false" customHeight="false" outlineLevel="0" collapsed="false">
      <c r="A227" s="5" t="n">
        <v>226</v>
      </c>
      <c r="B227" s="5" t="s">
        <v>462</v>
      </c>
      <c r="C227" s="5" t="s">
        <v>467</v>
      </c>
      <c r="D227" s="5" t="s">
        <v>468</v>
      </c>
      <c r="E227" s="5" t="s">
        <v>483</v>
      </c>
      <c r="F227" s="5" t="s">
        <v>484</v>
      </c>
      <c r="G227" s="5" t="s">
        <v>52</v>
      </c>
      <c r="H227" s="5" t="s">
        <v>45</v>
      </c>
      <c r="I227" s="5" t="s">
        <v>46</v>
      </c>
      <c r="J227" s="5" t="s">
        <v>47</v>
      </c>
      <c r="K227" s="5"/>
    </row>
    <row r="228" customFormat="false" ht="15" hidden="false" customHeight="false" outlineLevel="0" collapsed="false">
      <c r="A228" s="5" t="n">
        <v>227</v>
      </c>
      <c r="B228" s="5" t="s">
        <v>462</v>
      </c>
      <c r="C228" s="5" t="s">
        <v>467</v>
      </c>
      <c r="D228" s="5" t="s">
        <v>468</v>
      </c>
      <c r="E228" s="5" t="s">
        <v>485</v>
      </c>
      <c r="F228" s="5" t="s">
        <v>486</v>
      </c>
      <c r="G228" s="5" t="s">
        <v>52</v>
      </c>
      <c r="H228" s="5" t="s">
        <v>45</v>
      </c>
      <c r="I228" s="5" t="s">
        <v>46</v>
      </c>
      <c r="J228" s="5" t="s">
        <v>47</v>
      </c>
      <c r="K228" s="5"/>
    </row>
    <row r="229" customFormat="false" ht="15" hidden="false" customHeight="false" outlineLevel="0" collapsed="false">
      <c r="A229" s="5" t="n">
        <v>228</v>
      </c>
      <c r="B229" s="5" t="s">
        <v>462</v>
      </c>
      <c r="C229" s="5" t="s">
        <v>467</v>
      </c>
      <c r="D229" s="5" t="s">
        <v>468</v>
      </c>
      <c r="E229" s="5" t="s">
        <v>487</v>
      </c>
      <c r="F229" s="5" t="s">
        <v>488</v>
      </c>
      <c r="G229" s="5" t="s">
        <v>52</v>
      </c>
      <c r="H229" s="5" t="s">
        <v>53</v>
      </c>
      <c r="I229" s="5" t="s">
        <v>46</v>
      </c>
      <c r="J229" s="5" t="s">
        <v>47</v>
      </c>
      <c r="K229" s="5"/>
    </row>
    <row r="230" customFormat="false" ht="15" hidden="false" customHeight="false" outlineLevel="0" collapsed="false">
      <c r="A230" s="5" t="n">
        <v>229</v>
      </c>
      <c r="B230" s="5" t="s">
        <v>462</v>
      </c>
      <c r="C230" s="5" t="s">
        <v>467</v>
      </c>
      <c r="D230" s="5" t="s">
        <v>468</v>
      </c>
      <c r="E230" s="5" t="s">
        <v>489</v>
      </c>
      <c r="F230" s="5" t="s">
        <v>490</v>
      </c>
      <c r="G230" s="5" t="s">
        <v>44</v>
      </c>
      <c r="H230" s="5" t="s">
        <v>45</v>
      </c>
      <c r="I230" s="5" t="s">
        <v>46</v>
      </c>
      <c r="J230" s="5" t="s">
        <v>47</v>
      </c>
      <c r="K230" s="5"/>
    </row>
    <row r="231" customFormat="false" ht="35.05" hidden="false" customHeight="false" outlineLevel="0" collapsed="false">
      <c r="A231" s="5" t="n">
        <v>230</v>
      </c>
      <c r="B231" s="5" t="s">
        <v>462</v>
      </c>
      <c r="C231" s="5" t="s">
        <v>491</v>
      </c>
      <c r="D231" s="5" t="s">
        <v>492</v>
      </c>
      <c r="E231" s="5" t="s">
        <v>493</v>
      </c>
      <c r="F231" s="5" t="s">
        <v>494</v>
      </c>
      <c r="G231" s="5" t="s">
        <v>52</v>
      </c>
      <c r="H231" s="5" t="s">
        <v>45</v>
      </c>
      <c r="I231" s="5" t="s">
        <v>46</v>
      </c>
      <c r="J231" s="5" t="s">
        <v>47</v>
      </c>
      <c r="K231" s="5"/>
    </row>
    <row r="232" customFormat="false" ht="23.85" hidden="false" customHeight="false" outlineLevel="0" collapsed="false">
      <c r="A232" s="5" t="n">
        <v>231</v>
      </c>
      <c r="B232" s="5" t="s">
        <v>462</v>
      </c>
      <c r="C232" s="5" t="s">
        <v>491</v>
      </c>
      <c r="D232" s="5" t="s">
        <v>495</v>
      </c>
      <c r="E232" s="5" t="s">
        <v>496</v>
      </c>
      <c r="F232" s="5" t="s">
        <v>497</v>
      </c>
      <c r="G232" s="5" t="s">
        <v>52</v>
      </c>
      <c r="H232" s="5" t="s">
        <v>45</v>
      </c>
      <c r="I232" s="5" t="s">
        <v>46</v>
      </c>
      <c r="J232" s="5" t="s">
        <v>47</v>
      </c>
      <c r="K232" s="5"/>
    </row>
    <row r="233" customFormat="false" ht="23.85" hidden="false" customHeight="false" outlineLevel="0" collapsed="false">
      <c r="A233" s="5" t="n">
        <v>232</v>
      </c>
      <c r="B233" s="5" t="s">
        <v>462</v>
      </c>
      <c r="C233" s="5" t="s">
        <v>491</v>
      </c>
      <c r="D233" s="5" t="s">
        <v>498</v>
      </c>
      <c r="E233" s="5" t="s">
        <v>499</v>
      </c>
      <c r="F233" s="5" t="s">
        <v>500</v>
      </c>
      <c r="G233" s="5" t="s">
        <v>52</v>
      </c>
      <c r="H233" s="5" t="s">
        <v>45</v>
      </c>
      <c r="I233" s="5" t="s">
        <v>46</v>
      </c>
      <c r="J233" s="5" t="s">
        <v>47</v>
      </c>
      <c r="K233" s="5"/>
    </row>
    <row r="234" customFormat="false" ht="23.85" hidden="false" customHeight="false" outlineLevel="0" collapsed="false">
      <c r="A234" s="5" t="n">
        <v>233</v>
      </c>
      <c r="B234" s="5" t="s">
        <v>462</v>
      </c>
      <c r="C234" s="5" t="s">
        <v>491</v>
      </c>
      <c r="D234" s="5" t="s">
        <v>498</v>
      </c>
      <c r="E234" s="5" t="s">
        <v>501</v>
      </c>
      <c r="F234" s="5" t="s">
        <v>502</v>
      </c>
      <c r="G234" s="5" t="s">
        <v>52</v>
      </c>
      <c r="H234" s="5" t="s">
        <v>53</v>
      </c>
      <c r="I234" s="5" t="s">
        <v>46</v>
      </c>
      <c r="J234" s="5" t="s">
        <v>47</v>
      </c>
      <c r="K234" s="5"/>
    </row>
    <row r="235" customFormat="false" ht="23.85" hidden="false" customHeight="false" outlineLevel="0" collapsed="false">
      <c r="A235" s="5" t="n">
        <v>234</v>
      </c>
      <c r="B235" s="5" t="s">
        <v>462</v>
      </c>
      <c r="C235" s="5" t="s">
        <v>491</v>
      </c>
      <c r="D235" s="5" t="s">
        <v>498</v>
      </c>
      <c r="E235" s="5" t="s">
        <v>503</v>
      </c>
      <c r="F235" s="5" t="s">
        <v>504</v>
      </c>
      <c r="G235" s="5" t="s">
        <v>52</v>
      </c>
      <c r="H235" s="5" t="s">
        <v>45</v>
      </c>
      <c r="I235" s="5" t="s">
        <v>46</v>
      </c>
      <c r="J235" s="7" t="s">
        <v>223</v>
      </c>
      <c r="K235" s="5" t="s">
        <v>505</v>
      </c>
    </row>
    <row r="236" customFormat="false" ht="23.85" hidden="false" customHeight="false" outlineLevel="0" collapsed="false">
      <c r="A236" s="5" t="n">
        <v>235</v>
      </c>
      <c r="B236" s="5" t="s">
        <v>462</v>
      </c>
      <c r="C236" s="5" t="s">
        <v>491</v>
      </c>
      <c r="D236" s="5" t="s">
        <v>498</v>
      </c>
      <c r="E236" s="5" t="s">
        <v>506</v>
      </c>
      <c r="F236" s="5" t="s">
        <v>507</v>
      </c>
      <c r="G236" s="5" t="s">
        <v>52</v>
      </c>
      <c r="H236" s="5" t="s">
        <v>53</v>
      </c>
      <c r="I236" s="5" t="s">
        <v>46</v>
      </c>
      <c r="J236" s="5" t="s">
        <v>47</v>
      </c>
      <c r="K236" s="5"/>
    </row>
    <row r="237" customFormat="false" ht="23.85" hidden="false" customHeight="false" outlineLevel="0" collapsed="false">
      <c r="A237" s="5" t="n">
        <v>236</v>
      </c>
      <c r="B237" s="5" t="s">
        <v>462</v>
      </c>
      <c r="C237" s="5" t="s">
        <v>491</v>
      </c>
      <c r="D237" s="5" t="s">
        <v>498</v>
      </c>
      <c r="E237" s="5" t="s">
        <v>508</v>
      </c>
      <c r="F237" s="5" t="s">
        <v>509</v>
      </c>
      <c r="G237" s="5" t="s">
        <v>52</v>
      </c>
      <c r="H237" s="5" t="s">
        <v>53</v>
      </c>
      <c r="I237" s="5" t="s">
        <v>46</v>
      </c>
      <c r="J237" s="5" t="s">
        <v>47</v>
      </c>
      <c r="K237" s="5"/>
    </row>
    <row r="238" customFormat="false" ht="23.85" hidden="false" customHeight="false" outlineLevel="0" collapsed="false">
      <c r="A238" s="5" t="n">
        <v>237</v>
      </c>
      <c r="B238" s="5" t="s">
        <v>462</v>
      </c>
      <c r="C238" s="5" t="s">
        <v>491</v>
      </c>
      <c r="D238" s="5" t="s">
        <v>510</v>
      </c>
      <c r="E238" s="5" t="s">
        <v>511</v>
      </c>
      <c r="F238" s="5" t="s">
        <v>512</v>
      </c>
      <c r="G238" s="5" t="s">
        <v>52</v>
      </c>
      <c r="H238" s="5" t="s">
        <v>45</v>
      </c>
      <c r="I238" s="5" t="s">
        <v>46</v>
      </c>
      <c r="J238" s="5" t="s">
        <v>47</v>
      </c>
      <c r="K238" s="5"/>
    </row>
    <row r="239" customFormat="false" ht="23.85" hidden="false" customHeight="false" outlineLevel="0" collapsed="false">
      <c r="A239" s="5" t="n">
        <v>238</v>
      </c>
      <c r="B239" s="5" t="s">
        <v>462</v>
      </c>
      <c r="C239" s="5" t="s">
        <v>491</v>
      </c>
      <c r="D239" s="5" t="s">
        <v>513</v>
      </c>
      <c r="E239" s="5" t="s">
        <v>514</v>
      </c>
      <c r="F239" s="5" t="s">
        <v>515</v>
      </c>
      <c r="G239" s="5" t="s">
        <v>52</v>
      </c>
      <c r="H239" s="5" t="s">
        <v>45</v>
      </c>
      <c r="I239" s="5" t="s">
        <v>46</v>
      </c>
      <c r="J239" s="5" t="s">
        <v>47</v>
      </c>
      <c r="K239" s="5"/>
    </row>
    <row r="240" customFormat="false" ht="23.85" hidden="false" customHeight="false" outlineLevel="0" collapsed="false">
      <c r="A240" s="5" t="n">
        <v>239</v>
      </c>
      <c r="B240" s="5" t="s">
        <v>462</v>
      </c>
      <c r="C240" s="5" t="s">
        <v>491</v>
      </c>
      <c r="D240" s="5" t="s">
        <v>513</v>
      </c>
      <c r="E240" s="5" t="s">
        <v>516</v>
      </c>
      <c r="F240" s="5" t="s">
        <v>517</v>
      </c>
      <c r="G240" s="5" t="s">
        <v>52</v>
      </c>
      <c r="H240" s="5" t="s">
        <v>53</v>
      </c>
      <c r="I240" s="5" t="s">
        <v>46</v>
      </c>
      <c r="J240" s="5" t="s">
        <v>47</v>
      </c>
      <c r="K240" s="5"/>
    </row>
    <row r="241" customFormat="false" ht="23.85" hidden="false" customHeight="false" outlineLevel="0" collapsed="false">
      <c r="A241" s="5" t="n">
        <v>240</v>
      </c>
      <c r="B241" s="5" t="s">
        <v>462</v>
      </c>
      <c r="C241" s="5" t="s">
        <v>491</v>
      </c>
      <c r="D241" s="5" t="s">
        <v>518</v>
      </c>
      <c r="E241" s="5" t="s">
        <v>519</v>
      </c>
      <c r="F241" s="5" t="s">
        <v>520</v>
      </c>
      <c r="G241" s="5" t="s">
        <v>52</v>
      </c>
      <c r="H241" s="5" t="s">
        <v>45</v>
      </c>
      <c r="I241" s="5" t="s">
        <v>46</v>
      </c>
      <c r="J241" s="5" t="s">
        <v>47</v>
      </c>
      <c r="K241" s="5"/>
    </row>
    <row r="242" customFormat="false" ht="23.85" hidden="false" customHeight="false" outlineLevel="0" collapsed="false">
      <c r="A242" s="5" t="n">
        <v>241</v>
      </c>
      <c r="B242" s="5" t="s">
        <v>462</v>
      </c>
      <c r="C242" s="5" t="s">
        <v>491</v>
      </c>
      <c r="D242" s="5" t="s">
        <v>521</v>
      </c>
      <c r="E242" s="5" t="s">
        <v>522</v>
      </c>
      <c r="F242" s="5" t="s">
        <v>523</v>
      </c>
      <c r="G242" s="5" t="s">
        <v>52</v>
      </c>
      <c r="H242" s="5" t="s">
        <v>45</v>
      </c>
      <c r="I242" s="5" t="s">
        <v>46</v>
      </c>
      <c r="J242" s="5" t="s">
        <v>47</v>
      </c>
      <c r="K242" s="5"/>
    </row>
    <row r="243" customFormat="false" ht="23.85" hidden="false" customHeight="false" outlineLevel="0" collapsed="false">
      <c r="A243" s="5" t="n">
        <v>242</v>
      </c>
      <c r="B243" s="5" t="s">
        <v>462</v>
      </c>
      <c r="C243" s="5" t="s">
        <v>491</v>
      </c>
      <c r="D243" s="5" t="s">
        <v>521</v>
      </c>
      <c r="E243" s="5" t="s">
        <v>524</v>
      </c>
      <c r="F243" s="5" t="s">
        <v>525</v>
      </c>
      <c r="G243" s="5" t="s">
        <v>52</v>
      </c>
      <c r="H243" s="5" t="s">
        <v>45</v>
      </c>
      <c r="I243" s="5" t="s">
        <v>46</v>
      </c>
      <c r="J243" s="5" t="s">
        <v>47</v>
      </c>
      <c r="K243" s="5"/>
    </row>
    <row r="244" customFormat="false" ht="23.85" hidden="false" customHeight="false" outlineLevel="0" collapsed="false">
      <c r="A244" s="5" t="n">
        <v>243</v>
      </c>
      <c r="B244" s="5" t="s">
        <v>462</v>
      </c>
      <c r="C244" s="5" t="s">
        <v>491</v>
      </c>
      <c r="D244" s="5" t="s">
        <v>521</v>
      </c>
      <c r="E244" s="5" t="s">
        <v>526</v>
      </c>
      <c r="F244" s="5" t="s">
        <v>527</v>
      </c>
      <c r="G244" s="5" t="s">
        <v>52</v>
      </c>
      <c r="H244" s="5" t="s">
        <v>45</v>
      </c>
      <c r="I244" s="5" t="s">
        <v>46</v>
      </c>
      <c r="J244" s="5" t="s">
        <v>47</v>
      </c>
      <c r="K244" s="5"/>
    </row>
    <row r="245" customFormat="false" ht="23.85" hidden="false" customHeight="false" outlineLevel="0" collapsed="false">
      <c r="A245" s="5" t="n">
        <v>244</v>
      </c>
      <c r="B245" s="5" t="s">
        <v>462</v>
      </c>
      <c r="C245" s="5" t="s">
        <v>491</v>
      </c>
      <c r="D245" s="5" t="s">
        <v>521</v>
      </c>
      <c r="E245" s="5" t="s">
        <v>528</v>
      </c>
      <c r="F245" s="5" t="s">
        <v>529</v>
      </c>
      <c r="G245" s="5" t="s">
        <v>52</v>
      </c>
      <c r="H245" s="5" t="s">
        <v>45</v>
      </c>
      <c r="I245" s="5" t="s">
        <v>46</v>
      </c>
      <c r="J245" s="5" t="s">
        <v>47</v>
      </c>
      <c r="K245" s="5"/>
    </row>
    <row r="246" customFormat="false" ht="23.85" hidden="false" customHeight="false" outlineLevel="0" collapsed="false">
      <c r="A246" s="5" t="n">
        <v>245</v>
      </c>
      <c r="B246" s="5" t="s">
        <v>462</v>
      </c>
      <c r="C246" s="5" t="s">
        <v>491</v>
      </c>
      <c r="D246" s="5" t="s">
        <v>530</v>
      </c>
      <c r="E246" s="5" t="s">
        <v>531</v>
      </c>
      <c r="F246" s="5" t="s">
        <v>532</v>
      </c>
      <c r="G246" s="5" t="s">
        <v>52</v>
      </c>
      <c r="H246" s="5" t="s">
        <v>45</v>
      </c>
      <c r="I246" s="5" t="s">
        <v>46</v>
      </c>
      <c r="J246" s="5" t="s">
        <v>47</v>
      </c>
      <c r="K246" s="5"/>
    </row>
    <row r="247" customFormat="false" ht="23.85" hidden="false" customHeight="false" outlineLevel="0" collapsed="false">
      <c r="A247" s="5" t="n">
        <v>246</v>
      </c>
      <c r="B247" s="5" t="s">
        <v>462</v>
      </c>
      <c r="C247" s="5" t="s">
        <v>491</v>
      </c>
      <c r="D247" s="5" t="s">
        <v>533</v>
      </c>
      <c r="E247" s="5" t="s">
        <v>534</v>
      </c>
      <c r="F247" s="5" t="s">
        <v>535</v>
      </c>
      <c r="G247" s="5" t="s">
        <v>52</v>
      </c>
      <c r="H247" s="5" t="s">
        <v>45</v>
      </c>
      <c r="I247" s="5" t="s">
        <v>46</v>
      </c>
      <c r="J247" s="5" t="s">
        <v>47</v>
      </c>
      <c r="K247" s="5"/>
    </row>
    <row r="248" customFormat="false" ht="23.85" hidden="false" customHeight="false" outlineLevel="0" collapsed="false">
      <c r="A248" s="5" t="n">
        <v>247</v>
      </c>
      <c r="B248" s="5" t="s">
        <v>462</v>
      </c>
      <c r="C248" s="5" t="s">
        <v>491</v>
      </c>
      <c r="D248" s="5" t="s">
        <v>536</v>
      </c>
      <c r="E248" s="5" t="s">
        <v>537</v>
      </c>
      <c r="F248" s="5" t="s">
        <v>538</v>
      </c>
      <c r="G248" s="5" t="s">
        <v>44</v>
      </c>
      <c r="H248" s="5" t="s">
        <v>45</v>
      </c>
      <c r="I248" s="5" t="s">
        <v>46</v>
      </c>
      <c r="J248" s="5" t="s">
        <v>47</v>
      </c>
      <c r="K248" s="5"/>
    </row>
    <row r="249" customFormat="false" ht="15" hidden="false" customHeight="false" outlineLevel="0" collapsed="false">
      <c r="A249" s="5" t="n">
        <v>248</v>
      </c>
      <c r="B249" s="5" t="s">
        <v>462</v>
      </c>
      <c r="C249" s="5" t="s">
        <v>491</v>
      </c>
      <c r="D249" s="5" t="s">
        <v>536</v>
      </c>
      <c r="E249" s="5" t="s">
        <v>539</v>
      </c>
      <c r="F249" s="5" t="s">
        <v>540</v>
      </c>
      <c r="G249" s="5" t="s">
        <v>44</v>
      </c>
      <c r="H249" s="5" t="s">
        <v>53</v>
      </c>
      <c r="I249" s="5" t="s">
        <v>46</v>
      </c>
      <c r="J249" s="5" t="s">
        <v>47</v>
      </c>
      <c r="K249" s="5"/>
    </row>
    <row r="250" customFormat="false" ht="15" hidden="false" customHeight="false" outlineLevel="0" collapsed="false">
      <c r="A250" s="5" t="n">
        <v>249</v>
      </c>
      <c r="B250" s="5" t="s">
        <v>462</v>
      </c>
      <c r="C250" s="5" t="s">
        <v>491</v>
      </c>
      <c r="D250" s="5" t="s">
        <v>536</v>
      </c>
      <c r="E250" s="5" t="s">
        <v>541</v>
      </c>
      <c r="F250" s="5" t="s">
        <v>542</v>
      </c>
      <c r="G250" s="5" t="s">
        <v>44</v>
      </c>
      <c r="H250" s="5" t="s">
        <v>45</v>
      </c>
      <c r="I250" s="5" t="s">
        <v>46</v>
      </c>
      <c r="J250" s="5" t="s">
        <v>47</v>
      </c>
      <c r="K250" s="5"/>
    </row>
    <row r="251" customFormat="false" ht="15" hidden="false" customHeight="false" outlineLevel="0" collapsed="false">
      <c r="A251" s="5" t="n">
        <v>250</v>
      </c>
      <c r="B251" s="5" t="s">
        <v>462</v>
      </c>
      <c r="C251" s="5" t="s">
        <v>491</v>
      </c>
      <c r="D251" s="5" t="s">
        <v>536</v>
      </c>
      <c r="E251" s="5" t="s">
        <v>543</v>
      </c>
      <c r="F251" s="5" t="s">
        <v>544</v>
      </c>
      <c r="G251" s="5" t="s">
        <v>44</v>
      </c>
      <c r="H251" s="5" t="s">
        <v>45</v>
      </c>
      <c r="I251" s="5" t="s">
        <v>46</v>
      </c>
      <c r="J251" s="5" t="s">
        <v>47</v>
      </c>
      <c r="K251" s="5"/>
    </row>
    <row r="252" customFormat="false" ht="15" hidden="false" customHeight="false" outlineLevel="0" collapsed="false">
      <c r="A252" s="5" t="n">
        <v>251</v>
      </c>
      <c r="B252" s="5" t="s">
        <v>462</v>
      </c>
      <c r="C252" s="5" t="s">
        <v>491</v>
      </c>
      <c r="D252" s="5" t="s">
        <v>536</v>
      </c>
      <c r="E252" s="5" t="s">
        <v>545</v>
      </c>
      <c r="F252" s="5" t="s">
        <v>546</v>
      </c>
      <c r="G252" s="5" t="s">
        <v>44</v>
      </c>
      <c r="H252" s="5" t="s">
        <v>45</v>
      </c>
      <c r="I252" s="5" t="s">
        <v>46</v>
      </c>
      <c r="J252" s="5" t="s">
        <v>47</v>
      </c>
      <c r="K252" s="5"/>
    </row>
    <row r="253" customFormat="false" ht="15" hidden="false" customHeight="false" outlineLevel="0" collapsed="false">
      <c r="A253" s="5" t="n">
        <v>252</v>
      </c>
      <c r="B253" s="5" t="s">
        <v>462</v>
      </c>
      <c r="C253" s="5" t="s">
        <v>491</v>
      </c>
      <c r="D253" s="5" t="s">
        <v>536</v>
      </c>
      <c r="E253" s="5" t="s">
        <v>547</v>
      </c>
      <c r="F253" s="5" t="s">
        <v>548</v>
      </c>
      <c r="G253" s="5" t="s">
        <v>44</v>
      </c>
      <c r="H253" s="5" t="s">
        <v>45</v>
      </c>
      <c r="I253" s="5" t="s">
        <v>46</v>
      </c>
      <c r="J253" s="5" t="s">
        <v>47</v>
      </c>
      <c r="K253" s="5"/>
    </row>
    <row r="254" customFormat="false" ht="15" hidden="false" customHeight="false" outlineLevel="0" collapsed="false">
      <c r="A254" s="5" t="n">
        <v>253</v>
      </c>
      <c r="B254" s="5" t="s">
        <v>462</v>
      </c>
      <c r="C254" s="5" t="s">
        <v>491</v>
      </c>
      <c r="D254" s="5" t="s">
        <v>536</v>
      </c>
      <c r="E254" s="5" t="s">
        <v>549</v>
      </c>
      <c r="F254" s="5" t="s">
        <v>550</v>
      </c>
      <c r="G254" s="5" t="s">
        <v>52</v>
      </c>
      <c r="H254" s="5" t="s">
        <v>53</v>
      </c>
      <c r="I254" s="5" t="s">
        <v>46</v>
      </c>
      <c r="J254" s="5" t="s">
        <v>47</v>
      </c>
      <c r="K254" s="5"/>
    </row>
    <row r="255" customFormat="false" ht="15" hidden="false" customHeight="false" outlineLevel="0" collapsed="false">
      <c r="A255" s="5" t="n">
        <v>254</v>
      </c>
      <c r="B255" s="5" t="s">
        <v>462</v>
      </c>
      <c r="C255" s="5" t="s">
        <v>551</v>
      </c>
      <c r="D255" s="5" t="s">
        <v>552</v>
      </c>
      <c r="E255" s="5" t="s">
        <v>553</v>
      </c>
      <c r="F255" s="5" t="s">
        <v>554</v>
      </c>
      <c r="G255" s="5" t="s">
        <v>52</v>
      </c>
      <c r="H255" s="5" t="s">
        <v>53</v>
      </c>
      <c r="I255" s="5" t="s">
        <v>46</v>
      </c>
      <c r="J255" s="5" t="s">
        <v>47</v>
      </c>
      <c r="K255" s="5"/>
    </row>
    <row r="256" customFormat="false" ht="15" hidden="false" customHeight="false" outlineLevel="0" collapsed="false">
      <c r="A256" s="5" t="n">
        <v>255</v>
      </c>
      <c r="B256" s="5" t="s">
        <v>555</v>
      </c>
      <c r="C256" s="5" t="s">
        <v>556</v>
      </c>
      <c r="D256" s="5" t="s">
        <v>557</v>
      </c>
      <c r="E256" s="5" t="s">
        <v>204</v>
      </c>
      <c r="F256" s="5" t="s">
        <v>558</v>
      </c>
      <c r="G256" s="5" t="s">
        <v>44</v>
      </c>
      <c r="H256" s="5" t="s">
        <v>45</v>
      </c>
      <c r="I256" s="5" t="s">
        <v>559</v>
      </c>
      <c r="J256" s="5" t="s">
        <v>47</v>
      </c>
      <c r="K256" s="5"/>
    </row>
    <row r="257" customFormat="false" ht="15" hidden="false" customHeight="false" outlineLevel="0" collapsed="false">
      <c r="A257" s="5" t="n">
        <v>256</v>
      </c>
      <c r="B257" s="5" t="s">
        <v>555</v>
      </c>
      <c r="C257" s="5" t="s">
        <v>556</v>
      </c>
      <c r="D257" s="5" t="s">
        <v>557</v>
      </c>
      <c r="E257" s="5" t="s">
        <v>560</v>
      </c>
      <c r="F257" s="5" t="s">
        <v>561</v>
      </c>
      <c r="G257" s="5" t="s">
        <v>44</v>
      </c>
      <c r="H257" s="5" t="s">
        <v>45</v>
      </c>
      <c r="I257" s="5" t="s">
        <v>559</v>
      </c>
      <c r="J257" s="5" t="s">
        <v>47</v>
      </c>
      <c r="K257" s="5"/>
    </row>
    <row r="258" customFormat="false" ht="15" hidden="false" customHeight="false" outlineLevel="0" collapsed="false">
      <c r="A258" s="5" t="n">
        <v>257</v>
      </c>
      <c r="B258" s="5" t="s">
        <v>555</v>
      </c>
      <c r="C258" s="5" t="s">
        <v>556</v>
      </c>
      <c r="D258" s="5" t="s">
        <v>557</v>
      </c>
      <c r="E258" s="5" t="s">
        <v>562</v>
      </c>
      <c r="F258" s="5" t="s">
        <v>563</v>
      </c>
      <c r="G258" s="5" t="s">
        <v>52</v>
      </c>
      <c r="H258" s="5" t="s">
        <v>45</v>
      </c>
      <c r="I258" s="5" t="s">
        <v>559</v>
      </c>
      <c r="J258" s="5" t="s">
        <v>47</v>
      </c>
      <c r="K258" s="5"/>
    </row>
    <row r="259" customFormat="false" ht="15" hidden="false" customHeight="false" outlineLevel="0" collapsed="false">
      <c r="A259" s="5" t="n">
        <v>258</v>
      </c>
      <c r="B259" s="5" t="s">
        <v>555</v>
      </c>
      <c r="C259" s="5" t="s">
        <v>556</v>
      </c>
      <c r="D259" s="5" t="s">
        <v>557</v>
      </c>
      <c r="E259" s="5" t="s">
        <v>564</v>
      </c>
      <c r="F259" s="5" t="s">
        <v>565</v>
      </c>
      <c r="G259" s="5" t="s">
        <v>52</v>
      </c>
      <c r="H259" s="5" t="s">
        <v>45</v>
      </c>
      <c r="I259" s="5" t="s">
        <v>559</v>
      </c>
      <c r="J259" s="5" t="s">
        <v>47</v>
      </c>
      <c r="K259" s="5"/>
    </row>
    <row r="260" customFormat="false" ht="15" hidden="false" customHeight="false" outlineLevel="0" collapsed="false">
      <c r="A260" s="5" t="n">
        <v>259</v>
      </c>
      <c r="B260" s="5" t="s">
        <v>555</v>
      </c>
      <c r="C260" s="5" t="s">
        <v>556</v>
      </c>
      <c r="D260" s="5" t="s">
        <v>557</v>
      </c>
      <c r="E260" s="5" t="s">
        <v>566</v>
      </c>
      <c r="F260" s="5" t="s">
        <v>567</v>
      </c>
      <c r="G260" s="5" t="s">
        <v>52</v>
      </c>
      <c r="H260" s="5" t="s">
        <v>45</v>
      </c>
      <c r="I260" s="5" t="s">
        <v>559</v>
      </c>
      <c r="J260" s="5" t="s">
        <v>47</v>
      </c>
      <c r="K260" s="5"/>
    </row>
    <row r="261" customFormat="false" ht="15" hidden="false" customHeight="false" outlineLevel="0" collapsed="false">
      <c r="A261" s="5" t="n">
        <v>260</v>
      </c>
      <c r="B261" s="5" t="s">
        <v>555</v>
      </c>
      <c r="C261" s="5" t="s">
        <v>556</v>
      </c>
      <c r="D261" s="5" t="s">
        <v>557</v>
      </c>
      <c r="E261" s="5" t="s">
        <v>568</v>
      </c>
      <c r="F261" s="5" t="s">
        <v>569</v>
      </c>
      <c r="G261" s="5" t="s">
        <v>44</v>
      </c>
      <c r="H261" s="5" t="s">
        <v>45</v>
      </c>
      <c r="I261" s="5" t="s">
        <v>559</v>
      </c>
      <c r="J261" s="5" t="s">
        <v>47</v>
      </c>
      <c r="K261" s="5"/>
    </row>
    <row r="262" customFormat="false" ht="15" hidden="false" customHeight="false" outlineLevel="0" collapsed="false">
      <c r="A262" s="5" t="n">
        <v>261</v>
      </c>
      <c r="B262" s="5" t="s">
        <v>555</v>
      </c>
      <c r="C262" s="5" t="s">
        <v>556</v>
      </c>
      <c r="D262" s="5" t="s">
        <v>570</v>
      </c>
      <c r="E262" s="5" t="s">
        <v>571</v>
      </c>
      <c r="F262" s="5" t="s">
        <v>572</v>
      </c>
      <c r="G262" s="5" t="s">
        <v>44</v>
      </c>
      <c r="H262" s="5" t="s">
        <v>45</v>
      </c>
      <c r="I262" s="5" t="s">
        <v>559</v>
      </c>
      <c r="J262" s="5" t="s">
        <v>47</v>
      </c>
      <c r="K262" s="5"/>
    </row>
    <row r="263" customFormat="false" ht="15" hidden="false" customHeight="false" outlineLevel="0" collapsed="false">
      <c r="A263" s="5" t="n">
        <v>262</v>
      </c>
      <c r="B263" s="5" t="s">
        <v>555</v>
      </c>
      <c r="C263" s="5" t="s">
        <v>556</v>
      </c>
      <c r="D263" s="5" t="s">
        <v>570</v>
      </c>
      <c r="E263" s="5" t="s">
        <v>573</v>
      </c>
      <c r="F263" s="5" t="s">
        <v>574</v>
      </c>
      <c r="G263" s="5" t="s">
        <v>44</v>
      </c>
      <c r="H263" s="5" t="s">
        <v>45</v>
      </c>
      <c r="I263" s="5" t="s">
        <v>559</v>
      </c>
      <c r="J263" s="5" t="s">
        <v>47</v>
      </c>
      <c r="K263" s="5"/>
    </row>
    <row r="264" customFormat="false" ht="23.85" hidden="false" customHeight="false" outlineLevel="0" collapsed="false">
      <c r="A264" s="5" t="n">
        <v>263</v>
      </c>
      <c r="B264" s="5" t="s">
        <v>555</v>
      </c>
      <c r="C264" s="5" t="s">
        <v>556</v>
      </c>
      <c r="D264" s="5" t="s">
        <v>570</v>
      </c>
      <c r="E264" s="5" t="s">
        <v>575</v>
      </c>
      <c r="F264" s="5" t="s">
        <v>576</v>
      </c>
      <c r="G264" s="5" t="s">
        <v>52</v>
      </c>
      <c r="H264" s="5" t="s">
        <v>45</v>
      </c>
      <c r="I264" s="5" t="s">
        <v>559</v>
      </c>
      <c r="J264" s="5" t="s">
        <v>47</v>
      </c>
      <c r="K264" s="5"/>
    </row>
    <row r="265" customFormat="false" ht="15" hidden="false" customHeight="false" outlineLevel="0" collapsed="false">
      <c r="A265" s="5" t="n">
        <v>264</v>
      </c>
      <c r="B265" s="5" t="s">
        <v>555</v>
      </c>
      <c r="C265" s="5" t="s">
        <v>556</v>
      </c>
      <c r="D265" s="5" t="s">
        <v>570</v>
      </c>
      <c r="E265" s="5" t="s">
        <v>577</v>
      </c>
      <c r="F265" s="5" t="s">
        <v>578</v>
      </c>
      <c r="G265" s="5" t="s">
        <v>52</v>
      </c>
      <c r="H265" s="5" t="s">
        <v>45</v>
      </c>
      <c r="I265" s="5" t="s">
        <v>559</v>
      </c>
      <c r="J265" s="5" t="s">
        <v>47</v>
      </c>
      <c r="K265" s="5"/>
    </row>
    <row r="266" customFormat="false" ht="15" hidden="false" customHeight="false" outlineLevel="0" collapsed="false">
      <c r="A266" s="5" t="n">
        <v>265</v>
      </c>
      <c r="B266" s="5" t="s">
        <v>555</v>
      </c>
      <c r="C266" s="5" t="s">
        <v>556</v>
      </c>
      <c r="D266" s="5" t="s">
        <v>570</v>
      </c>
      <c r="E266" s="5" t="s">
        <v>579</v>
      </c>
      <c r="F266" s="5" t="s">
        <v>580</v>
      </c>
      <c r="G266" s="5" t="s">
        <v>44</v>
      </c>
      <c r="H266" s="5" t="s">
        <v>45</v>
      </c>
      <c r="I266" s="5" t="s">
        <v>559</v>
      </c>
      <c r="J266" s="5" t="s">
        <v>47</v>
      </c>
      <c r="K266" s="5"/>
    </row>
    <row r="267" customFormat="false" ht="15" hidden="false" customHeight="false" outlineLevel="0" collapsed="false">
      <c r="A267" s="5" t="n">
        <v>266</v>
      </c>
      <c r="B267" s="5" t="s">
        <v>555</v>
      </c>
      <c r="C267" s="5" t="s">
        <v>556</v>
      </c>
      <c r="D267" s="5" t="s">
        <v>570</v>
      </c>
      <c r="E267" s="5" t="s">
        <v>581</v>
      </c>
      <c r="F267" s="5" t="s">
        <v>582</v>
      </c>
      <c r="G267" s="5" t="s">
        <v>52</v>
      </c>
      <c r="H267" s="5" t="s">
        <v>45</v>
      </c>
      <c r="I267" s="5" t="s">
        <v>559</v>
      </c>
      <c r="J267" s="5" t="s">
        <v>47</v>
      </c>
      <c r="K267" s="5"/>
    </row>
    <row r="268" customFormat="false" ht="23.85" hidden="false" customHeight="false" outlineLevel="0" collapsed="false">
      <c r="A268" s="5" t="n">
        <v>267</v>
      </c>
      <c r="B268" s="5" t="s">
        <v>555</v>
      </c>
      <c r="C268" s="5" t="s">
        <v>556</v>
      </c>
      <c r="D268" s="5" t="s">
        <v>570</v>
      </c>
      <c r="E268" s="5" t="s">
        <v>583</v>
      </c>
      <c r="F268" s="5" t="s">
        <v>584</v>
      </c>
      <c r="G268" s="5" t="s">
        <v>44</v>
      </c>
      <c r="H268" s="5" t="s">
        <v>45</v>
      </c>
      <c r="I268" s="5" t="s">
        <v>559</v>
      </c>
      <c r="J268" s="5" t="s">
        <v>47</v>
      </c>
      <c r="K268" s="5"/>
    </row>
    <row r="269" customFormat="false" ht="15" hidden="false" customHeight="false" outlineLevel="0" collapsed="false">
      <c r="A269" s="5" t="n">
        <v>268</v>
      </c>
      <c r="B269" s="5" t="s">
        <v>555</v>
      </c>
      <c r="C269" s="5" t="s">
        <v>556</v>
      </c>
      <c r="D269" s="5" t="s">
        <v>570</v>
      </c>
      <c r="E269" s="5" t="s">
        <v>585</v>
      </c>
      <c r="F269" s="5" t="s">
        <v>586</v>
      </c>
      <c r="G269" s="5" t="s">
        <v>52</v>
      </c>
      <c r="H269" s="5" t="s">
        <v>45</v>
      </c>
      <c r="I269" s="5" t="s">
        <v>559</v>
      </c>
      <c r="J269" s="5" t="s">
        <v>47</v>
      </c>
      <c r="K269" s="5"/>
    </row>
    <row r="270" customFormat="false" ht="15" hidden="false" customHeight="false" outlineLevel="0" collapsed="false">
      <c r="A270" s="5" t="n">
        <v>269</v>
      </c>
      <c r="B270" s="5" t="s">
        <v>555</v>
      </c>
      <c r="C270" s="5" t="s">
        <v>587</v>
      </c>
      <c r="D270" s="5" t="s">
        <v>588</v>
      </c>
      <c r="E270" s="5" t="s">
        <v>589</v>
      </c>
      <c r="F270" s="5" t="s">
        <v>590</v>
      </c>
      <c r="G270" s="5" t="s">
        <v>44</v>
      </c>
      <c r="H270" s="5" t="s">
        <v>45</v>
      </c>
      <c r="I270" s="5" t="s">
        <v>46</v>
      </c>
      <c r="J270" s="6" t="s">
        <v>206</v>
      </c>
      <c r="K270" s="5" t="s">
        <v>591</v>
      </c>
    </row>
    <row r="271" customFormat="false" ht="15" hidden="false" customHeight="false" outlineLevel="0" collapsed="false">
      <c r="A271" s="5" t="n">
        <v>270</v>
      </c>
      <c r="B271" s="5" t="s">
        <v>555</v>
      </c>
      <c r="C271" s="5" t="s">
        <v>587</v>
      </c>
      <c r="D271" s="5" t="s">
        <v>588</v>
      </c>
      <c r="E271" s="5" t="s">
        <v>592</v>
      </c>
      <c r="F271" s="5" t="s">
        <v>593</v>
      </c>
      <c r="G271" s="5" t="s">
        <v>44</v>
      </c>
      <c r="H271" s="5" t="s">
        <v>45</v>
      </c>
      <c r="I271" s="5" t="s">
        <v>46</v>
      </c>
      <c r="J271" s="8" t="s">
        <v>594</v>
      </c>
      <c r="K271" s="5" t="s">
        <v>595</v>
      </c>
    </row>
    <row r="272" customFormat="false" ht="15" hidden="false" customHeight="false" outlineLevel="0" collapsed="false">
      <c r="A272" s="5" t="n">
        <v>271</v>
      </c>
      <c r="B272" s="5" t="s">
        <v>555</v>
      </c>
      <c r="C272" s="5" t="s">
        <v>587</v>
      </c>
      <c r="D272" s="5" t="s">
        <v>588</v>
      </c>
      <c r="E272" s="5" t="s">
        <v>596</v>
      </c>
      <c r="F272" s="5" t="s">
        <v>597</v>
      </c>
      <c r="G272" s="5" t="s">
        <v>52</v>
      </c>
      <c r="H272" s="5" t="s">
        <v>45</v>
      </c>
      <c r="I272" s="5" t="s">
        <v>46</v>
      </c>
      <c r="J272" s="6" t="s">
        <v>206</v>
      </c>
      <c r="K272" s="5" t="s">
        <v>598</v>
      </c>
    </row>
    <row r="273" customFormat="false" ht="23.85" hidden="false" customHeight="false" outlineLevel="0" collapsed="false">
      <c r="A273" s="5" t="n">
        <v>272</v>
      </c>
      <c r="B273" s="5" t="s">
        <v>555</v>
      </c>
      <c r="C273" s="5" t="s">
        <v>587</v>
      </c>
      <c r="D273" s="5" t="s">
        <v>587</v>
      </c>
      <c r="E273" s="5" t="s">
        <v>599</v>
      </c>
      <c r="F273" s="5" t="s">
        <v>600</v>
      </c>
      <c r="G273" s="5" t="s">
        <v>44</v>
      </c>
      <c r="H273" s="5" t="s">
        <v>53</v>
      </c>
      <c r="I273" s="5" t="s">
        <v>559</v>
      </c>
      <c r="J273" s="9" t="s">
        <v>601</v>
      </c>
      <c r="K273" s="5" t="s">
        <v>602</v>
      </c>
    </row>
    <row r="274" customFormat="false" ht="23.85" hidden="false" customHeight="false" outlineLevel="0" collapsed="false">
      <c r="A274" s="5" t="n">
        <v>273</v>
      </c>
      <c r="B274" s="5" t="s">
        <v>555</v>
      </c>
      <c r="C274" s="5" t="s">
        <v>587</v>
      </c>
      <c r="D274" s="5" t="s">
        <v>587</v>
      </c>
      <c r="E274" s="5" t="s">
        <v>603</v>
      </c>
      <c r="F274" s="5" t="s">
        <v>604</v>
      </c>
      <c r="G274" s="5" t="s">
        <v>52</v>
      </c>
      <c r="H274" s="5" t="s">
        <v>53</v>
      </c>
      <c r="I274" s="5" t="s">
        <v>559</v>
      </c>
      <c r="J274" s="9" t="s">
        <v>601</v>
      </c>
      <c r="K274" s="5" t="s">
        <v>605</v>
      </c>
    </row>
    <row r="275" customFormat="false" ht="23.85" hidden="false" customHeight="false" outlineLevel="0" collapsed="false">
      <c r="A275" s="5" t="n">
        <v>274</v>
      </c>
      <c r="B275" s="5" t="s">
        <v>555</v>
      </c>
      <c r="C275" s="5" t="s">
        <v>587</v>
      </c>
      <c r="D275" s="5" t="s">
        <v>587</v>
      </c>
      <c r="E275" s="5" t="s">
        <v>606</v>
      </c>
      <c r="F275" s="5" t="s">
        <v>607</v>
      </c>
      <c r="G275" s="5" t="s">
        <v>44</v>
      </c>
      <c r="H275" s="5" t="s">
        <v>45</v>
      </c>
      <c r="I275" s="5" t="s">
        <v>559</v>
      </c>
      <c r="J275" s="6" t="s">
        <v>206</v>
      </c>
      <c r="K275" s="5" t="s">
        <v>608</v>
      </c>
    </row>
    <row r="276" customFormat="false" ht="23.85" hidden="false" customHeight="false" outlineLevel="0" collapsed="false">
      <c r="A276" s="5" t="n">
        <v>275</v>
      </c>
      <c r="B276" s="5" t="s">
        <v>555</v>
      </c>
      <c r="C276" s="5" t="s">
        <v>587</v>
      </c>
      <c r="D276" s="5" t="s">
        <v>587</v>
      </c>
      <c r="E276" s="5" t="s">
        <v>609</v>
      </c>
      <c r="F276" s="5" t="s">
        <v>610</v>
      </c>
      <c r="G276" s="5" t="s">
        <v>44</v>
      </c>
      <c r="H276" s="5" t="s">
        <v>53</v>
      </c>
      <c r="I276" s="5" t="s">
        <v>559</v>
      </c>
      <c r="J276" s="9" t="s">
        <v>601</v>
      </c>
      <c r="K276" s="5" t="s">
        <v>611</v>
      </c>
    </row>
    <row r="277" customFormat="false" ht="15" hidden="false" customHeight="false" outlineLevel="0" collapsed="false">
      <c r="A277" s="5" t="n">
        <v>276</v>
      </c>
      <c r="B277" s="5" t="s">
        <v>555</v>
      </c>
      <c r="C277" s="5" t="s">
        <v>587</v>
      </c>
      <c r="D277" s="5" t="s">
        <v>587</v>
      </c>
      <c r="E277" s="5" t="s">
        <v>612</v>
      </c>
      <c r="F277" s="5" t="s">
        <v>613</v>
      </c>
      <c r="G277" s="5" t="s">
        <v>52</v>
      </c>
      <c r="H277" s="5" t="s">
        <v>45</v>
      </c>
      <c r="I277" s="5" t="s">
        <v>559</v>
      </c>
      <c r="J277" s="6" t="s">
        <v>206</v>
      </c>
      <c r="K277" s="5" t="s">
        <v>614</v>
      </c>
    </row>
    <row r="278" customFormat="false" ht="15" hidden="false" customHeight="false" outlineLevel="0" collapsed="false">
      <c r="A278" s="5" t="n">
        <v>277</v>
      </c>
      <c r="B278" s="5" t="s">
        <v>555</v>
      </c>
      <c r="C278" s="5" t="s">
        <v>587</v>
      </c>
      <c r="D278" s="5" t="s">
        <v>587</v>
      </c>
      <c r="E278" s="5" t="s">
        <v>615</v>
      </c>
      <c r="F278" s="5" t="s">
        <v>616</v>
      </c>
      <c r="G278" s="5" t="s">
        <v>52</v>
      </c>
      <c r="H278" s="5" t="s">
        <v>45</v>
      </c>
      <c r="I278" s="5" t="s">
        <v>559</v>
      </c>
      <c r="J278" s="5" t="s">
        <v>47</v>
      </c>
      <c r="K278" s="5"/>
    </row>
    <row r="279" customFormat="false" ht="15" hidden="false" customHeight="false" outlineLevel="0" collapsed="false">
      <c r="A279" s="5" t="n">
        <v>278</v>
      </c>
      <c r="B279" s="5" t="s">
        <v>555</v>
      </c>
      <c r="C279" s="5" t="s">
        <v>617</v>
      </c>
      <c r="D279" s="5" t="s">
        <v>617</v>
      </c>
      <c r="E279" s="5" t="s">
        <v>618</v>
      </c>
      <c r="F279" s="5" t="s">
        <v>619</v>
      </c>
      <c r="G279" s="5" t="s">
        <v>52</v>
      </c>
      <c r="H279" s="5" t="s">
        <v>53</v>
      </c>
      <c r="I279" s="5" t="s">
        <v>559</v>
      </c>
      <c r="J279" s="5" t="s">
        <v>47</v>
      </c>
      <c r="K279" s="5"/>
    </row>
    <row r="280" customFormat="false" ht="15" hidden="false" customHeight="false" outlineLevel="0" collapsed="false">
      <c r="A280" s="5" t="n">
        <v>279</v>
      </c>
      <c r="B280" s="5" t="s">
        <v>555</v>
      </c>
      <c r="C280" s="5" t="s">
        <v>620</v>
      </c>
      <c r="D280" s="5" t="s">
        <v>620</v>
      </c>
      <c r="E280" s="5" t="s">
        <v>621</v>
      </c>
      <c r="F280" s="5" t="s">
        <v>622</v>
      </c>
      <c r="G280" s="5" t="s">
        <v>52</v>
      </c>
      <c r="H280" s="5" t="s">
        <v>45</v>
      </c>
      <c r="I280" s="5" t="s">
        <v>559</v>
      </c>
      <c r="J280" s="5" t="s">
        <v>47</v>
      </c>
      <c r="K280" s="5"/>
    </row>
    <row r="281" customFormat="false" ht="23.85" hidden="false" customHeight="false" outlineLevel="0" collapsed="false">
      <c r="A281" s="5" t="n">
        <v>280</v>
      </c>
      <c r="B281" s="5" t="s">
        <v>555</v>
      </c>
      <c r="C281" s="5" t="s">
        <v>620</v>
      </c>
      <c r="D281" s="5" t="s">
        <v>620</v>
      </c>
      <c r="E281" s="5" t="s">
        <v>623</v>
      </c>
      <c r="F281" s="5" t="s">
        <v>624</v>
      </c>
      <c r="G281" s="5" t="s">
        <v>52</v>
      </c>
      <c r="H281" s="5" t="s">
        <v>45</v>
      </c>
      <c r="I281" s="5" t="s">
        <v>559</v>
      </c>
      <c r="J281" s="5" t="s">
        <v>47</v>
      </c>
      <c r="K281" s="5"/>
    </row>
    <row r="282" customFormat="false" ht="15" hidden="false" customHeight="false" outlineLevel="0" collapsed="false">
      <c r="A282" s="5" t="n">
        <v>281</v>
      </c>
      <c r="B282" s="5" t="s">
        <v>555</v>
      </c>
      <c r="C282" s="5" t="s">
        <v>625</v>
      </c>
      <c r="D282" s="5" t="s">
        <v>626</v>
      </c>
      <c r="E282" s="5" t="s">
        <v>627</v>
      </c>
      <c r="F282" s="5" t="s">
        <v>628</v>
      </c>
      <c r="G282" s="5" t="s">
        <v>44</v>
      </c>
      <c r="H282" s="5" t="s">
        <v>45</v>
      </c>
      <c r="I282" s="5" t="s">
        <v>46</v>
      </c>
      <c r="J282" s="6" t="s">
        <v>206</v>
      </c>
      <c r="K282" s="5" t="s">
        <v>629</v>
      </c>
    </row>
    <row r="283" customFormat="false" ht="15" hidden="false" customHeight="false" outlineLevel="0" collapsed="false">
      <c r="A283" s="5" t="n">
        <v>282</v>
      </c>
      <c r="B283" s="5" t="s">
        <v>555</v>
      </c>
      <c r="C283" s="5" t="s">
        <v>625</v>
      </c>
      <c r="D283" s="5" t="s">
        <v>626</v>
      </c>
      <c r="E283" s="5" t="s">
        <v>630</v>
      </c>
      <c r="F283" s="5" t="s">
        <v>631</v>
      </c>
      <c r="G283" s="5" t="s">
        <v>44</v>
      </c>
      <c r="H283" s="5" t="s">
        <v>45</v>
      </c>
      <c r="I283" s="5" t="s">
        <v>46</v>
      </c>
      <c r="J283" s="6" t="s">
        <v>206</v>
      </c>
      <c r="K283" s="5" t="s">
        <v>632</v>
      </c>
    </row>
    <row r="284" customFormat="false" ht="15" hidden="false" customHeight="false" outlineLevel="0" collapsed="false">
      <c r="A284" s="5" t="n">
        <v>283</v>
      </c>
      <c r="B284" s="5" t="s">
        <v>555</v>
      </c>
      <c r="C284" s="5" t="s">
        <v>625</v>
      </c>
      <c r="D284" s="5" t="s">
        <v>626</v>
      </c>
      <c r="E284" s="5" t="s">
        <v>633</v>
      </c>
      <c r="F284" s="5" t="s">
        <v>634</v>
      </c>
      <c r="G284" s="5" t="s">
        <v>44</v>
      </c>
      <c r="H284" s="5" t="s">
        <v>45</v>
      </c>
      <c r="I284" s="5" t="s">
        <v>46</v>
      </c>
      <c r="J284" s="6" t="s">
        <v>206</v>
      </c>
      <c r="K284" s="5" t="s">
        <v>635</v>
      </c>
    </row>
    <row r="285" customFormat="false" ht="15" hidden="false" customHeight="false" outlineLevel="0" collapsed="false">
      <c r="A285" s="5" t="n">
        <v>284</v>
      </c>
      <c r="B285" s="5" t="s">
        <v>555</v>
      </c>
      <c r="C285" s="5" t="s">
        <v>625</v>
      </c>
      <c r="D285" s="5" t="s">
        <v>636</v>
      </c>
      <c r="E285" s="5" t="s">
        <v>637</v>
      </c>
      <c r="F285" s="5" t="s">
        <v>638</v>
      </c>
      <c r="G285" s="5" t="s">
        <v>44</v>
      </c>
      <c r="H285" s="5" t="s">
        <v>45</v>
      </c>
      <c r="I285" s="5" t="s">
        <v>559</v>
      </c>
      <c r="J285" s="5" t="s">
        <v>47</v>
      </c>
      <c r="K285" s="5"/>
    </row>
    <row r="286" customFormat="false" ht="15" hidden="false" customHeight="false" outlineLevel="0" collapsed="false">
      <c r="A286" s="5" t="n">
        <v>285</v>
      </c>
      <c r="B286" s="5" t="s">
        <v>555</v>
      </c>
      <c r="C286" s="5" t="s">
        <v>625</v>
      </c>
      <c r="D286" s="5" t="s">
        <v>636</v>
      </c>
      <c r="E286" s="5" t="s">
        <v>639</v>
      </c>
      <c r="F286" s="5" t="s">
        <v>640</v>
      </c>
      <c r="G286" s="5" t="s">
        <v>44</v>
      </c>
      <c r="H286" s="5" t="s">
        <v>45</v>
      </c>
      <c r="I286" s="5" t="s">
        <v>559</v>
      </c>
      <c r="J286" s="5" t="s">
        <v>47</v>
      </c>
      <c r="K286" s="5"/>
    </row>
    <row r="287" customFormat="false" ht="23.85" hidden="false" customHeight="false" outlineLevel="0" collapsed="false">
      <c r="A287" s="5" t="n">
        <v>286</v>
      </c>
      <c r="B287" s="5" t="s">
        <v>555</v>
      </c>
      <c r="C287" s="5" t="s">
        <v>625</v>
      </c>
      <c r="D287" s="5" t="s">
        <v>636</v>
      </c>
      <c r="E287" s="5" t="s">
        <v>641</v>
      </c>
      <c r="F287" s="5" t="s">
        <v>642</v>
      </c>
      <c r="G287" s="5" t="s">
        <v>44</v>
      </c>
      <c r="H287" s="5" t="s">
        <v>45</v>
      </c>
      <c r="I287" s="5" t="s">
        <v>559</v>
      </c>
      <c r="J287" s="5" t="s">
        <v>47</v>
      </c>
      <c r="K287" s="5"/>
    </row>
    <row r="288" customFormat="false" ht="15" hidden="false" customHeight="false" outlineLevel="0" collapsed="false">
      <c r="A288" s="5" t="n">
        <v>287</v>
      </c>
      <c r="B288" s="5" t="s">
        <v>555</v>
      </c>
      <c r="C288" s="5" t="s">
        <v>625</v>
      </c>
      <c r="D288" s="5" t="s">
        <v>636</v>
      </c>
      <c r="E288" s="5" t="s">
        <v>643</v>
      </c>
      <c r="F288" s="5" t="s">
        <v>644</v>
      </c>
      <c r="G288" s="5" t="s">
        <v>52</v>
      </c>
      <c r="H288" s="5" t="s">
        <v>45</v>
      </c>
      <c r="I288" s="5" t="s">
        <v>559</v>
      </c>
      <c r="J288" s="5" t="s">
        <v>47</v>
      </c>
      <c r="K288" s="5"/>
    </row>
    <row r="289" customFormat="false" ht="15" hidden="false" customHeight="false" outlineLevel="0" collapsed="false">
      <c r="A289" s="5" t="n">
        <v>288</v>
      </c>
      <c r="B289" s="5" t="s">
        <v>555</v>
      </c>
      <c r="C289" s="5" t="s">
        <v>625</v>
      </c>
      <c r="D289" s="5" t="s">
        <v>636</v>
      </c>
      <c r="E289" s="5" t="s">
        <v>645</v>
      </c>
      <c r="F289" s="5" t="s">
        <v>646</v>
      </c>
      <c r="G289" s="5" t="s">
        <v>52</v>
      </c>
      <c r="H289" s="5" t="s">
        <v>45</v>
      </c>
      <c r="I289" s="5" t="s">
        <v>559</v>
      </c>
      <c r="J289" s="5" t="s">
        <v>47</v>
      </c>
      <c r="K289" s="5"/>
    </row>
    <row r="290" customFormat="false" ht="23.85" hidden="false" customHeight="false" outlineLevel="0" collapsed="false">
      <c r="A290" s="5" t="n">
        <v>289</v>
      </c>
      <c r="B290" s="5" t="s">
        <v>555</v>
      </c>
      <c r="C290" s="5" t="s">
        <v>625</v>
      </c>
      <c r="D290" s="5" t="s">
        <v>647</v>
      </c>
      <c r="E290" s="5" t="s">
        <v>648</v>
      </c>
      <c r="F290" s="5" t="s">
        <v>649</v>
      </c>
      <c r="G290" s="5" t="s">
        <v>44</v>
      </c>
      <c r="H290" s="5" t="s">
        <v>45</v>
      </c>
      <c r="I290" s="5" t="s">
        <v>559</v>
      </c>
      <c r="J290" s="6" t="s">
        <v>206</v>
      </c>
      <c r="K290" s="5" t="s">
        <v>650</v>
      </c>
    </row>
    <row r="291" customFormat="false" ht="23.85" hidden="false" customHeight="false" outlineLevel="0" collapsed="false">
      <c r="A291" s="5" t="n">
        <v>290</v>
      </c>
      <c r="B291" s="5" t="s">
        <v>555</v>
      </c>
      <c r="C291" s="5" t="s">
        <v>625</v>
      </c>
      <c r="D291" s="5" t="s">
        <v>647</v>
      </c>
      <c r="E291" s="5" t="s">
        <v>651</v>
      </c>
      <c r="F291" s="5" t="s">
        <v>652</v>
      </c>
      <c r="G291" s="5" t="s">
        <v>44</v>
      </c>
      <c r="H291" s="5" t="s">
        <v>45</v>
      </c>
      <c r="I291" s="5" t="s">
        <v>559</v>
      </c>
      <c r="J291" s="6" t="s">
        <v>206</v>
      </c>
      <c r="K291" s="5" t="s">
        <v>653</v>
      </c>
    </row>
    <row r="292" customFormat="false" ht="23.85" hidden="false" customHeight="false" outlineLevel="0" collapsed="false">
      <c r="A292" s="5" t="n">
        <v>291</v>
      </c>
      <c r="B292" s="5" t="s">
        <v>555</v>
      </c>
      <c r="C292" s="5" t="s">
        <v>625</v>
      </c>
      <c r="D292" s="5" t="s">
        <v>647</v>
      </c>
      <c r="E292" s="5" t="s">
        <v>654</v>
      </c>
      <c r="F292" s="5" t="s">
        <v>655</v>
      </c>
      <c r="G292" s="5" t="s">
        <v>44</v>
      </c>
      <c r="H292" s="5" t="s">
        <v>45</v>
      </c>
      <c r="I292" s="5" t="s">
        <v>559</v>
      </c>
      <c r="J292" s="6" t="s">
        <v>206</v>
      </c>
      <c r="K292" s="5" t="s">
        <v>656</v>
      </c>
    </row>
    <row r="293" customFormat="false" ht="23.85" hidden="false" customHeight="false" outlineLevel="0" collapsed="false">
      <c r="A293" s="5" t="n">
        <v>292</v>
      </c>
      <c r="B293" s="5" t="s">
        <v>555</v>
      </c>
      <c r="C293" s="5" t="s">
        <v>625</v>
      </c>
      <c r="D293" s="5" t="s">
        <v>647</v>
      </c>
      <c r="E293" s="5" t="s">
        <v>657</v>
      </c>
      <c r="F293" s="5" t="s">
        <v>658</v>
      </c>
      <c r="G293" s="5" t="s">
        <v>44</v>
      </c>
      <c r="H293" s="5" t="s">
        <v>45</v>
      </c>
      <c r="I293" s="5" t="s">
        <v>559</v>
      </c>
      <c r="J293" s="5" t="s">
        <v>47</v>
      </c>
      <c r="K293" s="5"/>
    </row>
    <row r="294" customFormat="false" ht="23.85" hidden="false" customHeight="false" outlineLevel="0" collapsed="false">
      <c r="A294" s="5" t="n">
        <v>293</v>
      </c>
      <c r="B294" s="5" t="s">
        <v>555</v>
      </c>
      <c r="C294" s="5" t="s">
        <v>659</v>
      </c>
      <c r="D294" s="5" t="s">
        <v>659</v>
      </c>
      <c r="E294" s="5" t="s">
        <v>163</v>
      </c>
      <c r="F294" s="5" t="s">
        <v>660</v>
      </c>
      <c r="G294" s="5" t="s">
        <v>52</v>
      </c>
      <c r="H294" s="5" t="s">
        <v>45</v>
      </c>
      <c r="I294" s="5" t="s">
        <v>559</v>
      </c>
      <c r="J294" s="5" t="s">
        <v>47</v>
      </c>
      <c r="K294" s="5"/>
    </row>
    <row r="295" customFormat="false" ht="15" hidden="false" customHeight="false" outlineLevel="0" collapsed="false">
      <c r="A295" s="5" t="n">
        <v>294</v>
      </c>
      <c r="B295" s="5" t="s">
        <v>555</v>
      </c>
      <c r="C295" s="5" t="s">
        <v>661</v>
      </c>
      <c r="D295" s="5" t="s">
        <v>661</v>
      </c>
      <c r="E295" s="5" t="s">
        <v>315</v>
      </c>
      <c r="F295" s="5" t="s">
        <v>662</v>
      </c>
      <c r="G295" s="5" t="s">
        <v>52</v>
      </c>
      <c r="H295" s="5" t="s">
        <v>45</v>
      </c>
      <c r="I295" s="5" t="s">
        <v>559</v>
      </c>
      <c r="J295" s="5" t="s">
        <v>47</v>
      </c>
      <c r="K295" s="5"/>
    </row>
    <row r="296" customFormat="false" ht="23.85" hidden="false" customHeight="false" outlineLevel="0" collapsed="false">
      <c r="A296" s="5" t="n">
        <v>295</v>
      </c>
      <c r="B296" s="5" t="s">
        <v>555</v>
      </c>
      <c r="C296" s="5" t="s">
        <v>663</v>
      </c>
      <c r="D296" s="5" t="s">
        <v>664</v>
      </c>
      <c r="E296" s="5" t="s">
        <v>141</v>
      </c>
      <c r="F296" s="5" t="s">
        <v>600</v>
      </c>
      <c r="G296" s="5" t="s">
        <v>44</v>
      </c>
      <c r="H296" s="5" t="s">
        <v>53</v>
      </c>
      <c r="I296" s="5" t="s">
        <v>559</v>
      </c>
      <c r="J296" s="9" t="s">
        <v>601</v>
      </c>
      <c r="K296" s="5" t="s">
        <v>665</v>
      </c>
    </row>
    <row r="297" customFormat="false" ht="23.85" hidden="false" customHeight="false" outlineLevel="0" collapsed="false">
      <c r="A297" s="5" t="n">
        <v>296</v>
      </c>
      <c r="B297" s="5" t="s">
        <v>555</v>
      </c>
      <c r="C297" s="5" t="s">
        <v>663</v>
      </c>
      <c r="D297" s="5" t="s">
        <v>664</v>
      </c>
      <c r="E297" s="5" t="s">
        <v>143</v>
      </c>
      <c r="F297" s="5" t="s">
        <v>604</v>
      </c>
      <c r="G297" s="5" t="s">
        <v>52</v>
      </c>
      <c r="H297" s="5" t="s">
        <v>53</v>
      </c>
      <c r="I297" s="5" t="s">
        <v>559</v>
      </c>
      <c r="J297" s="9" t="s">
        <v>601</v>
      </c>
      <c r="K297" s="5" t="s">
        <v>666</v>
      </c>
    </row>
    <row r="298" customFormat="false" ht="23.85" hidden="false" customHeight="false" outlineLevel="0" collapsed="false">
      <c r="A298" s="5" t="n">
        <v>297</v>
      </c>
      <c r="B298" s="5" t="s">
        <v>555</v>
      </c>
      <c r="C298" s="5" t="s">
        <v>663</v>
      </c>
      <c r="D298" s="5" t="s">
        <v>664</v>
      </c>
      <c r="E298" s="5" t="s">
        <v>145</v>
      </c>
      <c r="F298" s="5" t="s">
        <v>610</v>
      </c>
      <c r="G298" s="5" t="s">
        <v>44</v>
      </c>
      <c r="H298" s="5" t="s">
        <v>53</v>
      </c>
      <c r="I298" s="5" t="s">
        <v>559</v>
      </c>
      <c r="J298" s="9" t="s">
        <v>601</v>
      </c>
      <c r="K298" s="5" t="s">
        <v>667</v>
      </c>
    </row>
    <row r="299" customFormat="false" ht="23.85" hidden="false" customHeight="false" outlineLevel="0" collapsed="false">
      <c r="A299" s="5" t="n">
        <v>298</v>
      </c>
      <c r="B299" s="5" t="s">
        <v>555</v>
      </c>
      <c r="C299" s="5" t="s">
        <v>668</v>
      </c>
      <c r="D299" s="5" t="s">
        <v>669</v>
      </c>
      <c r="E299" s="5" t="s">
        <v>670</v>
      </c>
      <c r="F299" s="5" t="s">
        <v>671</v>
      </c>
      <c r="G299" s="5" t="s">
        <v>44</v>
      </c>
      <c r="H299" s="5" t="s">
        <v>45</v>
      </c>
      <c r="I299" s="5" t="s">
        <v>46</v>
      </c>
      <c r="J299" s="6" t="s">
        <v>206</v>
      </c>
      <c r="K299" s="5" t="s">
        <v>672</v>
      </c>
    </row>
    <row r="300" customFormat="false" ht="23.85" hidden="false" customHeight="false" outlineLevel="0" collapsed="false">
      <c r="A300" s="5" t="n">
        <v>299</v>
      </c>
      <c r="B300" s="5" t="s">
        <v>555</v>
      </c>
      <c r="C300" s="5" t="s">
        <v>668</v>
      </c>
      <c r="D300" s="5" t="s">
        <v>669</v>
      </c>
      <c r="E300" s="5" t="s">
        <v>673</v>
      </c>
      <c r="F300" s="5" t="s">
        <v>674</v>
      </c>
      <c r="G300" s="5" t="s">
        <v>44</v>
      </c>
      <c r="H300" s="5" t="s">
        <v>45</v>
      </c>
      <c r="I300" s="5" t="s">
        <v>46</v>
      </c>
      <c r="J300" s="6" t="s">
        <v>206</v>
      </c>
      <c r="K300" s="5" t="s">
        <v>675</v>
      </c>
    </row>
    <row r="301" customFormat="false" ht="23.85" hidden="false" customHeight="false" outlineLevel="0" collapsed="false">
      <c r="A301" s="5" t="n">
        <v>300</v>
      </c>
      <c r="B301" s="5" t="s">
        <v>555</v>
      </c>
      <c r="C301" s="5" t="s">
        <v>668</v>
      </c>
      <c r="D301" s="5" t="s">
        <v>669</v>
      </c>
      <c r="E301" s="5" t="s">
        <v>676</v>
      </c>
      <c r="F301" s="5" t="s">
        <v>677</v>
      </c>
      <c r="G301" s="5" t="s">
        <v>44</v>
      </c>
      <c r="H301" s="5" t="s">
        <v>45</v>
      </c>
      <c r="I301" s="5" t="s">
        <v>46</v>
      </c>
      <c r="J301" s="6" t="s">
        <v>206</v>
      </c>
      <c r="K301" s="5" t="s">
        <v>678</v>
      </c>
    </row>
    <row r="302" customFormat="false" ht="15" hidden="false" customHeight="false" outlineLevel="0" collapsed="false">
      <c r="A302" s="5" t="n">
        <v>301</v>
      </c>
      <c r="B302" s="5" t="s">
        <v>555</v>
      </c>
      <c r="C302" s="5" t="s">
        <v>668</v>
      </c>
      <c r="D302" s="5" t="s">
        <v>679</v>
      </c>
      <c r="E302" s="5" t="s">
        <v>680</v>
      </c>
      <c r="F302" s="5" t="s">
        <v>681</v>
      </c>
      <c r="G302" s="5" t="s">
        <v>52</v>
      </c>
      <c r="H302" s="5" t="s">
        <v>45</v>
      </c>
      <c r="I302" s="5" t="s">
        <v>46</v>
      </c>
      <c r="J302" s="6" t="s">
        <v>206</v>
      </c>
      <c r="K302" s="5" t="s">
        <v>682</v>
      </c>
    </row>
    <row r="303" customFormat="false" ht="15" hidden="false" customHeight="false" outlineLevel="0" collapsed="false">
      <c r="A303" s="5" t="n">
        <v>302</v>
      </c>
      <c r="B303" s="5" t="s">
        <v>555</v>
      </c>
      <c r="C303" s="5" t="s">
        <v>668</v>
      </c>
      <c r="D303" s="5" t="s">
        <v>679</v>
      </c>
      <c r="E303" s="5" t="s">
        <v>683</v>
      </c>
      <c r="F303" s="5" t="s">
        <v>684</v>
      </c>
      <c r="G303" s="5" t="s">
        <v>44</v>
      </c>
      <c r="H303" s="5" t="s">
        <v>45</v>
      </c>
      <c r="I303" s="5" t="s">
        <v>46</v>
      </c>
      <c r="J303" s="6" t="s">
        <v>206</v>
      </c>
      <c r="K303" s="5" t="s">
        <v>685</v>
      </c>
    </row>
    <row r="304" customFormat="false" ht="15" hidden="false" customHeight="false" outlineLevel="0" collapsed="false">
      <c r="A304" s="5" t="n">
        <v>303</v>
      </c>
      <c r="B304" s="5" t="s">
        <v>555</v>
      </c>
      <c r="C304" s="5" t="s">
        <v>668</v>
      </c>
      <c r="D304" s="5" t="s">
        <v>679</v>
      </c>
      <c r="E304" s="5" t="s">
        <v>686</v>
      </c>
      <c r="F304" s="5" t="s">
        <v>687</v>
      </c>
      <c r="G304" s="5" t="s">
        <v>44</v>
      </c>
      <c r="H304" s="5" t="s">
        <v>45</v>
      </c>
      <c r="I304" s="5" t="s">
        <v>46</v>
      </c>
      <c r="J304" s="6" t="s">
        <v>206</v>
      </c>
      <c r="K304" s="5" t="s">
        <v>688</v>
      </c>
    </row>
    <row r="305" customFormat="false" ht="23.85" hidden="false" customHeight="false" outlineLevel="0" collapsed="false">
      <c r="A305" s="5" t="n">
        <v>304</v>
      </c>
      <c r="B305" s="5" t="s">
        <v>555</v>
      </c>
      <c r="C305" s="5" t="s">
        <v>668</v>
      </c>
      <c r="D305" s="5" t="s">
        <v>689</v>
      </c>
      <c r="E305" s="5" t="s">
        <v>690</v>
      </c>
      <c r="F305" s="5" t="s">
        <v>691</v>
      </c>
      <c r="G305" s="5" t="s">
        <v>44</v>
      </c>
      <c r="H305" s="5" t="s">
        <v>45</v>
      </c>
      <c r="I305" s="5" t="s">
        <v>46</v>
      </c>
      <c r="J305" s="5" t="s">
        <v>47</v>
      </c>
      <c r="K305" s="5"/>
    </row>
    <row r="306" customFormat="false" ht="15" hidden="false" customHeight="false" outlineLevel="0" collapsed="false">
      <c r="A306" s="5" t="n">
        <v>305</v>
      </c>
      <c r="B306" s="5" t="s">
        <v>555</v>
      </c>
      <c r="C306" s="5" t="s">
        <v>668</v>
      </c>
      <c r="D306" s="5" t="s">
        <v>692</v>
      </c>
      <c r="E306" s="5" t="s">
        <v>693</v>
      </c>
      <c r="F306" s="5" t="s">
        <v>694</v>
      </c>
      <c r="G306" s="5" t="s">
        <v>44</v>
      </c>
      <c r="H306" s="5" t="s">
        <v>45</v>
      </c>
      <c r="I306" s="5" t="s">
        <v>46</v>
      </c>
      <c r="J306" s="6" t="s">
        <v>206</v>
      </c>
      <c r="K306" s="5" t="s">
        <v>695</v>
      </c>
    </row>
    <row r="307" customFormat="false" ht="23.85" hidden="false" customHeight="false" outlineLevel="0" collapsed="false">
      <c r="A307" s="5" t="n">
        <v>306</v>
      </c>
      <c r="B307" s="5" t="s">
        <v>555</v>
      </c>
      <c r="C307" s="5" t="s">
        <v>668</v>
      </c>
      <c r="D307" s="5" t="s">
        <v>692</v>
      </c>
      <c r="E307" s="5" t="s">
        <v>696</v>
      </c>
      <c r="F307" s="5" t="s">
        <v>697</v>
      </c>
      <c r="G307" s="5" t="s">
        <v>52</v>
      </c>
      <c r="H307" s="5" t="s">
        <v>45</v>
      </c>
      <c r="I307" s="5" t="s">
        <v>46</v>
      </c>
      <c r="J307" s="8" t="s">
        <v>594</v>
      </c>
      <c r="K307" s="5" t="s">
        <v>698</v>
      </c>
    </row>
    <row r="308" customFormat="false" ht="15" hidden="false" customHeight="false" outlineLevel="0" collapsed="false">
      <c r="A308" s="5" t="n">
        <v>307</v>
      </c>
      <c r="B308" s="5" t="s">
        <v>555</v>
      </c>
      <c r="C308" s="5" t="s">
        <v>668</v>
      </c>
      <c r="D308" s="5" t="s">
        <v>692</v>
      </c>
      <c r="E308" s="5" t="s">
        <v>699</v>
      </c>
      <c r="F308" s="5" t="s">
        <v>700</v>
      </c>
      <c r="G308" s="5" t="s">
        <v>44</v>
      </c>
      <c r="H308" s="5" t="s">
        <v>45</v>
      </c>
      <c r="I308" s="5" t="s">
        <v>46</v>
      </c>
      <c r="J308" s="6" t="s">
        <v>206</v>
      </c>
      <c r="K308" s="5" t="s">
        <v>701</v>
      </c>
    </row>
    <row r="309" customFormat="false" ht="15" hidden="false" customHeight="false" outlineLevel="0" collapsed="false">
      <c r="A309" s="5" t="n">
        <v>308</v>
      </c>
      <c r="B309" s="5" t="s">
        <v>555</v>
      </c>
      <c r="C309" s="5" t="s">
        <v>668</v>
      </c>
      <c r="D309" s="5" t="s">
        <v>692</v>
      </c>
      <c r="E309" s="5" t="s">
        <v>702</v>
      </c>
      <c r="F309" s="5" t="s">
        <v>703</v>
      </c>
      <c r="G309" s="5" t="s">
        <v>44</v>
      </c>
      <c r="H309" s="5" t="s">
        <v>45</v>
      </c>
      <c r="I309" s="5" t="s">
        <v>46</v>
      </c>
      <c r="J309" s="6" t="s">
        <v>206</v>
      </c>
      <c r="K309" s="5" t="s">
        <v>704</v>
      </c>
    </row>
    <row r="310" customFormat="false" ht="15" hidden="false" customHeight="false" outlineLevel="0" collapsed="false">
      <c r="A310" s="5" t="n">
        <v>309</v>
      </c>
      <c r="B310" s="5" t="s">
        <v>555</v>
      </c>
      <c r="C310" s="5" t="s">
        <v>668</v>
      </c>
      <c r="D310" s="5" t="s">
        <v>692</v>
      </c>
      <c r="E310" s="5" t="s">
        <v>705</v>
      </c>
      <c r="F310" s="5" t="s">
        <v>706</v>
      </c>
      <c r="G310" s="5" t="s">
        <v>44</v>
      </c>
      <c r="H310" s="5" t="s">
        <v>45</v>
      </c>
      <c r="I310" s="5" t="s">
        <v>46</v>
      </c>
      <c r="J310" s="6" t="s">
        <v>206</v>
      </c>
      <c r="K310" s="5" t="s">
        <v>707</v>
      </c>
    </row>
    <row r="311" customFormat="false" ht="15" hidden="false" customHeight="false" outlineLevel="0" collapsed="false">
      <c r="A311" s="5" t="n">
        <v>310</v>
      </c>
      <c r="B311" s="5" t="s">
        <v>555</v>
      </c>
      <c r="C311" s="5" t="s">
        <v>668</v>
      </c>
      <c r="D311" s="5" t="s">
        <v>692</v>
      </c>
      <c r="E311" s="5" t="s">
        <v>708</v>
      </c>
      <c r="F311" s="5" t="s">
        <v>709</v>
      </c>
      <c r="G311" s="5" t="s">
        <v>44</v>
      </c>
      <c r="H311" s="5" t="s">
        <v>53</v>
      </c>
      <c r="I311" s="5" t="s">
        <v>46</v>
      </c>
      <c r="J311" s="6" t="s">
        <v>206</v>
      </c>
      <c r="K311" s="5" t="s">
        <v>710</v>
      </c>
    </row>
    <row r="312" customFormat="false" ht="15" hidden="false" customHeight="false" outlineLevel="0" collapsed="false">
      <c r="A312" s="5" t="n">
        <v>311</v>
      </c>
      <c r="B312" s="5" t="s">
        <v>555</v>
      </c>
      <c r="C312" s="5" t="s">
        <v>668</v>
      </c>
      <c r="D312" s="5" t="s">
        <v>692</v>
      </c>
      <c r="E312" s="5" t="s">
        <v>711</v>
      </c>
      <c r="F312" s="5" t="s">
        <v>712</v>
      </c>
      <c r="G312" s="5" t="s">
        <v>52</v>
      </c>
      <c r="H312" s="5" t="s">
        <v>53</v>
      </c>
      <c r="I312" s="5" t="s">
        <v>46</v>
      </c>
      <c r="J312" s="6" t="s">
        <v>206</v>
      </c>
      <c r="K312" s="5" t="s">
        <v>713</v>
      </c>
    </row>
    <row r="313" customFormat="false" ht="15" hidden="false" customHeight="false" outlineLevel="0" collapsed="false">
      <c r="A313" s="5" t="n">
        <v>312</v>
      </c>
      <c r="B313" s="5" t="s">
        <v>555</v>
      </c>
      <c r="C313" s="5" t="s">
        <v>668</v>
      </c>
      <c r="D313" s="5" t="s">
        <v>692</v>
      </c>
      <c r="E313" s="5" t="s">
        <v>714</v>
      </c>
      <c r="F313" s="5" t="s">
        <v>715</v>
      </c>
      <c r="G313" s="5" t="s">
        <v>52</v>
      </c>
      <c r="H313" s="5" t="s">
        <v>45</v>
      </c>
      <c r="I313" s="5" t="s">
        <v>46</v>
      </c>
      <c r="J313" s="8" t="s">
        <v>594</v>
      </c>
      <c r="K313" s="5" t="s">
        <v>716</v>
      </c>
    </row>
    <row r="314" customFormat="false" ht="15" hidden="false" customHeight="false" outlineLevel="0" collapsed="false">
      <c r="A314" s="5" t="n">
        <v>313</v>
      </c>
      <c r="B314" s="5" t="s">
        <v>555</v>
      </c>
      <c r="C314" s="5" t="s">
        <v>668</v>
      </c>
      <c r="D314" s="5" t="s">
        <v>717</v>
      </c>
      <c r="E314" s="5" t="s">
        <v>718</v>
      </c>
      <c r="F314" s="5" t="s">
        <v>719</v>
      </c>
      <c r="G314" s="5" t="s">
        <v>44</v>
      </c>
      <c r="H314" s="5" t="s">
        <v>53</v>
      </c>
      <c r="I314" s="5" t="s">
        <v>559</v>
      </c>
      <c r="J314" s="6" t="s">
        <v>206</v>
      </c>
      <c r="K314" s="5" t="s">
        <v>720</v>
      </c>
    </row>
    <row r="315" customFormat="false" ht="23.85" hidden="false" customHeight="false" outlineLevel="0" collapsed="false">
      <c r="A315" s="5" t="n">
        <v>314</v>
      </c>
      <c r="B315" s="5" t="s">
        <v>555</v>
      </c>
      <c r="C315" s="5" t="s">
        <v>668</v>
      </c>
      <c r="D315" s="5" t="s">
        <v>717</v>
      </c>
      <c r="E315" s="5" t="s">
        <v>721</v>
      </c>
      <c r="F315" s="5" t="s">
        <v>600</v>
      </c>
      <c r="G315" s="5" t="s">
        <v>44</v>
      </c>
      <c r="H315" s="5" t="s">
        <v>53</v>
      </c>
      <c r="I315" s="5" t="s">
        <v>559</v>
      </c>
      <c r="J315" s="9" t="s">
        <v>601</v>
      </c>
      <c r="K315" s="5" t="s">
        <v>722</v>
      </c>
    </row>
    <row r="316" customFormat="false" ht="15" hidden="false" customHeight="false" outlineLevel="0" collapsed="false">
      <c r="A316" s="5" t="n">
        <v>315</v>
      </c>
      <c r="B316" s="5" t="s">
        <v>555</v>
      </c>
      <c r="C316" s="5" t="s">
        <v>668</v>
      </c>
      <c r="D316" s="5" t="s">
        <v>717</v>
      </c>
      <c r="E316" s="5" t="s">
        <v>723</v>
      </c>
      <c r="F316" s="5" t="s">
        <v>724</v>
      </c>
      <c r="G316" s="5" t="s">
        <v>44</v>
      </c>
      <c r="H316" s="5" t="s">
        <v>53</v>
      </c>
      <c r="I316" s="5" t="s">
        <v>559</v>
      </c>
      <c r="J316" s="6" t="s">
        <v>206</v>
      </c>
      <c r="K316" s="5" t="s">
        <v>725</v>
      </c>
    </row>
    <row r="317" customFormat="false" ht="15" hidden="false" customHeight="false" outlineLevel="0" collapsed="false">
      <c r="A317" s="5" t="n">
        <v>316</v>
      </c>
      <c r="B317" s="5" t="s">
        <v>555</v>
      </c>
      <c r="C317" s="5" t="s">
        <v>668</v>
      </c>
      <c r="D317" s="5" t="s">
        <v>717</v>
      </c>
      <c r="E317" s="5" t="s">
        <v>726</v>
      </c>
      <c r="F317" s="5" t="s">
        <v>727</v>
      </c>
      <c r="G317" s="5" t="s">
        <v>44</v>
      </c>
      <c r="H317" s="5" t="s">
        <v>45</v>
      </c>
      <c r="I317" s="5" t="s">
        <v>559</v>
      </c>
      <c r="J317" s="5" t="s">
        <v>47</v>
      </c>
      <c r="K317" s="5"/>
    </row>
    <row r="318" customFormat="false" ht="15" hidden="false" customHeight="false" outlineLevel="0" collapsed="false">
      <c r="A318" s="5" t="n">
        <v>317</v>
      </c>
      <c r="B318" s="5" t="s">
        <v>555</v>
      </c>
      <c r="C318" s="5" t="s">
        <v>668</v>
      </c>
      <c r="D318" s="5" t="s">
        <v>717</v>
      </c>
      <c r="E318" s="5" t="s">
        <v>728</v>
      </c>
      <c r="F318" s="5" t="s">
        <v>729</v>
      </c>
      <c r="G318" s="5" t="s">
        <v>52</v>
      </c>
      <c r="H318" s="5" t="s">
        <v>45</v>
      </c>
      <c r="I318" s="5" t="s">
        <v>559</v>
      </c>
      <c r="J318" s="5" t="s">
        <v>47</v>
      </c>
      <c r="K318" s="5"/>
    </row>
    <row r="319" customFormat="false" ht="23.85" hidden="false" customHeight="false" outlineLevel="0" collapsed="false">
      <c r="A319" s="5" t="n">
        <v>318</v>
      </c>
      <c r="B319" s="5" t="s">
        <v>555</v>
      </c>
      <c r="C319" s="5" t="s">
        <v>668</v>
      </c>
      <c r="D319" s="5" t="s">
        <v>717</v>
      </c>
      <c r="E319" s="5" t="s">
        <v>730</v>
      </c>
      <c r="F319" s="5" t="s">
        <v>604</v>
      </c>
      <c r="G319" s="5" t="s">
        <v>52</v>
      </c>
      <c r="H319" s="5" t="s">
        <v>53</v>
      </c>
      <c r="I319" s="5" t="s">
        <v>559</v>
      </c>
      <c r="J319" s="9" t="s">
        <v>601</v>
      </c>
      <c r="K319" s="5" t="s">
        <v>731</v>
      </c>
    </row>
    <row r="320" customFormat="false" ht="15" hidden="false" customHeight="false" outlineLevel="0" collapsed="false">
      <c r="A320" s="5" t="n">
        <v>319</v>
      </c>
      <c r="B320" s="5" t="s">
        <v>555</v>
      </c>
      <c r="C320" s="5" t="s">
        <v>668</v>
      </c>
      <c r="D320" s="5" t="s">
        <v>717</v>
      </c>
      <c r="E320" s="5" t="s">
        <v>732</v>
      </c>
      <c r="F320" s="5" t="s">
        <v>677</v>
      </c>
      <c r="G320" s="5" t="s">
        <v>44</v>
      </c>
      <c r="H320" s="5" t="s">
        <v>45</v>
      </c>
      <c r="I320" s="5" t="s">
        <v>559</v>
      </c>
      <c r="J320" s="6" t="s">
        <v>206</v>
      </c>
      <c r="K320" s="5" t="s">
        <v>733</v>
      </c>
    </row>
    <row r="321" customFormat="false" ht="15" hidden="false" customHeight="false" outlineLevel="0" collapsed="false">
      <c r="A321" s="5" t="n">
        <v>320</v>
      </c>
      <c r="B321" s="5" t="s">
        <v>555</v>
      </c>
      <c r="C321" s="5" t="s">
        <v>668</v>
      </c>
      <c r="D321" s="5" t="s">
        <v>717</v>
      </c>
      <c r="E321" s="5" t="s">
        <v>734</v>
      </c>
      <c r="F321" s="5" t="s">
        <v>735</v>
      </c>
      <c r="G321" s="5" t="s">
        <v>52</v>
      </c>
      <c r="H321" s="5" t="s">
        <v>53</v>
      </c>
      <c r="I321" s="5" t="s">
        <v>559</v>
      </c>
      <c r="J321" s="7" t="s">
        <v>223</v>
      </c>
      <c r="K321" s="5" t="s">
        <v>736</v>
      </c>
    </row>
    <row r="322" customFormat="false" ht="15" hidden="false" customHeight="false" outlineLevel="0" collapsed="false">
      <c r="A322" s="5" t="n">
        <v>321</v>
      </c>
      <c r="B322" s="5" t="s">
        <v>555</v>
      </c>
      <c r="C322" s="5" t="s">
        <v>668</v>
      </c>
      <c r="D322" s="5" t="s">
        <v>737</v>
      </c>
      <c r="E322" s="5" t="s">
        <v>738</v>
      </c>
      <c r="F322" s="5" t="s">
        <v>739</v>
      </c>
      <c r="G322" s="5" t="s">
        <v>52</v>
      </c>
      <c r="H322" s="5" t="s">
        <v>45</v>
      </c>
      <c r="I322" s="5" t="s">
        <v>559</v>
      </c>
      <c r="J322" s="6" t="s">
        <v>206</v>
      </c>
      <c r="K322" s="5" t="s">
        <v>740</v>
      </c>
    </row>
    <row r="323" customFormat="false" ht="15" hidden="false" customHeight="false" outlineLevel="0" collapsed="false">
      <c r="A323" s="5" t="n">
        <v>322</v>
      </c>
      <c r="B323" s="5" t="s">
        <v>555</v>
      </c>
      <c r="C323" s="5" t="s">
        <v>668</v>
      </c>
      <c r="D323" s="5" t="s">
        <v>737</v>
      </c>
      <c r="E323" s="5" t="s">
        <v>741</v>
      </c>
      <c r="F323" s="5" t="s">
        <v>742</v>
      </c>
      <c r="G323" s="5" t="s">
        <v>52</v>
      </c>
      <c r="H323" s="5" t="s">
        <v>45</v>
      </c>
      <c r="I323" s="5" t="s">
        <v>559</v>
      </c>
      <c r="J323" s="6" t="s">
        <v>206</v>
      </c>
      <c r="K323" s="5" t="s">
        <v>743</v>
      </c>
    </row>
    <row r="324" customFormat="false" ht="15" hidden="false" customHeight="false" outlineLevel="0" collapsed="false">
      <c r="A324" s="5" t="n">
        <v>323</v>
      </c>
      <c r="B324" s="5" t="s">
        <v>555</v>
      </c>
      <c r="C324" s="5" t="s">
        <v>668</v>
      </c>
      <c r="D324" s="5" t="s">
        <v>737</v>
      </c>
      <c r="E324" s="5" t="s">
        <v>744</v>
      </c>
      <c r="F324" s="5" t="s">
        <v>687</v>
      </c>
      <c r="G324" s="5" t="s">
        <v>44</v>
      </c>
      <c r="H324" s="5" t="s">
        <v>45</v>
      </c>
      <c r="I324" s="5" t="s">
        <v>559</v>
      </c>
      <c r="J324" s="6" t="s">
        <v>206</v>
      </c>
      <c r="K324" s="5" t="s">
        <v>745</v>
      </c>
    </row>
    <row r="325" customFormat="false" ht="15" hidden="false" customHeight="false" outlineLevel="0" collapsed="false">
      <c r="A325" s="5" t="n">
        <v>324</v>
      </c>
      <c r="B325" s="5" t="s">
        <v>555</v>
      </c>
      <c r="C325" s="5" t="s">
        <v>668</v>
      </c>
      <c r="D325" s="5" t="s">
        <v>746</v>
      </c>
      <c r="E325" s="5" t="s">
        <v>747</v>
      </c>
      <c r="F325" s="5" t="s">
        <v>748</v>
      </c>
      <c r="G325" s="5" t="s">
        <v>44</v>
      </c>
      <c r="H325" s="5" t="s">
        <v>45</v>
      </c>
      <c r="I325" s="5" t="s">
        <v>559</v>
      </c>
      <c r="J325" s="6" t="s">
        <v>206</v>
      </c>
      <c r="K325" s="5" t="s">
        <v>749</v>
      </c>
    </row>
    <row r="326" customFormat="false" ht="23.85" hidden="false" customHeight="false" outlineLevel="0" collapsed="false">
      <c r="A326" s="5" t="n">
        <v>325</v>
      </c>
      <c r="B326" s="5" t="s">
        <v>555</v>
      </c>
      <c r="C326" s="5" t="s">
        <v>668</v>
      </c>
      <c r="D326" s="5" t="s">
        <v>746</v>
      </c>
      <c r="E326" s="5" t="s">
        <v>750</v>
      </c>
      <c r="F326" s="5" t="s">
        <v>751</v>
      </c>
      <c r="G326" s="5" t="s">
        <v>52</v>
      </c>
      <c r="H326" s="5" t="s">
        <v>45</v>
      </c>
      <c r="I326" s="5" t="s">
        <v>559</v>
      </c>
      <c r="J326" s="5" t="s">
        <v>47</v>
      </c>
      <c r="K326" s="5"/>
    </row>
    <row r="327" customFormat="false" ht="23.85" hidden="false" customHeight="false" outlineLevel="0" collapsed="false">
      <c r="A327" s="5" t="n">
        <v>326</v>
      </c>
      <c r="B327" s="5" t="s">
        <v>555</v>
      </c>
      <c r="C327" s="5" t="s">
        <v>668</v>
      </c>
      <c r="D327" s="5" t="s">
        <v>746</v>
      </c>
      <c r="E327" s="5" t="s">
        <v>752</v>
      </c>
      <c r="F327" s="5" t="s">
        <v>753</v>
      </c>
      <c r="G327" s="5" t="s">
        <v>52</v>
      </c>
      <c r="H327" s="5" t="s">
        <v>45</v>
      </c>
      <c r="I327" s="5" t="s">
        <v>559</v>
      </c>
      <c r="J327" s="8" t="s">
        <v>594</v>
      </c>
      <c r="K327" s="5" t="s">
        <v>754</v>
      </c>
    </row>
    <row r="328" customFormat="false" ht="23.85" hidden="false" customHeight="false" outlineLevel="0" collapsed="false">
      <c r="A328" s="5" t="n">
        <v>327</v>
      </c>
      <c r="B328" s="5" t="s">
        <v>555</v>
      </c>
      <c r="C328" s="5" t="s">
        <v>668</v>
      </c>
      <c r="D328" s="5" t="s">
        <v>746</v>
      </c>
      <c r="E328" s="5" t="s">
        <v>755</v>
      </c>
      <c r="F328" s="5" t="s">
        <v>756</v>
      </c>
      <c r="G328" s="5" t="s">
        <v>44</v>
      </c>
      <c r="H328" s="5" t="s">
        <v>45</v>
      </c>
      <c r="I328" s="5" t="s">
        <v>559</v>
      </c>
      <c r="J328" s="8" t="s">
        <v>594</v>
      </c>
      <c r="K328" s="5" t="s">
        <v>757</v>
      </c>
    </row>
    <row r="329" customFormat="false" ht="15" hidden="false" customHeight="false" outlineLevel="0" collapsed="false">
      <c r="A329" s="5" t="n">
        <v>328</v>
      </c>
      <c r="B329" s="5" t="s">
        <v>555</v>
      </c>
      <c r="C329" s="5" t="s">
        <v>668</v>
      </c>
      <c r="D329" s="5" t="s">
        <v>746</v>
      </c>
      <c r="E329" s="5" t="s">
        <v>758</v>
      </c>
      <c r="F329" s="5" t="s">
        <v>759</v>
      </c>
      <c r="G329" s="5" t="s">
        <v>52</v>
      </c>
      <c r="H329" s="5" t="s">
        <v>45</v>
      </c>
      <c r="I329" s="5" t="s">
        <v>559</v>
      </c>
      <c r="J329" s="5" t="s">
        <v>47</v>
      </c>
      <c r="K329" s="5"/>
    </row>
    <row r="330" customFormat="false" ht="15" hidden="false" customHeight="false" outlineLevel="0" collapsed="false">
      <c r="A330" s="5" t="n">
        <v>329</v>
      </c>
      <c r="B330" s="5" t="s">
        <v>555</v>
      </c>
      <c r="C330" s="5" t="s">
        <v>668</v>
      </c>
      <c r="D330" s="5" t="s">
        <v>746</v>
      </c>
      <c r="E330" s="5" t="s">
        <v>760</v>
      </c>
      <c r="F330" s="5" t="s">
        <v>761</v>
      </c>
      <c r="G330" s="5" t="s">
        <v>52</v>
      </c>
      <c r="H330" s="5" t="s">
        <v>45</v>
      </c>
      <c r="I330" s="5" t="s">
        <v>559</v>
      </c>
      <c r="J330" s="5" t="s">
        <v>47</v>
      </c>
      <c r="K330" s="5"/>
    </row>
    <row r="331" customFormat="false" ht="15" hidden="false" customHeight="false" outlineLevel="0" collapsed="false">
      <c r="A331" s="5" t="n">
        <v>330</v>
      </c>
      <c r="B331" s="5" t="s">
        <v>555</v>
      </c>
      <c r="C331" s="5" t="s">
        <v>668</v>
      </c>
      <c r="D331" s="5" t="s">
        <v>746</v>
      </c>
      <c r="E331" s="5" t="s">
        <v>762</v>
      </c>
      <c r="F331" s="5" t="s">
        <v>763</v>
      </c>
      <c r="G331" s="5" t="s">
        <v>52</v>
      </c>
      <c r="H331" s="5" t="s">
        <v>45</v>
      </c>
      <c r="I331" s="5" t="s">
        <v>559</v>
      </c>
      <c r="J331" s="5" t="s">
        <v>47</v>
      </c>
      <c r="K331" s="5"/>
    </row>
    <row r="332" customFormat="false" ht="15" hidden="false" customHeight="false" outlineLevel="0" collapsed="false">
      <c r="A332" s="5" t="n">
        <v>331</v>
      </c>
      <c r="B332" s="5" t="s">
        <v>555</v>
      </c>
      <c r="C332" s="5" t="s">
        <v>668</v>
      </c>
      <c r="D332" s="5" t="s">
        <v>746</v>
      </c>
      <c r="E332" s="5" t="s">
        <v>764</v>
      </c>
      <c r="F332" s="5" t="s">
        <v>765</v>
      </c>
      <c r="G332" s="5" t="s">
        <v>44</v>
      </c>
      <c r="H332" s="5" t="s">
        <v>45</v>
      </c>
      <c r="I332" s="5" t="s">
        <v>559</v>
      </c>
      <c r="J332" s="6" t="s">
        <v>206</v>
      </c>
      <c r="K332" s="5" t="s">
        <v>766</v>
      </c>
    </row>
    <row r="333" customFormat="false" ht="15" hidden="false" customHeight="false" outlineLevel="0" collapsed="false">
      <c r="A333" s="5" t="n">
        <v>332</v>
      </c>
      <c r="B333" s="5" t="s">
        <v>555</v>
      </c>
      <c r="C333" s="5" t="s">
        <v>668</v>
      </c>
      <c r="D333" s="5" t="s">
        <v>746</v>
      </c>
      <c r="E333" s="5" t="s">
        <v>767</v>
      </c>
      <c r="F333" s="5" t="s">
        <v>768</v>
      </c>
      <c r="G333" s="5" t="s">
        <v>44</v>
      </c>
      <c r="H333" s="5" t="s">
        <v>45</v>
      </c>
      <c r="I333" s="5" t="s">
        <v>559</v>
      </c>
      <c r="J333" s="6" t="s">
        <v>206</v>
      </c>
      <c r="K333" s="5" t="s">
        <v>769</v>
      </c>
    </row>
    <row r="334" customFormat="false" ht="15" hidden="false" customHeight="false" outlineLevel="0" collapsed="false">
      <c r="A334" s="5" t="n">
        <v>333</v>
      </c>
      <c r="B334" s="5" t="s">
        <v>555</v>
      </c>
      <c r="C334" s="5" t="s">
        <v>668</v>
      </c>
      <c r="D334" s="5" t="s">
        <v>746</v>
      </c>
      <c r="E334" s="5" t="s">
        <v>770</v>
      </c>
      <c r="F334" s="5" t="s">
        <v>771</v>
      </c>
      <c r="G334" s="5" t="s">
        <v>44</v>
      </c>
      <c r="H334" s="5" t="s">
        <v>45</v>
      </c>
      <c r="I334" s="5" t="s">
        <v>559</v>
      </c>
      <c r="J334" s="6" t="s">
        <v>206</v>
      </c>
      <c r="K334" s="5" t="s">
        <v>772</v>
      </c>
    </row>
    <row r="335" customFormat="false" ht="15" hidden="false" customHeight="false" outlineLevel="0" collapsed="false">
      <c r="A335" s="5" t="n">
        <v>334</v>
      </c>
      <c r="B335" s="5" t="s">
        <v>555</v>
      </c>
      <c r="C335" s="5" t="s">
        <v>668</v>
      </c>
      <c r="D335" s="5" t="s">
        <v>746</v>
      </c>
      <c r="E335" s="5" t="s">
        <v>773</v>
      </c>
      <c r="F335" s="5" t="s">
        <v>774</v>
      </c>
      <c r="G335" s="5" t="s">
        <v>44</v>
      </c>
      <c r="H335" s="5" t="s">
        <v>53</v>
      </c>
      <c r="I335" s="5" t="s">
        <v>559</v>
      </c>
      <c r="J335" s="6" t="s">
        <v>206</v>
      </c>
      <c r="K335" s="5" t="s">
        <v>775</v>
      </c>
    </row>
    <row r="336" customFormat="false" ht="15" hidden="false" customHeight="false" outlineLevel="0" collapsed="false">
      <c r="A336" s="5" t="n">
        <v>335</v>
      </c>
      <c r="B336" s="5" t="s">
        <v>555</v>
      </c>
      <c r="C336" s="5" t="s">
        <v>668</v>
      </c>
      <c r="D336" s="5" t="s">
        <v>746</v>
      </c>
      <c r="E336" s="5" t="s">
        <v>776</v>
      </c>
      <c r="F336" s="5" t="s">
        <v>777</v>
      </c>
      <c r="G336" s="5" t="s">
        <v>52</v>
      </c>
      <c r="H336" s="5" t="s">
        <v>53</v>
      </c>
      <c r="I336" s="5" t="s">
        <v>559</v>
      </c>
      <c r="J336" s="6" t="s">
        <v>206</v>
      </c>
      <c r="K336" s="5" t="s">
        <v>778</v>
      </c>
    </row>
    <row r="337" customFormat="false" ht="15" hidden="false" customHeight="false" outlineLevel="0" collapsed="false">
      <c r="A337" s="5" t="n">
        <v>336</v>
      </c>
      <c r="B337" s="5" t="s">
        <v>555</v>
      </c>
      <c r="C337" s="5" t="s">
        <v>668</v>
      </c>
      <c r="D337" s="5" t="s">
        <v>746</v>
      </c>
      <c r="E337" s="5" t="s">
        <v>779</v>
      </c>
      <c r="F337" s="5" t="s">
        <v>780</v>
      </c>
      <c r="G337" s="5" t="s">
        <v>52</v>
      </c>
      <c r="H337" s="5" t="s">
        <v>45</v>
      </c>
      <c r="I337" s="5" t="s">
        <v>559</v>
      </c>
      <c r="J337" s="8" t="s">
        <v>594</v>
      </c>
      <c r="K337" s="5" t="s">
        <v>781</v>
      </c>
    </row>
    <row r="338" customFormat="false" ht="23.85" hidden="false" customHeight="false" outlineLevel="0" collapsed="false">
      <c r="A338" s="5" t="n">
        <v>337</v>
      </c>
      <c r="B338" s="5" t="s">
        <v>555</v>
      </c>
      <c r="C338" s="5" t="s">
        <v>782</v>
      </c>
      <c r="D338" s="5" t="s">
        <v>783</v>
      </c>
      <c r="E338" s="5" t="s">
        <v>784</v>
      </c>
      <c r="F338" s="5" t="s">
        <v>604</v>
      </c>
      <c r="G338" s="5" t="s">
        <v>52</v>
      </c>
      <c r="H338" s="5" t="s">
        <v>53</v>
      </c>
      <c r="I338" s="5" t="s">
        <v>559</v>
      </c>
      <c r="J338" s="9" t="s">
        <v>601</v>
      </c>
      <c r="K338" s="5" t="s">
        <v>785</v>
      </c>
    </row>
    <row r="339" customFormat="false" ht="23.85" hidden="false" customHeight="false" outlineLevel="0" collapsed="false">
      <c r="A339" s="5" t="n">
        <v>338</v>
      </c>
      <c r="B339" s="5" t="s">
        <v>555</v>
      </c>
      <c r="C339" s="5" t="s">
        <v>782</v>
      </c>
      <c r="D339" s="5" t="s">
        <v>783</v>
      </c>
      <c r="E339" s="5" t="s">
        <v>786</v>
      </c>
      <c r="F339" s="5" t="s">
        <v>610</v>
      </c>
      <c r="G339" s="5" t="s">
        <v>44</v>
      </c>
      <c r="H339" s="5" t="s">
        <v>53</v>
      </c>
      <c r="I339" s="5" t="s">
        <v>559</v>
      </c>
      <c r="J339" s="9" t="s">
        <v>601</v>
      </c>
      <c r="K339" s="5" t="s">
        <v>787</v>
      </c>
    </row>
    <row r="340" customFormat="false" ht="15" hidden="false" customHeight="false" outlineLevel="0" collapsed="false">
      <c r="A340" s="5" t="n">
        <v>339</v>
      </c>
      <c r="B340" s="5" t="s">
        <v>555</v>
      </c>
      <c r="C340" s="5" t="s">
        <v>782</v>
      </c>
      <c r="D340" s="5" t="s">
        <v>783</v>
      </c>
      <c r="E340" s="5" t="s">
        <v>788</v>
      </c>
      <c r="F340" s="5" t="s">
        <v>789</v>
      </c>
      <c r="G340" s="5" t="s">
        <v>44</v>
      </c>
      <c r="H340" s="5" t="s">
        <v>53</v>
      </c>
      <c r="I340" s="5" t="s">
        <v>559</v>
      </c>
      <c r="J340" s="5" t="s">
        <v>47</v>
      </c>
      <c r="K34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39.55" hidden="false" customHeight="false" outlineLevel="0" collapsed="false">
      <c r="A1" s="4" t="s">
        <v>29</v>
      </c>
      <c r="B1" s="4" t="s">
        <v>30</v>
      </c>
      <c r="C1" s="4" t="s">
        <v>790</v>
      </c>
      <c r="D1" s="4" t="s">
        <v>44</v>
      </c>
      <c r="E1" s="4" t="s">
        <v>52</v>
      </c>
      <c r="F1" s="4" t="s">
        <v>45</v>
      </c>
      <c r="G1" s="4" t="s">
        <v>53</v>
      </c>
      <c r="H1" s="4" t="s">
        <v>791</v>
      </c>
      <c r="I1" s="4" t="s">
        <v>792</v>
      </c>
    </row>
    <row r="2" customFormat="false" ht="15" hidden="false" customHeight="false" outlineLevel="0" collapsed="false">
      <c r="A2" s="10" t="s">
        <v>39</v>
      </c>
      <c r="B2" s="10" t="s">
        <v>40</v>
      </c>
      <c r="C2" s="10" t="n">
        <f aca="false">COUNTIFS('All Controls'!$C$2:$C$340,B2)</f>
        <v>12</v>
      </c>
      <c r="D2" s="10" t="n">
        <f aca="false">COUNTIFS('All Controls'!$C$2:$C$340,B2,'All Controls'!$G$2:$G$340,"Level 1")</f>
        <v>9</v>
      </c>
      <c r="E2" s="10" t="n">
        <f aca="false">COUNTIFS('All Controls'!$C$2:$C$340,B2,'All Controls'!$G$2:$G$340,"Level 2")</f>
        <v>3</v>
      </c>
      <c r="F2" s="10" t="n">
        <f aca="false">COUNTIFS('All Controls'!$C$2:$C$340,B2,'All Controls'!$H$2:$H$340,"Automated")</f>
        <v>6</v>
      </c>
      <c r="G2" s="10" t="n">
        <f aca="false">COUNTIFS('All Controls'!$C$2:$C$340,B2,'All Controls'!$H$2:$H$340,"Manual")</f>
        <v>6</v>
      </c>
      <c r="H2" s="10" t="n">
        <f aca="false">COUNTIFS('All Controls'!$C$2:$C$340,B2,'All Controls'!$J$2:$J$340,"Duplicate")+COUNTIFS('All Controls'!$C$2:$C$340,B2,'All Controls'!$J$2:$J$340,"Near-duplicate")</f>
        <v>0</v>
      </c>
      <c r="I2" s="10" t="s">
        <v>793</v>
      </c>
    </row>
    <row r="3" customFormat="false" ht="15" hidden="false" customHeight="false" outlineLevel="0" collapsed="false">
      <c r="A3" s="10" t="s">
        <v>72</v>
      </c>
      <c r="B3" s="10" t="s">
        <v>73</v>
      </c>
      <c r="C3" s="10" t="n">
        <f aca="false">COUNTIFS('All Controls'!$C$2:$C$340,B3)</f>
        <v>44</v>
      </c>
      <c r="D3" s="10" t="n">
        <f aca="false">COUNTIFS('All Controls'!$C$2:$C$340,B3,'All Controls'!$G$2:$G$340,"Level 1")</f>
        <v>31</v>
      </c>
      <c r="E3" s="10" t="n">
        <f aca="false">COUNTIFS('All Controls'!$C$2:$C$340,B3,'All Controls'!$G$2:$G$340,"Level 2")</f>
        <v>13</v>
      </c>
      <c r="F3" s="10" t="n">
        <f aca="false">COUNTIFS('All Controls'!$C$2:$C$340,B3,'All Controls'!$H$2:$H$340,"Automated")</f>
        <v>36</v>
      </c>
      <c r="G3" s="10" t="n">
        <f aca="false">COUNTIFS('All Controls'!$C$2:$C$340,B3,'All Controls'!$H$2:$H$340,"Manual")</f>
        <v>8</v>
      </c>
      <c r="H3" s="10" t="n">
        <f aca="false">COUNTIFS('All Controls'!$C$2:$C$340,B3,'All Controls'!$J$2:$J$340,"Duplicate")+COUNTIFS('All Controls'!$C$2:$C$340,B3,'All Controls'!$J$2:$J$340,"Near-duplicate")</f>
        <v>0</v>
      </c>
      <c r="I3" s="10" t="s">
        <v>794</v>
      </c>
    </row>
    <row r="4" customFormat="false" ht="15" hidden="false" customHeight="false" outlineLevel="0" collapsed="false">
      <c r="A4" s="10" t="s">
        <v>72</v>
      </c>
      <c r="B4" s="10" t="s">
        <v>139</v>
      </c>
      <c r="C4" s="10" t="n">
        <f aca="false">COUNTIFS('All Controls'!$C$2:$C$340,B4)</f>
        <v>7</v>
      </c>
      <c r="D4" s="10" t="n">
        <f aca="false">COUNTIFS('All Controls'!$C$2:$C$340,B4,'All Controls'!$G$2:$G$340,"Level 1")</f>
        <v>4</v>
      </c>
      <c r="E4" s="10" t="n">
        <f aca="false">COUNTIFS('All Controls'!$C$2:$C$340,B4,'All Controls'!$G$2:$G$340,"Level 2")</f>
        <v>3</v>
      </c>
      <c r="F4" s="10" t="n">
        <f aca="false">COUNTIFS('All Controls'!$C$2:$C$340,B4,'All Controls'!$H$2:$H$340,"Automated")</f>
        <v>5</v>
      </c>
      <c r="G4" s="10" t="n">
        <f aca="false">COUNTIFS('All Controls'!$C$2:$C$340,B4,'All Controls'!$H$2:$H$340,"Manual")</f>
        <v>2</v>
      </c>
      <c r="H4" s="10" t="n">
        <f aca="false">COUNTIFS('All Controls'!$C$2:$C$340,B4,'All Controls'!$J$2:$J$340,"Duplicate")+COUNTIFS('All Controls'!$C$2:$C$340,B4,'All Controls'!$J$2:$J$340,"Near-duplicate")</f>
        <v>0</v>
      </c>
      <c r="I4" s="10" t="s">
        <v>794</v>
      </c>
    </row>
    <row r="5" customFormat="false" ht="15" hidden="false" customHeight="false" outlineLevel="0" collapsed="false">
      <c r="A5" s="10" t="s">
        <v>72</v>
      </c>
      <c r="B5" s="10" t="s">
        <v>155</v>
      </c>
      <c r="C5" s="10" t="n">
        <f aca="false">COUNTIFS('All Controls'!$C$2:$C$340,B5)</f>
        <v>3</v>
      </c>
      <c r="D5" s="10" t="n">
        <f aca="false">COUNTIFS('All Controls'!$C$2:$C$340,B5,'All Controls'!$G$2:$G$340,"Level 1")</f>
        <v>3</v>
      </c>
      <c r="E5" s="10" t="n">
        <f aca="false">COUNTIFS('All Controls'!$C$2:$C$340,B5,'All Controls'!$G$2:$G$340,"Level 2")</f>
        <v>0</v>
      </c>
      <c r="F5" s="10" t="n">
        <f aca="false">COUNTIFS('All Controls'!$C$2:$C$340,B5,'All Controls'!$H$2:$H$340,"Automated")</f>
        <v>0</v>
      </c>
      <c r="G5" s="10" t="n">
        <f aca="false">COUNTIFS('All Controls'!$C$2:$C$340,B5,'All Controls'!$H$2:$H$340,"Manual")</f>
        <v>3</v>
      </c>
      <c r="H5" s="10" t="n">
        <f aca="false">COUNTIFS('All Controls'!$C$2:$C$340,B5,'All Controls'!$J$2:$J$340,"Duplicate")+COUNTIFS('All Controls'!$C$2:$C$340,B5,'All Controls'!$J$2:$J$340,"Near-duplicate")</f>
        <v>0</v>
      </c>
      <c r="I5" s="10" t="s">
        <v>794</v>
      </c>
    </row>
    <row r="6" customFormat="false" ht="15" hidden="false" customHeight="false" outlineLevel="0" collapsed="false">
      <c r="A6" s="10" t="s">
        <v>72</v>
      </c>
      <c r="B6" s="10" t="s">
        <v>162</v>
      </c>
      <c r="C6" s="10" t="n">
        <f aca="false">COUNTIFS('All Controls'!$C$2:$C$340,B6)</f>
        <v>1</v>
      </c>
      <c r="D6" s="10" t="n">
        <f aca="false">COUNTIFS('All Controls'!$C$2:$C$340,B6,'All Controls'!$G$2:$G$340,"Level 1")</f>
        <v>1</v>
      </c>
      <c r="E6" s="10" t="n">
        <f aca="false">COUNTIFS('All Controls'!$C$2:$C$340,B6,'All Controls'!$G$2:$G$340,"Level 2")</f>
        <v>0</v>
      </c>
      <c r="F6" s="10" t="n">
        <f aca="false">COUNTIFS('All Controls'!$C$2:$C$340,B6,'All Controls'!$H$2:$H$340,"Automated")</f>
        <v>0</v>
      </c>
      <c r="G6" s="10" t="n">
        <f aca="false">COUNTIFS('All Controls'!$C$2:$C$340,B6,'All Controls'!$H$2:$H$340,"Manual")</f>
        <v>1</v>
      </c>
      <c r="H6" s="10" t="n">
        <f aca="false">COUNTIFS('All Controls'!$C$2:$C$340,B6,'All Controls'!$J$2:$J$340,"Duplicate")+COUNTIFS('All Controls'!$C$2:$C$340,B6,'All Controls'!$J$2:$J$340,"Near-duplicate")</f>
        <v>0</v>
      </c>
      <c r="I6" s="10" t="s">
        <v>794</v>
      </c>
    </row>
    <row r="7" customFormat="false" ht="15" hidden="false" customHeight="false" outlineLevel="0" collapsed="false">
      <c r="A7" s="10" t="s">
        <v>72</v>
      </c>
      <c r="B7" s="10" t="s">
        <v>165</v>
      </c>
      <c r="C7" s="10" t="n">
        <f aca="false">COUNTIFS('All Controls'!$C$2:$C$340,B7)</f>
        <v>33</v>
      </c>
      <c r="D7" s="10" t="n">
        <f aca="false">COUNTIFS('All Controls'!$C$2:$C$340,B7,'All Controls'!$G$2:$G$340,"Level 1")</f>
        <v>26</v>
      </c>
      <c r="E7" s="10" t="n">
        <f aca="false">COUNTIFS('All Controls'!$C$2:$C$340,B7,'All Controls'!$G$2:$G$340,"Level 2")</f>
        <v>7</v>
      </c>
      <c r="F7" s="10" t="n">
        <f aca="false">COUNTIFS('All Controls'!$C$2:$C$340,B7,'All Controls'!$H$2:$H$340,"Automated")</f>
        <v>29</v>
      </c>
      <c r="G7" s="10" t="n">
        <f aca="false">COUNTIFS('All Controls'!$C$2:$C$340,B7,'All Controls'!$H$2:$H$340,"Manual")</f>
        <v>4</v>
      </c>
      <c r="H7" s="10" t="n">
        <f aca="false">COUNTIFS('All Controls'!$C$2:$C$340,B7,'All Controls'!$J$2:$J$340,"Duplicate")+COUNTIFS('All Controls'!$C$2:$C$340,B7,'All Controls'!$J$2:$J$340,"Near-duplicate")</f>
        <v>0</v>
      </c>
      <c r="I7" s="10" t="s">
        <v>794</v>
      </c>
    </row>
    <row r="8" customFormat="false" ht="15" hidden="false" customHeight="false" outlineLevel="0" collapsed="false">
      <c r="A8" s="10" t="s">
        <v>72</v>
      </c>
      <c r="B8" s="10" t="s">
        <v>202</v>
      </c>
      <c r="C8" s="10" t="n">
        <f aca="false">COUNTIFS('All Controls'!$C$2:$C$340,B8)</f>
        <v>12</v>
      </c>
      <c r="D8" s="10" t="n">
        <f aca="false">COUNTIFS('All Controls'!$C$2:$C$340,B8,'All Controls'!$G$2:$G$340,"Level 1")</f>
        <v>6</v>
      </c>
      <c r="E8" s="10" t="n">
        <f aca="false">COUNTIFS('All Controls'!$C$2:$C$340,B8,'All Controls'!$G$2:$G$340,"Level 2")</f>
        <v>6</v>
      </c>
      <c r="F8" s="10" t="n">
        <f aca="false">COUNTIFS('All Controls'!$C$2:$C$340,B8,'All Controls'!$H$2:$H$340,"Automated")</f>
        <v>7</v>
      </c>
      <c r="G8" s="10" t="n">
        <f aca="false">COUNTIFS('All Controls'!$C$2:$C$340,B8,'All Controls'!$H$2:$H$340,"Manual")</f>
        <v>5</v>
      </c>
      <c r="H8" s="10" t="n">
        <f aca="false">COUNTIFS('All Controls'!$C$2:$C$340,B8,'All Controls'!$J$2:$J$340,"Duplicate")+COUNTIFS('All Controls'!$C$2:$C$340,B8,'All Controls'!$J$2:$J$340,"Near-duplicate")</f>
        <v>2</v>
      </c>
      <c r="I8" s="10" t="s">
        <v>795</v>
      </c>
    </row>
    <row r="9" customFormat="false" ht="15" hidden="false" customHeight="false" outlineLevel="0" collapsed="false">
      <c r="A9" s="10" t="s">
        <v>234</v>
      </c>
      <c r="B9" s="10" t="s">
        <v>235</v>
      </c>
      <c r="C9" s="10" t="n">
        <f aca="false">COUNTIFS('All Controls'!$C$2:$C$340,B9)</f>
        <v>10</v>
      </c>
      <c r="D9" s="10" t="n">
        <f aca="false">COUNTIFS('All Controls'!$C$2:$C$340,B9,'All Controls'!$G$2:$G$340,"Level 1")</f>
        <v>6</v>
      </c>
      <c r="E9" s="10" t="n">
        <f aca="false">COUNTIFS('All Controls'!$C$2:$C$340,B9,'All Controls'!$G$2:$G$340,"Level 2")</f>
        <v>4</v>
      </c>
      <c r="F9" s="10" t="n">
        <f aca="false">COUNTIFS('All Controls'!$C$2:$C$340,B9,'All Controls'!$H$2:$H$340,"Automated")</f>
        <v>3</v>
      </c>
      <c r="G9" s="10" t="n">
        <f aca="false">COUNTIFS('All Controls'!$C$2:$C$340,B9,'All Controls'!$H$2:$H$340,"Manual")</f>
        <v>7</v>
      </c>
      <c r="H9" s="10" t="n">
        <f aca="false">COUNTIFS('All Controls'!$C$2:$C$340,B9,'All Controls'!$J$2:$J$340,"Duplicate")+COUNTIFS('All Controls'!$C$2:$C$340,B9,'All Controls'!$J$2:$J$340,"Near-duplicate")</f>
        <v>0</v>
      </c>
      <c r="I9" s="10" t="s">
        <v>796</v>
      </c>
    </row>
    <row r="10" customFormat="false" ht="15" hidden="false" customHeight="false" outlineLevel="0" collapsed="false">
      <c r="A10" s="10" t="s">
        <v>234</v>
      </c>
      <c r="B10" s="10" t="s">
        <v>252</v>
      </c>
      <c r="C10" s="10" t="n">
        <f aca="false">COUNTIFS('All Controls'!$C$2:$C$340,B10)</f>
        <v>7</v>
      </c>
      <c r="D10" s="10" t="n">
        <f aca="false">COUNTIFS('All Controls'!$C$2:$C$340,B10,'All Controls'!$G$2:$G$340,"Level 1")</f>
        <v>3</v>
      </c>
      <c r="E10" s="10" t="n">
        <f aca="false">COUNTIFS('All Controls'!$C$2:$C$340,B10,'All Controls'!$G$2:$G$340,"Level 2")</f>
        <v>4</v>
      </c>
      <c r="F10" s="10" t="n">
        <f aca="false">COUNTIFS('All Controls'!$C$2:$C$340,B10,'All Controls'!$H$2:$H$340,"Automated")</f>
        <v>4</v>
      </c>
      <c r="G10" s="10" t="n">
        <f aca="false">COUNTIFS('All Controls'!$C$2:$C$340,B10,'All Controls'!$H$2:$H$340,"Manual")</f>
        <v>3</v>
      </c>
      <c r="H10" s="10" t="n">
        <f aca="false">COUNTIFS('All Controls'!$C$2:$C$340,B10,'All Controls'!$J$2:$J$340,"Duplicate")+COUNTIFS('All Controls'!$C$2:$C$340,B10,'All Controls'!$J$2:$J$340,"Near-duplicate")</f>
        <v>0</v>
      </c>
      <c r="I10" s="10" t="s">
        <v>796</v>
      </c>
    </row>
    <row r="11" customFormat="false" ht="15" hidden="false" customHeight="false" outlineLevel="0" collapsed="false">
      <c r="A11" s="10" t="s">
        <v>234</v>
      </c>
      <c r="B11" s="10" t="s">
        <v>264</v>
      </c>
      <c r="C11" s="10" t="n">
        <f aca="false">COUNTIFS('All Controls'!$C$2:$C$340,B11)</f>
        <v>4</v>
      </c>
      <c r="D11" s="10" t="n">
        <f aca="false">COUNTIFS('All Controls'!$C$2:$C$340,B11,'All Controls'!$G$2:$G$340,"Level 1")</f>
        <v>1</v>
      </c>
      <c r="E11" s="10" t="n">
        <f aca="false">COUNTIFS('All Controls'!$C$2:$C$340,B11,'All Controls'!$G$2:$G$340,"Level 2")</f>
        <v>3</v>
      </c>
      <c r="F11" s="10" t="n">
        <f aca="false">COUNTIFS('All Controls'!$C$2:$C$340,B11,'All Controls'!$H$2:$H$340,"Automated")</f>
        <v>1</v>
      </c>
      <c r="G11" s="10" t="n">
        <f aca="false">COUNTIFS('All Controls'!$C$2:$C$340,B11,'All Controls'!$H$2:$H$340,"Manual")</f>
        <v>3</v>
      </c>
      <c r="H11" s="10" t="n">
        <f aca="false">COUNTIFS('All Controls'!$C$2:$C$340,B11,'All Controls'!$J$2:$J$340,"Duplicate")+COUNTIFS('All Controls'!$C$2:$C$340,B11,'All Controls'!$J$2:$J$340,"Near-duplicate")</f>
        <v>0</v>
      </c>
      <c r="I11" s="10" t="s">
        <v>796</v>
      </c>
    </row>
    <row r="12" customFormat="false" ht="15" hidden="false" customHeight="false" outlineLevel="0" collapsed="false">
      <c r="A12" s="10" t="s">
        <v>234</v>
      </c>
      <c r="B12" s="10" t="s">
        <v>272</v>
      </c>
      <c r="C12" s="10" t="n">
        <f aca="false">COUNTIFS('All Controls'!$C$2:$C$340,B12)</f>
        <v>9</v>
      </c>
      <c r="D12" s="10" t="n">
        <f aca="false">COUNTIFS('All Controls'!$C$2:$C$340,B12,'All Controls'!$G$2:$G$340,"Level 1")</f>
        <v>3</v>
      </c>
      <c r="E12" s="10" t="n">
        <f aca="false">COUNTIFS('All Controls'!$C$2:$C$340,B12,'All Controls'!$G$2:$G$340,"Level 2")</f>
        <v>6</v>
      </c>
      <c r="F12" s="10" t="n">
        <f aca="false">COUNTIFS('All Controls'!$C$2:$C$340,B12,'All Controls'!$H$2:$H$340,"Automated")</f>
        <v>7</v>
      </c>
      <c r="G12" s="10" t="n">
        <f aca="false">COUNTIFS('All Controls'!$C$2:$C$340,B12,'All Controls'!$H$2:$H$340,"Manual")</f>
        <v>2</v>
      </c>
      <c r="H12" s="10" t="n">
        <f aca="false">COUNTIFS('All Controls'!$C$2:$C$340,B12,'All Controls'!$J$2:$J$340,"Duplicate")+COUNTIFS('All Controls'!$C$2:$C$340,B12,'All Controls'!$J$2:$J$340,"Near-duplicate")</f>
        <v>0</v>
      </c>
      <c r="I12" s="10" t="s">
        <v>796</v>
      </c>
    </row>
    <row r="13" customFormat="false" ht="15" hidden="false" customHeight="false" outlineLevel="0" collapsed="false">
      <c r="A13" s="10" t="s">
        <v>234</v>
      </c>
      <c r="B13" s="10" t="s">
        <v>291</v>
      </c>
      <c r="C13" s="10" t="n">
        <f aca="false">COUNTIFS('All Controls'!$C$2:$C$340,B13)</f>
        <v>11</v>
      </c>
      <c r="D13" s="10" t="n">
        <f aca="false">COUNTIFS('All Controls'!$C$2:$C$340,B13,'All Controls'!$G$2:$G$340,"Level 1")</f>
        <v>8</v>
      </c>
      <c r="E13" s="10" t="n">
        <f aca="false">COUNTIFS('All Controls'!$C$2:$C$340,B13,'All Controls'!$G$2:$G$340,"Level 2")</f>
        <v>3</v>
      </c>
      <c r="F13" s="10" t="n">
        <f aca="false">COUNTIFS('All Controls'!$C$2:$C$340,B13,'All Controls'!$H$2:$H$340,"Automated")</f>
        <v>9</v>
      </c>
      <c r="G13" s="10" t="n">
        <f aca="false">COUNTIFS('All Controls'!$C$2:$C$340,B13,'All Controls'!$H$2:$H$340,"Manual")</f>
        <v>2</v>
      </c>
      <c r="H13" s="10" t="n">
        <f aca="false">COUNTIFS('All Controls'!$C$2:$C$340,B13,'All Controls'!$J$2:$J$340,"Duplicate")+COUNTIFS('All Controls'!$C$2:$C$340,B13,'All Controls'!$J$2:$J$340,"Near-duplicate")</f>
        <v>0</v>
      </c>
      <c r="I13" s="10" t="s">
        <v>796</v>
      </c>
    </row>
    <row r="14" customFormat="false" ht="15" hidden="false" customHeight="false" outlineLevel="0" collapsed="false">
      <c r="A14" s="10" t="s">
        <v>234</v>
      </c>
      <c r="B14" s="10" t="s">
        <v>314</v>
      </c>
      <c r="C14" s="10" t="n">
        <f aca="false">COUNTIFS('All Controls'!$C$2:$C$340,B14)</f>
        <v>8</v>
      </c>
      <c r="D14" s="10" t="n">
        <f aca="false">COUNTIFS('All Controls'!$C$2:$C$340,B14,'All Controls'!$G$2:$G$340,"Level 1")</f>
        <v>6</v>
      </c>
      <c r="E14" s="10" t="n">
        <f aca="false">COUNTIFS('All Controls'!$C$2:$C$340,B14,'All Controls'!$G$2:$G$340,"Level 2")</f>
        <v>2</v>
      </c>
      <c r="F14" s="10" t="n">
        <f aca="false">COUNTIFS('All Controls'!$C$2:$C$340,B14,'All Controls'!$H$2:$H$340,"Automated")</f>
        <v>8</v>
      </c>
      <c r="G14" s="10" t="n">
        <f aca="false">COUNTIFS('All Controls'!$C$2:$C$340,B14,'All Controls'!$H$2:$H$340,"Manual")</f>
        <v>0</v>
      </c>
      <c r="H14" s="10" t="n">
        <f aca="false">COUNTIFS('All Controls'!$C$2:$C$340,B14,'All Controls'!$J$2:$J$340,"Duplicate")+COUNTIFS('All Controls'!$C$2:$C$340,B14,'All Controls'!$J$2:$J$340,"Near-duplicate")</f>
        <v>0</v>
      </c>
      <c r="I14" s="10" t="s">
        <v>796</v>
      </c>
    </row>
    <row r="15" customFormat="false" ht="15" hidden="false" customHeight="false" outlineLevel="0" collapsed="false">
      <c r="A15" s="10" t="s">
        <v>331</v>
      </c>
      <c r="B15" s="10" t="s">
        <v>332</v>
      </c>
      <c r="C15" s="10" t="n">
        <f aca="false">COUNTIFS('All Controls'!$C$2:$C$340,B15)</f>
        <v>15</v>
      </c>
      <c r="D15" s="10" t="n">
        <f aca="false">COUNTIFS('All Controls'!$C$2:$C$340,B15,'All Controls'!$G$2:$G$340,"Level 1")</f>
        <v>13</v>
      </c>
      <c r="E15" s="10" t="n">
        <f aca="false">COUNTIFS('All Controls'!$C$2:$C$340,B15,'All Controls'!$G$2:$G$340,"Level 2")</f>
        <v>2</v>
      </c>
      <c r="F15" s="10" t="n">
        <f aca="false">COUNTIFS('All Controls'!$C$2:$C$340,B15,'All Controls'!$H$2:$H$340,"Automated")</f>
        <v>5</v>
      </c>
      <c r="G15" s="10" t="n">
        <f aca="false">COUNTIFS('All Controls'!$C$2:$C$340,B15,'All Controls'!$H$2:$H$340,"Manual")</f>
        <v>10</v>
      </c>
      <c r="H15" s="10" t="n">
        <f aca="false">COUNTIFS('All Controls'!$C$2:$C$340,B15,'All Controls'!$J$2:$J$340,"Duplicate")+COUNTIFS('All Controls'!$C$2:$C$340,B15,'All Controls'!$J$2:$J$340,"Near-duplicate")</f>
        <v>0</v>
      </c>
      <c r="I15" s="10" t="s">
        <v>793</v>
      </c>
    </row>
    <row r="16" customFormat="false" ht="15" hidden="false" customHeight="false" outlineLevel="0" collapsed="false">
      <c r="A16" s="10" t="s">
        <v>362</v>
      </c>
      <c r="B16" s="10" t="s">
        <v>363</v>
      </c>
      <c r="C16" s="10" t="n">
        <f aca="false">COUNTIFS('All Controls'!$C$2:$C$340,B16)</f>
        <v>23</v>
      </c>
      <c r="D16" s="10" t="n">
        <f aca="false">COUNTIFS('All Controls'!$C$2:$C$340,B16,'All Controls'!$G$2:$G$340,"Level 1")</f>
        <v>15</v>
      </c>
      <c r="E16" s="10" t="n">
        <f aca="false">COUNTIFS('All Controls'!$C$2:$C$340,B16,'All Controls'!$G$2:$G$340,"Level 2")</f>
        <v>8</v>
      </c>
      <c r="F16" s="10" t="n">
        <f aca="false">COUNTIFS('All Controls'!$C$2:$C$340,B16,'All Controls'!$H$2:$H$340,"Automated")</f>
        <v>15</v>
      </c>
      <c r="G16" s="10" t="n">
        <f aca="false">COUNTIFS('All Controls'!$C$2:$C$340,B16,'All Controls'!$H$2:$H$340,"Manual")</f>
        <v>8</v>
      </c>
      <c r="H16" s="10" t="n">
        <f aca="false">COUNTIFS('All Controls'!$C$2:$C$340,B16,'All Controls'!$J$2:$J$340,"Duplicate")+COUNTIFS('All Controls'!$C$2:$C$340,B16,'All Controls'!$J$2:$J$340,"Near-duplicate")</f>
        <v>0</v>
      </c>
      <c r="I16" s="10" t="s">
        <v>793</v>
      </c>
    </row>
    <row r="17" customFormat="false" ht="15" hidden="false" customHeight="false" outlineLevel="0" collapsed="false">
      <c r="A17" s="10" t="s">
        <v>362</v>
      </c>
      <c r="B17" s="10" t="s">
        <v>415</v>
      </c>
      <c r="C17" s="10" t="n">
        <f aca="false">COUNTIFS('All Controls'!$C$2:$C$340,B17)</f>
        <v>1</v>
      </c>
      <c r="D17" s="10" t="n">
        <f aca="false">COUNTIFS('All Controls'!$C$2:$C$340,B17,'All Controls'!$G$2:$G$340,"Level 1")</f>
        <v>0</v>
      </c>
      <c r="E17" s="10" t="n">
        <f aca="false">COUNTIFS('All Controls'!$C$2:$C$340,B17,'All Controls'!$G$2:$G$340,"Level 2")</f>
        <v>1</v>
      </c>
      <c r="F17" s="10" t="n">
        <f aca="false">COUNTIFS('All Controls'!$C$2:$C$340,B17,'All Controls'!$H$2:$H$340,"Automated")</f>
        <v>0</v>
      </c>
      <c r="G17" s="10" t="n">
        <f aca="false">COUNTIFS('All Controls'!$C$2:$C$340,B17,'All Controls'!$H$2:$H$340,"Manual")</f>
        <v>1</v>
      </c>
      <c r="H17" s="10" t="n">
        <f aca="false">COUNTIFS('All Controls'!$C$2:$C$340,B17,'All Controls'!$J$2:$J$340,"Duplicate")+COUNTIFS('All Controls'!$C$2:$C$340,B17,'All Controls'!$J$2:$J$340,"Near-duplicate")</f>
        <v>0</v>
      </c>
      <c r="I17" s="10" t="s">
        <v>793</v>
      </c>
    </row>
    <row r="18" customFormat="false" ht="15" hidden="false" customHeight="false" outlineLevel="0" collapsed="false">
      <c r="A18" s="10" t="s">
        <v>418</v>
      </c>
      <c r="B18" s="10" t="s">
        <v>419</v>
      </c>
      <c r="C18" s="10" t="n">
        <f aca="false">COUNTIFS('All Controls'!$C$2:$C$340,B18)</f>
        <v>5</v>
      </c>
      <c r="D18" s="10" t="n">
        <f aca="false">COUNTIFS('All Controls'!$C$2:$C$340,B18,'All Controls'!$G$2:$G$340,"Level 1")</f>
        <v>2</v>
      </c>
      <c r="E18" s="10" t="n">
        <f aca="false">COUNTIFS('All Controls'!$C$2:$C$340,B18,'All Controls'!$G$2:$G$340,"Level 2")</f>
        <v>3</v>
      </c>
      <c r="F18" s="10" t="n">
        <f aca="false">COUNTIFS('All Controls'!$C$2:$C$340,B18,'All Controls'!$H$2:$H$340,"Automated")</f>
        <v>5</v>
      </c>
      <c r="G18" s="10" t="n">
        <f aca="false">COUNTIFS('All Controls'!$C$2:$C$340,B18,'All Controls'!$H$2:$H$340,"Manual")</f>
        <v>0</v>
      </c>
      <c r="H18" s="10" t="n">
        <f aca="false">COUNTIFS('All Controls'!$C$2:$C$340,B18,'All Controls'!$J$2:$J$340,"Duplicate")+COUNTIFS('All Controls'!$C$2:$C$340,B18,'All Controls'!$J$2:$J$340,"Near-duplicate")</f>
        <v>0</v>
      </c>
      <c r="I18" s="10" t="s">
        <v>793</v>
      </c>
    </row>
    <row r="19" customFormat="false" ht="15" hidden="false" customHeight="false" outlineLevel="0" collapsed="false">
      <c r="A19" s="10" t="s">
        <v>418</v>
      </c>
      <c r="B19" s="10" t="s">
        <v>431</v>
      </c>
      <c r="C19" s="10" t="n">
        <f aca="false">COUNTIFS('All Controls'!$C$2:$C$340,B19)</f>
        <v>1</v>
      </c>
      <c r="D19" s="10" t="n">
        <f aca="false">COUNTIFS('All Controls'!$C$2:$C$340,B19,'All Controls'!$G$2:$G$340,"Level 1")</f>
        <v>0</v>
      </c>
      <c r="E19" s="10" t="n">
        <f aca="false">COUNTIFS('All Controls'!$C$2:$C$340,B19,'All Controls'!$G$2:$G$340,"Level 2")</f>
        <v>1</v>
      </c>
      <c r="F19" s="10" t="n">
        <f aca="false">COUNTIFS('All Controls'!$C$2:$C$340,B19,'All Controls'!$H$2:$H$340,"Automated")</f>
        <v>1</v>
      </c>
      <c r="G19" s="10" t="n">
        <f aca="false">COUNTIFS('All Controls'!$C$2:$C$340,B19,'All Controls'!$H$2:$H$340,"Manual")</f>
        <v>0</v>
      </c>
      <c r="H19" s="10" t="n">
        <f aca="false">COUNTIFS('All Controls'!$C$2:$C$340,B19,'All Controls'!$J$2:$J$340,"Duplicate")+COUNTIFS('All Controls'!$C$2:$C$340,B19,'All Controls'!$J$2:$J$340,"Near-duplicate")</f>
        <v>0</v>
      </c>
      <c r="I19" s="10" t="s">
        <v>793</v>
      </c>
    </row>
    <row r="20" customFormat="false" ht="15" hidden="false" customHeight="false" outlineLevel="0" collapsed="false">
      <c r="A20" s="10" t="s">
        <v>418</v>
      </c>
      <c r="B20" s="10" t="s">
        <v>435</v>
      </c>
      <c r="C20" s="10" t="n">
        <f aca="false">COUNTIFS('All Controls'!$C$2:$C$340,B20)</f>
        <v>1</v>
      </c>
      <c r="D20" s="10" t="n">
        <f aca="false">COUNTIFS('All Controls'!$C$2:$C$340,B20,'All Controls'!$G$2:$G$340,"Level 1")</f>
        <v>0</v>
      </c>
      <c r="E20" s="10" t="n">
        <f aca="false">COUNTIFS('All Controls'!$C$2:$C$340,B20,'All Controls'!$G$2:$G$340,"Level 2")</f>
        <v>1</v>
      </c>
      <c r="F20" s="10" t="n">
        <f aca="false">COUNTIFS('All Controls'!$C$2:$C$340,B20,'All Controls'!$H$2:$H$340,"Automated")</f>
        <v>0</v>
      </c>
      <c r="G20" s="10" t="n">
        <f aca="false">COUNTIFS('All Controls'!$C$2:$C$340,B20,'All Controls'!$H$2:$H$340,"Manual")</f>
        <v>1</v>
      </c>
      <c r="H20" s="10" t="n">
        <f aca="false">COUNTIFS('All Controls'!$C$2:$C$340,B20,'All Controls'!$J$2:$J$340,"Duplicate")+COUNTIFS('All Controls'!$C$2:$C$340,B20,'All Controls'!$J$2:$J$340,"Near-duplicate")</f>
        <v>0</v>
      </c>
      <c r="I20" s="10" t="s">
        <v>793</v>
      </c>
    </row>
    <row r="21" customFormat="false" ht="15" hidden="false" customHeight="false" outlineLevel="0" collapsed="false">
      <c r="A21" s="10" t="s">
        <v>418</v>
      </c>
      <c r="B21" s="10" t="s">
        <v>438</v>
      </c>
      <c r="C21" s="10" t="n">
        <f aca="false">COUNTIFS('All Controls'!$C$2:$C$340,B21)</f>
        <v>3</v>
      </c>
      <c r="D21" s="10" t="n">
        <f aca="false">COUNTIFS('All Controls'!$C$2:$C$340,B21,'All Controls'!$G$2:$G$340,"Level 1")</f>
        <v>0</v>
      </c>
      <c r="E21" s="10" t="n">
        <f aca="false">COUNTIFS('All Controls'!$C$2:$C$340,B21,'All Controls'!$G$2:$G$340,"Level 2")</f>
        <v>3</v>
      </c>
      <c r="F21" s="10" t="n">
        <f aca="false">COUNTIFS('All Controls'!$C$2:$C$340,B21,'All Controls'!$H$2:$H$340,"Automated")</f>
        <v>3</v>
      </c>
      <c r="G21" s="10" t="n">
        <f aca="false">COUNTIFS('All Controls'!$C$2:$C$340,B21,'All Controls'!$H$2:$H$340,"Manual")</f>
        <v>0</v>
      </c>
      <c r="H21" s="10" t="n">
        <f aca="false">COUNTIFS('All Controls'!$C$2:$C$340,B21,'All Controls'!$J$2:$J$340,"Duplicate")+COUNTIFS('All Controls'!$C$2:$C$340,B21,'All Controls'!$J$2:$J$340,"Near-duplicate")</f>
        <v>0</v>
      </c>
      <c r="I21" s="10" t="s">
        <v>793</v>
      </c>
    </row>
    <row r="22" customFormat="false" ht="15" hidden="false" customHeight="false" outlineLevel="0" collapsed="false">
      <c r="A22" s="10" t="s">
        <v>418</v>
      </c>
      <c r="B22" s="10" t="s">
        <v>445</v>
      </c>
      <c r="C22" s="10" t="n">
        <f aca="false">COUNTIFS('All Controls'!$C$2:$C$340,B22)</f>
        <v>1</v>
      </c>
      <c r="D22" s="10" t="n">
        <f aca="false">COUNTIFS('All Controls'!$C$2:$C$340,B22,'All Controls'!$G$2:$G$340,"Level 1")</f>
        <v>1</v>
      </c>
      <c r="E22" s="10" t="n">
        <f aca="false">COUNTIFS('All Controls'!$C$2:$C$340,B22,'All Controls'!$G$2:$G$340,"Level 2")</f>
        <v>0</v>
      </c>
      <c r="F22" s="10" t="n">
        <f aca="false">COUNTIFS('All Controls'!$C$2:$C$340,B22,'All Controls'!$H$2:$H$340,"Automated")</f>
        <v>0</v>
      </c>
      <c r="G22" s="10" t="n">
        <f aca="false">COUNTIFS('All Controls'!$C$2:$C$340,B22,'All Controls'!$H$2:$H$340,"Manual")</f>
        <v>1</v>
      </c>
      <c r="H22" s="10" t="n">
        <f aca="false">COUNTIFS('All Controls'!$C$2:$C$340,B22,'All Controls'!$J$2:$J$340,"Duplicate")+COUNTIFS('All Controls'!$C$2:$C$340,B22,'All Controls'!$J$2:$J$340,"Near-duplicate")</f>
        <v>0</v>
      </c>
      <c r="I22" s="10" t="s">
        <v>793</v>
      </c>
    </row>
    <row r="23" customFormat="false" ht="15" hidden="false" customHeight="false" outlineLevel="0" collapsed="false">
      <c r="A23" s="10" t="s">
        <v>418</v>
      </c>
      <c r="B23" s="10" t="s">
        <v>448</v>
      </c>
      <c r="C23" s="10" t="n">
        <f aca="false">COUNTIFS('All Controls'!$C$2:$C$340,B23)</f>
        <v>1</v>
      </c>
      <c r="D23" s="10" t="n">
        <f aca="false">COUNTIFS('All Controls'!$C$2:$C$340,B23,'All Controls'!$G$2:$G$340,"Level 1")</f>
        <v>0</v>
      </c>
      <c r="E23" s="10" t="n">
        <f aca="false">COUNTIFS('All Controls'!$C$2:$C$340,B23,'All Controls'!$G$2:$G$340,"Level 2")</f>
        <v>1</v>
      </c>
      <c r="F23" s="10" t="n">
        <f aca="false">COUNTIFS('All Controls'!$C$2:$C$340,B23,'All Controls'!$H$2:$H$340,"Automated")</f>
        <v>1</v>
      </c>
      <c r="G23" s="10" t="n">
        <f aca="false">COUNTIFS('All Controls'!$C$2:$C$340,B23,'All Controls'!$H$2:$H$340,"Manual")</f>
        <v>0</v>
      </c>
      <c r="H23" s="10" t="n">
        <f aca="false">COUNTIFS('All Controls'!$C$2:$C$340,B23,'All Controls'!$J$2:$J$340,"Duplicate")+COUNTIFS('All Controls'!$C$2:$C$340,B23,'All Controls'!$J$2:$J$340,"Near-duplicate")</f>
        <v>0</v>
      </c>
      <c r="I23" s="10" t="s">
        <v>793</v>
      </c>
    </row>
    <row r="24" customFormat="false" ht="15" hidden="false" customHeight="false" outlineLevel="0" collapsed="false">
      <c r="A24" s="10" t="s">
        <v>418</v>
      </c>
      <c r="B24" s="10" t="s">
        <v>451</v>
      </c>
      <c r="C24" s="10" t="n">
        <f aca="false">COUNTIFS('All Controls'!$C$2:$C$340,B24)</f>
        <v>5</v>
      </c>
      <c r="D24" s="10" t="n">
        <f aca="false">COUNTIFS('All Controls'!$C$2:$C$340,B24,'All Controls'!$G$2:$G$340,"Level 1")</f>
        <v>5</v>
      </c>
      <c r="E24" s="10" t="n">
        <f aca="false">COUNTIFS('All Controls'!$C$2:$C$340,B24,'All Controls'!$G$2:$G$340,"Level 2")</f>
        <v>0</v>
      </c>
      <c r="F24" s="10" t="n">
        <f aca="false">COUNTIFS('All Controls'!$C$2:$C$340,B24,'All Controls'!$H$2:$H$340,"Automated")</f>
        <v>5</v>
      </c>
      <c r="G24" s="10" t="n">
        <f aca="false">COUNTIFS('All Controls'!$C$2:$C$340,B24,'All Controls'!$H$2:$H$340,"Manual")</f>
        <v>0</v>
      </c>
      <c r="H24" s="10" t="n">
        <f aca="false">COUNTIFS('All Controls'!$C$2:$C$340,B24,'All Controls'!$J$2:$J$340,"Duplicate")+COUNTIFS('All Controls'!$C$2:$C$340,B24,'All Controls'!$J$2:$J$340,"Near-duplicate")</f>
        <v>0</v>
      </c>
      <c r="I24" s="10" t="s">
        <v>793</v>
      </c>
    </row>
    <row r="25" customFormat="false" ht="15" hidden="false" customHeight="false" outlineLevel="0" collapsed="false">
      <c r="A25" s="10" t="s">
        <v>462</v>
      </c>
      <c r="B25" s="10" t="s">
        <v>463</v>
      </c>
      <c r="C25" s="10" t="n">
        <f aca="false">COUNTIFS('All Controls'!$C$2:$C$340,B25)</f>
        <v>1</v>
      </c>
      <c r="D25" s="10" t="n">
        <f aca="false">COUNTIFS('All Controls'!$C$2:$C$340,B25,'All Controls'!$G$2:$G$340,"Level 1")</f>
        <v>0</v>
      </c>
      <c r="E25" s="10" t="n">
        <f aca="false">COUNTIFS('All Controls'!$C$2:$C$340,B25,'All Controls'!$G$2:$G$340,"Level 2")</f>
        <v>1</v>
      </c>
      <c r="F25" s="10" t="n">
        <f aca="false">COUNTIFS('All Controls'!$C$2:$C$340,B25,'All Controls'!$H$2:$H$340,"Automated")</f>
        <v>1</v>
      </c>
      <c r="G25" s="10" t="n">
        <f aca="false">COUNTIFS('All Controls'!$C$2:$C$340,B25,'All Controls'!$H$2:$H$340,"Manual")</f>
        <v>0</v>
      </c>
      <c r="H25" s="10" t="n">
        <f aca="false">COUNTIFS('All Controls'!$C$2:$C$340,B25,'All Controls'!$J$2:$J$340,"Duplicate")+COUNTIFS('All Controls'!$C$2:$C$340,B25,'All Controls'!$J$2:$J$340,"Near-duplicate")</f>
        <v>0</v>
      </c>
      <c r="I25" s="10" t="s">
        <v>793</v>
      </c>
    </row>
    <row r="26" customFormat="false" ht="15" hidden="false" customHeight="false" outlineLevel="0" collapsed="false">
      <c r="A26" s="10" t="s">
        <v>462</v>
      </c>
      <c r="B26" s="10" t="s">
        <v>467</v>
      </c>
      <c r="C26" s="10" t="n">
        <f aca="false">COUNTIFS('All Controls'!$C$2:$C$340,B26)</f>
        <v>11</v>
      </c>
      <c r="D26" s="10" t="n">
        <f aca="false">COUNTIFS('All Controls'!$C$2:$C$340,B26,'All Controls'!$G$2:$G$340,"Level 1")</f>
        <v>7</v>
      </c>
      <c r="E26" s="10" t="n">
        <f aca="false">COUNTIFS('All Controls'!$C$2:$C$340,B26,'All Controls'!$G$2:$G$340,"Level 2")</f>
        <v>4</v>
      </c>
      <c r="F26" s="10" t="n">
        <f aca="false">COUNTIFS('All Controls'!$C$2:$C$340,B26,'All Controls'!$H$2:$H$340,"Automated")</f>
        <v>10</v>
      </c>
      <c r="G26" s="10" t="n">
        <f aca="false">COUNTIFS('All Controls'!$C$2:$C$340,B26,'All Controls'!$H$2:$H$340,"Manual")</f>
        <v>1</v>
      </c>
      <c r="H26" s="10" t="n">
        <f aca="false">COUNTIFS('All Controls'!$C$2:$C$340,B26,'All Controls'!$J$2:$J$340,"Duplicate")+COUNTIFS('All Controls'!$C$2:$C$340,B26,'All Controls'!$J$2:$J$340,"Near-duplicate")</f>
        <v>0</v>
      </c>
      <c r="I26" s="10" t="s">
        <v>793</v>
      </c>
    </row>
    <row r="27" customFormat="false" ht="15" hidden="false" customHeight="false" outlineLevel="0" collapsed="false">
      <c r="A27" s="10" t="s">
        <v>462</v>
      </c>
      <c r="B27" s="10" t="s">
        <v>491</v>
      </c>
      <c r="C27" s="10" t="n">
        <f aca="false">COUNTIFS('All Controls'!$C$2:$C$340,B27)</f>
        <v>24</v>
      </c>
      <c r="D27" s="10" t="n">
        <f aca="false">COUNTIFS('All Controls'!$C$2:$C$340,B27,'All Controls'!$G$2:$G$340,"Level 1")</f>
        <v>6</v>
      </c>
      <c r="E27" s="10" t="n">
        <f aca="false">COUNTIFS('All Controls'!$C$2:$C$340,B27,'All Controls'!$G$2:$G$340,"Level 2")</f>
        <v>18</v>
      </c>
      <c r="F27" s="10" t="n">
        <f aca="false">COUNTIFS('All Controls'!$C$2:$C$340,B27,'All Controls'!$H$2:$H$340,"Automated")</f>
        <v>18</v>
      </c>
      <c r="G27" s="10" t="n">
        <f aca="false">COUNTIFS('All Controls'!$C$2:$C$340,B27,'All Controls'!$H$2:$H$340,"Manual")</f>
        <v>6</v>
      </c>
      <c r="H27" s="10" t="n">
        <f aca="false">COUNTIFS('All Controls'!$C$2:$C$340,B27,'All Controls'!$J$2:$J$340,"Duplicate")+COUNTIFS('All Controls'!$C$2:$C$340,B27,'All Controls'!$J$2:$J$340,"Near-duplicate")</f>
        <v>0</v>
      </c>
      <c r="I27" s="10" t="s">
        <v>793</v>
      </c>
    </row>
    <row r="28" customFormat="false" ht="15" hidden="false" customHeight="false" outlineLevel="0" collapsed="false">
      <c r="A28" s="10" t="s">
        <v>462</v>
      </c>
      <c r="B28" s="10" t="s">
        <v>551</v>
      </c>
      <c r="C28" s="10" t="n">
        <f aca="false">COUNTIFS('All Controls'!$C$2:$C$340,B28)</f>
        <v>1</v>
      </c>
      <c r="D28" s="10" t="n">
        <f aca="false">COUNTIFS('All Controls'!$C$2:$C$340,B28,'All Controls'!$G$2:$G$340,"Level 1")</f>
        <v>0</v>
      </c>
      <c r="E28" s="10" t="n">
        <f aca="false">COUNTIFS('All Controls'!$C$2:$C$340,B28,'All Controls'!$G$2:$G$340,"Level 2")</f>
        <v>1</v>
      </c>
      <c r="F28" s="10" t="n">
        <f aca="false">COUNTIFS('All Controls'!$C$2:$C$340,B28,'All Controls'!$H$2:$H$340,"Automated")</f>
        <v>0</v>
      </c>
      <c r="G28" s="10" t="n">
        <f aca="false">COUNTIFS('All Controls'!$C$2:$C$340,B28,'All Controls'!$H$2:$H$340,"Manual")</f>
        <v>1</v>
      </c>
      <c r="H28" s="10" t="n">
        <f aca="false">COUNTIFS('All Controls'!$C$2:$C$340,B28,'All Controls'!$J$2:$J$340,"Duplicate")+COUNTIFS('All Controls'!$C$2:$C$340,B28,'All Controls'!$J$2:$J$340,"Near-duplicate")</f>
        <v>0</v>
      </c>
      <c r="I28" s="10" t="s">
        <v>793</v>
      </c>
    </row>
    <row r="29" customFormat="false" ht="15" hidden="false" customHeight="false" outlineLevel="0" collapsed="false">
      <c r="A29" s="10" t="s">
        <v>555</v>
      </c>
      <c r="B29" s="10" t="s">
        <v>556</v>
      </c>
      <c r="C29" s="10" t="n">
        <f aca="false">COUNTIFS('All Controls'!$C$2:$C$340,B29)</f>
        <v>14</v>
      </c>
      <c r="D29" s="10" t="n">
        <f aca="false">COUNTIFS('All Controls'!$C$2:$C$340,B29,'All Controls'!$G$2:$G$340,"Level 1")</f>
        <v>7</v>
      </c>
      <c r="E29" s="10" t="n">
        <f aca="false">COUNTIFS('All Controls'!$C$2:$C$340,B29,'All Controls'!$G$2:$G$340,"Level 2")</f>
        <v>7</v>
      </c>
      <c r="F29" s="10" t="n">
        <f aca="false">COUNTIFS('All Controls'!$C$2:$C$340,B29,'All Controls'!$H$2:$H$340,"Automated")</f>
        <v>14</v>
      </c>
      <c r="G29" s="10" t="n">
        <f aca="false">COUNTIFS('All Controls'!$C$2:$C$340,B29,'All Controls'!$H$2:$H$340,"Manual")</f>
        <v>0</v>
      </c>
      <c r="H29" s="10" t="n">
        <f aca="false">COUNTIFS('All Controls'!$C$2:$C$340,B29,'All Controls'!$J$2:$J$340,"Duplicate")+COUNTIFS('All Controls'!$C$2:$C$340,B29,'All Controls'!$J$2:$J$340,"Near-duplicate")</f>
        <v>0</v>
      </c>
      <c r="I29" s="10" t="s">
        <v>797</v>
      </c>
    </row>
    <row r="30" customFormat="false" ht="15" hidden="false" customHeight="false" outlineLevel="0" collapsed="false">
      <c r="A30" s="10" t="s">
        <v>555</v>
      </c>
      <c r="B30" s="10" t="s">
        <v>587</v>
      </c>
      <c r="C30" s="10" t="n">
        <f aca="false">COUNTIFS('All Controls'!$C$2:$C$340,B30)</f>
        <v>9</v>
      </c>
      <c r="D30" s="10" t="n">
        <f aca="false">COUNTIFS('All Controls'!$C$2:$C$340,B30,'All Controls'!$G$2:$G$340,"Level 1")</f>
        <v>5</v>
      </c>
      <c r="E30" s="10" t="n">
        <f aca="false">COUNTIFS('All Controls'!$C$2:$C$340,B30,'All Controls'!$G$2:$G$340,"Level 2")</f>
        <v>4</v>
      </c>
      <c r="F30" s="10" t="n">
        <f aca="false">COUNTIFS('All Controls'!$C$2:$C$340,B30,'All Controls'!$H$2:$H$340,"Automated")</f>
        <v>6</v>
      </c>
      <c r="G30" s="10" t="n">
        <f aca="false">COUNTIFS('All Controls'!$C$2:$C$340,B30,'All Controls'!$H$2:$H$340,"Manual")</f>
        <v>3</v>
      </c>
      <c r="H30" s="10" t="n">
        <f aca="false">COUNTIFS('All Controls'!$C$2:$C$340,B30,'All Controls'!$J$2:$J$340,"Duplicate")+COUNTIFS('All Controls'!$C$2:$C$340,B30,'All Controls'!$J$2:$J$340,"Near-duplicate")</f>
        <v>5</v>
      </c>
      <c r="I30" s="10" t="s">
        <v>798</v>
      </c>
    </row>
    <row r="31" customFormat="false" ht="15" hidden="false" customHeight="false" outlineLevel="0" collapsed="false">
      <c r="A31" s="10" t="s">
        <v>555</v>
      </c>
      <c r="B31" s="10" t="s">
        <v>617</v>
      </c>
      <c r="C31" s="10" t="n">
        <f aca="false">COUNTIFS('All Controls'!$C$2:$C$340,B31)</f>
        <v>1</v>
      </c>
      <c r="D31" s="10" t="n">
        <f aca="false">COUNTIFS('All Controls'!$C$2:$C$340,B31,'All Controls'!$G$2:$G$340,"Level 1")</f>
        <v>0</v>
      </c>
      <c r="E31" s="10" t="n">
        <f aca="false">COUNTIFS('All Controls'!$C$2:$C$340,B31,'All Controls'!$G$2:$G$340,"Level 2")</f>
        <v>1</v>
      </c>
      <c r="F31" s="10" t="n">
        <f aca="false">COUNTIFS('All Controls'!$C$2:$C$340,B31,'All Controls'!$H$2:$H$340,"Automated")</f>
        <v>0</v>
      </c>
      <c r="G31" s="10" t="n">
        <f aca="false">COUNTIFS('All Controls'!$C$2:$C$340,B31,'All Controls'!$H$2:$H$340,"Manual")</f>
        <v>1</v>
      </c>
      <c r="H31" s="10" t="n">
        <f aca="false">COUNTIFS('All Controls'!$C$2:$C$340,B31,'All Controls'!$J$2:$J$340,"Duplicate")+COUNTIFS('All Controls'!$C$2:$C$340,B31,'All Controls'!$J$2:$J$340,"Near-duplicate")</f>
        <v>0</v>
      </c>
      <c r="I31" s="10" t="s">
        <v>797</v>
      </c>
    </row>
    <row r="32" customFormat="false" ht="15" hidden="false" customHeight="false" outlineLevel="0" collapsed="false">
      <c r="A32" s="10" t="s">
        <v>555</v>
      </c>
      <c r="B32" s="10" t="s">
        <v>620</v>
      </c>
      <c r="C32" s="10" t="n">
        <f aca="false">COUNTIFS('All Controls'!$C$2:$C$340,B32)</f>
        <v>2</v>
      </c>
      <c r="D32" s="10" t="n">
        <f aca="false">COUNTIFS('All Controls'!$C$2:$C$340,B32,'All Controls'!$G$2:$G$340,"Level 1")</f>
        <v>0</v>
      </c>
      <c r="E32" s="10" t="n">
        <f aca="false">COUNTIFS('All Controls'!$C$2:$C$340,B32,'All Controls'!$G$2:$G$340,"Level 2")</f>
        <v>2</v>
      </c>
      <c r="F32" s="10" t="n">
        <f aca="false">COUNTIFS('All Controls'!$C$2:$C$340,B32,'All Controls'!$H$2:$H$340,"Automated")</f>
        <v>2</v>
      </c>
      <c r="G32" s="10" t="n">
        <f aca="false">COUNTIFS('All Controls'!$C$2:$C$340,B32,'All Controls'!$H$2:$H$340,"Manual")</f>
        <v>0</v>
      </c>
      <c r="H32" s="10" t="n">
        <f aca="false">COUNTIFS('All Controls'!$C$2:$C$340,B32,'All Controls'!$J$2:$J$340,"Duplicate")+COUNTIFS('All Controls'!$C$2:$C$340,B32,'All Controls'!$J$2:$J$340,"Near-duplicate")</f>
        <v>0</v>
      </c>
      <c r="I32" s="10" t="s">
        <v>797</v>
      </c>
    </row>
    <row r="33" customFormat="false" ht="15" hidden="false" customHeight="false" outlineLevel="0" collapsed="false">
      <c r="A33" s="10" t="s">
        <v>555</v>
      </c>
      <c r="B33" s="10" t="s">
        <v>625</v>
      </c>
      <c r="C33" s="10" t="n">
        <f aca="false">COUNTIFS('All Controls'!$C$2:$C$340,B33)</f>
        <v>12</v>
      </c>
      <c r="D33" s="10" t="n">
        <f aca="false">COUNTIFS('All Controls'!$C$2:$C$340,B33,'All Controls'!$G$2:$G$340,"Level 1")</f>
        <v>10</v>
      </c>
      <c r="E33" s="10" t="n">
        <f aca="false">COUNTIFS('All Controls'!$C$2:$C$340,B33,'All Controls'!$G$2:$G$340,"Level 2")</f>
        <v>2</v>
      </c>
      <c r="F33" s="10" t="n">
        <f aca="false">COUNTIFS('All Controls'!$C$2:$C$340,B33,'All Controls'!$H$2:$H$340,"Automated")</f>
        <v>12</v>
      </c>
      <c r="G33" s="10" t="n">
        <f aca="false">COUNTIFS('All Controls'!$C$2:$C$340,B33,'All Controls'!$H$2:$H$340,"Manual")</f>
        <v>0</v>
      </c>
      <c r="H33" s="10" t="n">
        <f aca="false">COUNTIFS('All Controls'!$C$2:$C$340,B33,'All Controls'!$J$2:$J$340,"Duplicate")+COUNTIFS('All Controls'!$C$2:$C$340,B33,'All Controls'!$J$2:$J$340,"Near-duplicate")</f>
        <v>6</v>
      </c>
      <c r="I33" s="10" t="s">
        <v>798</v>
      </c>
    </row>
    <row r="34" customFormat="false" ht="15" hidden="false" customHeight="false" outlineLevel="0" collapsed="false">
      <c r="A34" s="10" t="s">
        <v>555</v>
      </c>
      <c r="B34" s="10" t="s">
        <v>659</v>
      </c>
      <c r="C34" s="10" t="n">
        <f aca="false">COUNTIFS('All Controls'!$C$2:$C$340,B34)</f>
        <v>1</v>
      </c>
      <c r="D34" s="10" t="n">
        <f aca="false">COUNTIFS('All Controls'!$C$2:$C$340,B34,'All Controls'!$G$2:$G$340,"Level 1")</f>
        <v>0</v>
      </c>
      <c r="E34" s="10" t="n">
        <f aca="false">COUNTIFS('All Controls'!$C$2:$C$340,B34,'All Controls'!$G$2:$G$340,"Level 2")</f>
        <v>1</v>
      </c>
      <c r="F34" s="10" t="n">
        <f aca="false">COUNTIFS('All Controls'!$C$2:$C$340,B34,'All Controls'!$H$2:$H$340,"Automated")</f>
        <v>1</v>
      </c>
      <c r="G34" s="10" t="n">
        <f aca="false">COUNTIFS('All Controls'!$C$2:$C$340,B34,'All Controls'!$H$2:$H$340,"Manual")</f>
        <v>0</v>
      </c>
      <c r="H34" s="10" t="n">
        <f aca="false">COUNTIFS('All Controls'!$C$2:$C$340,B34,'All Controls'!$J$2:$J$340,"Duplicate")+COUNTIFS('All Controls'!$C$2:$C$340,B34,'All Controls'!$J$2:$J$340,"Near-duplicate")</f>
        <v>0</v>
      </c>
      <c r="I34" s="10" t="s">
        <v>797</v>
      </c>
    </row>
    <row r="35" customFormat="false" ht="15" hidden="false" customHeight="false" outlineLevel="0" collapsed="false">
      <c r="A35" s="10" t="s">
        <v>555</v>
      </c>
      <c r="B35" s="10" t="s">
        <v>661</v>
      </c>
      <c r="C35" s="10" t="n">
        <f aca="false">COUNTIFS('All Controls'!$C$2:$C$340,B35)</f>
        <v>1</v>
      </c>
      <c r="D35" s="10" t="n">
        <f aca="false">COUNTIFS('All Controls'!$C$2:$C$340,B35,'All Controls'!$G$2:$G$340,"Level 1")</f>
        <v>0</v>
      </c>
      <c r="E35" s="10" t="n">
        <f aca="false">COUNTIFS('All Controls'!$C$2:$C$340,B35,'All Controls'!$G$2:$G$340,"Level 2")</f>
        <v>1</v>
      </c>
      <c r="F35" s="10" t="n">
        <f aca="false">COUNTIFS('All Controls'!$C$2:$C$340,B35,'All Controls'!$H$2:$H$340,"Automated")</f>
        <v>1</v>
      </c>
      <c r="G35" s="10" t="n">
        <f aca="false">COUNTIFS('All Controls'!$C$2:$C$340,B35,'All Controls'!$H$2:$H$340,"Manual")</f>
        <v>0</v>
      </c>
      <c r="H35" s="10" t="n">
        <f aca="false">COUNTIFS('All Controls'!$C$2:$C$340,B35,'All Controls'!$J$2:$J$340,"Duplicate")+COUNTIFS('All Controls'!$C$2:$C$340,B35,'All Controls'!$J$2:$J$340,"Near-duplicate")</f>
        <v>0</v>
      </c>
      <c r="I35" s="10" t="s">
        <v>797</v>
      </c>
    </row>
    <row r="36" customFormat="false" ht="15" hidden="false" customHeight="false" outlineLevel="0" collapsed="false">
      <c r="A36" s="10" t="s">
        <v>555</v>
      </c>
      <c r="B36" s="10" t="s">
        <v>663</v>
      </c>
      <c r="C36" s="10" t="n">
        <f aca="false">COUNTIFS('All Controls'!$C$2:$C$340,B36)</f>
        <v>3</v>
      </c>
      <c r="D36" s="10" t="n">
        <f aca="false">COUNTIFS('All Controls'!$C$2:$C$340,B36,'All Controls'!$G$2:$G$340,"Level 1")</f>
        <v>2</v>
      </c>
      <c r="E36" s="10" t="n">
        <f aca="false">COUNTIFS('All Controls'!$C$2:$C$340,B36,'All Controls'!$G$2:$G$340,"Level 2")</f>
        <v>1</v>
      </c>
      <c r="F36" s="10" t="n">
        <f aca="false">COUNTIFS('All Controls'!$C$2:$C$340,B36,'All Controls'!$H$2:$H$340,"Automated")</f>
        <v>0</v>
      </c>
      <c r="G36" s="10" t="n">
        <f aca="false">COUNTIFS('All Controls'!$C$2:$C$340,B36,'All Controls'!$H$2:$H$340,"Manual")</f>
        <v>3</v>
      </c>
      <c r="H36" s="10" t="n">
        <f aca="false">COUNTIFS('All Controls'!$C$2:$C$340,B36,'All Controls'!$J$2:$J$340,"Duplicate")+COUNTIFS('All Controls'!$C$2:$C$340,B36,'All Controls'!$J$2:$J$340,"Near-duplicate")</f>
        <v>0</v>
      </c>
      <c r="I36" s="10" t="s">
        <v>797</v>
      </c>
    </row>
    <row r="37" customFormat="false" ht="15" hidden="false" customHeight="false" outlineLevel="0" collapsed="false">
      <c r="A37" s="10" t="s">
        <v>555</v>
      </c>
      <c r="B37" s="10" t="s">
        <v>668</v>
      </c>
      <c r="C37" s="10" t="n">
        <f aca="false">COUNTIFS('All Controls'!$C$2:$C$340,B37)</f>
        <v>39</v>
      </c>
      <c r="D37" s="10" t="n">
        <f aca="false">COUNTIFS('All Controls'!$C$2:$C$340,B37,'All Controls'!$G$2:$G$340,"Level 1")</f>
        <v>23</v>
      </c>
      <c r="E37" s="10" t="n">
        <f aca="false">COUNTIFS('All Controls'!$C$2:$C$340,B37,'All Controls'!$G$2:$G$340,"Level 2")</f>
        <v>16</v>
      </c>
      <c r="F37" s="10" t="n">
        <f aca="false">COUNTIFS('All Controls'!$C$2:$C$340,B37,'All Controls'!$H$2:$H$340,"Automated")</f>
        <v>30</v>
      </c>
      <c r="G37" s="10" t="n">
        <f aca="false">COUNTIFS('All Controls'!$C$2:$C$340,B37,'All Controls'!$H$2:$H$340,"Manual")</f>
        <v>9</v>
      </c>
      <c r="H37" s="10" t="n">
        <f aca="false">COUNTIFS('All Controls'!$C$2:$C$340,B37,'All Controls'!$J$2:$J$340,"Duplicate")+COUNTIFS('All Controls'!$C$2:$C$340,B37,'All Controls'!$J$2:$J$340,"Near-duplicate")</f>
        <v>29</v>
      </c>
      <c r="I37" s="10" t="s">
        <v>798</v>
      </c>
    </row>
    <row r="38" customFormat="false" ht="15" hidden="false" customHeight="false" outlineLevel="0" collapsed="false">
      <c r="A38" s="10" t="s">
        <v>555</v>
      </c>
      <c r="B38" s="10" t="s">
        <v>782</v>
      </c>
      <c r="C38" s="10" t="n">
        <f aca="false">COUNTIFS('All Controls'!$C$2:$C$340,B38)</f>
        <v>3</v>
      </c>
      <c r="D38" s="10" t="n">
        <f aca="false">COUNTIFS('All Controls'!$C$2:$C$340,B38,'All Controls'!$G$2:$G$340,"Level 1")</f>
        <v>2</v>
      </c>
      <c r="E38" s="10" t="n">
        <f aca="false">COUNTIFS('All Controls'!$C$2:$C$340,B38,'All Controls'!$G$2:$G$340,"Level 2")</f>
        <v>1</v>
      </c>
      <c r="F38" s="10" t="n">
        <f aca="false">COUNTIFS('All Controls'!$C$2:$C$340,B38,'All Controls'!$H$2:$H$340,"Automated")</f>
        <v>0</v>
      </c>
      <c r="G38" s="10" t="n">
        <f aca="false">COUNTIFS('All Controls'!$C$2:$C$340,B38,'All Controls'!$H$2:$H$340,"Manual")</f>
        <v>3</v>
      </c>
      <c r="H38" s="10" t="n">
        <f aca="false">COUNTIFS('All Controls'!$C$2:$C$340,B38,'All Controls'!$J$2:$J$340,"Duplicate")+COUNTIFS('All Controls'!$C$2:$C$340,B38,'All Controls'!$J$2:$J$340,"Near-duplicate")</f>
        <v>0</v>
      </c>
      <c r="I38" s="10" t="s">
        <v>797</v>
      </c>
    </row>
    <row r="39" customFormat="false" ht="15" hidden="false" customHeight="false" outlineLevel="0" collapsed="false">
      <c r="A39" s="11" t="s">
        <v>799</v>
      </c>
      <c r="B39" s="11"/>
      <c r="C39" s="11" t="n">
        <f aca="false">SUM(C2:C38)</f>
        <v>339</v>
      </c>
      <c r="D39" s="11" t="n">
        <f aca="false">SUM(D2:D38)</f>
        <v>205</v>
      </c>
      <c r="E39" s="11" t="n">
        <f aca="false">SUM(E2:E38)</f>
        <v>134</v>
      </c>
      <c r="F39" s="11" t="n">
        <f aca="false">SUM(F2:F38)</f>
        <v>245</v>
      </c>
      <c r="G39" s="11" t="n">
        <f aca="false">SUM(G2:G38)</f>
        <v>94</v>
      </c>
      <c r="H39" s="11" t="n">
        <f aca="false">SUM(H2:H38)</f>
        <v>42</v>
      </c>
      <c r="I3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5" hidden="false" customHeight="false" outlineLevel="0" collapsed="false">
      <c r="A2" s="5" t="n">
        <v>1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/>
    </row>
    <row r="3" customFormat="false" ht="15" hidden="false" customHeight="false" outlineLevel="0" collapsed="false">
      <c r="A3" s="5" t="n">
        <v>2</v>
      </c>
      <c r="B3" s="5" t="s">
        <v>39</v>
      </c>
      <c r="C3" s="5" t="s">
        <v>40</v>
      </c>
      <c r="D3" s="5" t="s">
        <v>41</v>
      </c>
      <c r="E3" s="5" t="s">
        <v>48</v>
      </c>
      <c r="F3" s="5" t="s">
        <v>49</v>
      </c>
      <c r="G3" s="5" t="s">
        <v>44</v>
      </c>
      <c r="H3" s="5" t="s">
        <v>45</v>
      </c>
      <c r="I3" s="5" t="s">
        <v>46</v>
      </c>
      <c r="J3" s="5" t="s">
        <v>47</v>
      </c>
      <c r="K3" s="5"/>
    </row>
    <row r="4" customFormat="false" ht="15" hidden="false" customHeight="false" outlineLevel="0" collapsed="false">
      <c r="A4" s="5" t="n">
        <v>3</v>
      </c>
      <c r="B4" s="5" t="s">
        <v>39</v>
      </c>
      <c r="C4" s="5" t="s">
        <v>40</v>
      </c>
      <c r="D4" s="5" t="s">
        <v>41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46</v>
      </c>
      <c r="J4" s="5" t="s">
        <v>47</v>
      </c>
      <c r="K4" s="5"/>
    </row>
    <row r="5" customFormat="false" ht="15" hidden="false" customHeight="false" outlineLevel="0" collapsed="false">
      <c r="A5" s="5" t="n">
        <v>4</v>
      </c>
      <c r="B5" s="5" t="s">
        <v>39</v>
      </c>
      <c r="C5" s="5" t="s">
        <v>40</v>
      </c>
      <c r="D5" s="5" t="s">
        <v>41</v>
      </c>
      <c r="E5" s="5" t="s">
        <v>54</v>
      </c>
      <c r="F5" s="5" t="s">
        <v>55</v>
      </c>
      <c r="G5" s="5" t="s">
        <v>44</v>
      </c>
      <c r="H5" s="5" t="s">
        <v>53</v>
      </c>
      <c r="I5" s="5" t="s">
        <v>46</v>
      </c>
      <c r="J5" s="5" t="s">
        <v>47</v>
      </c>
      <c r="K5" s="5"/>
    </row>
    <row r="6" customFormat="false" ht="15" hidden="false" customHeight="false" outlineLevel="0" collapsed="false">
      <c r="A6" s="5" t="n">
        <v>5</v>
      </c>
      <c r="B6" s="5" t="s">
        <v>39</v>
      </c>
      <c r="C6" s="5" t="s">
        <v>40</v>
      </c>
      <c r="D6" s="5" t="s">
        <v>41</v>
      </c>
      <c r="E6" s="5" t="s">
        <v>56</v>
      </c>
      <c r="F6" s="5" t="s">
        <v>57</v>
      </c>
      <c r="G6" s="5" t="s">
        <v>44</v>
      </c>
      <c r="H6" s="5" t="s">
        <v>53</v>
      </c>
      <c r="I6" s="5" t="s">
        <v>46</v>
      </c>
      <c r="J6" s="5" t="s">
        <v>47</v>
      </c>
      <c r="K6" s="5"/>
    </row>
    <row r="7" customFormat="false" ht="15" hidden="false" customHeight="false" outlineLevel="0" collapsed="false">
      <c r="A7" s="5" t="n">
        <v>6</v>
      </c>
      <c r="B7" s="5" t="s">
        <v>39</v>
      </c>
      <c r="C7" s="5" t="s">
        <v>40</v>
      </c>
      <c r="D7" s="5" t="s">
        <v>41</v>
      </c>
      <c r="E7" s="5" t="s">
        <v>58</v>
      </c>
      <c r="F7" s="5" t="s">
        <v>59</v>
      </c>
      <c r="G7" s="5" t="s">
        <v>44</v>
      </c>
      <c r="H7" s="5" t="s">
        <v>53</v>
      </c>
      <c r="I7" s="5" t="s">
        <v>46</v>
      </c>
      <c r="J7" s="5" t="s">
        <v>47</v>
      </c>
      <c r="K7" s="5"/>
    </row>
    <row r="8" customFormat="false" ht="15" hidden="false" customHeight="false" outlineLevel="0" collapsed="false">
      <c r="A8" s="5" t="n">
        <v>7</v>
      </c>
      <c r="B8" s="5" t="s">
        <v>39</v>
      </c>
      <c r="C8" s="5" t="s">
        <v>40</v>
      </c>
      <c r="D8" s="5" t="s">
        <v>41</v>
      </c>
      <c r="E8" s="5" t="s">
        <v>60</v>
      </c>
      <c r="F8" s="5" t="s">
        <v>61</v>
      </c>
      <c r="G8" s="5" t="s">
        <v>44</v>
      </c>
      <c r="H8" s="5" t="s">
        <v>45</v>
      </c>
      <c r="I8" s="5" t="s">
        <v>46</v>
      </c>
      <c r="J8" s="5" t="s">
        <v>47</v>
      </c>
      <c r="K8" s="5"/>
    </row>
    <row r="9" customFormat="false" ht="15" hidden="false" customHeight="false" outlineLevel="0" collapsed="false">
      <c r="A9" s="5" t="n">
        <v>8</v>
      </c>
      <c r="B9" s="5" t="s">
        <v>39</v>
      </c>
      <c r="C9" s="5" t="s">
        <v>40</v>
      </c>
      <c r="D9" s="5" t="s">
        <v>41</v>
      </c>
      <c r="E9" s="5" t="s">
        <v>62</v>
      </c>
      <c r="F9" s="5" t="s">
        <v>63</v>
      </c>
      <c r="G9" s="5" t="s">
        <v>52</v>
      </c>
      <c r="H9" s="5" t="s">
        <v>53</v>
      </c>
      <c r="I9" s="5" t="s">
        <v>46</v>
      </c>
      <c r="J9" s="5" t="s">
        <v>47</v>
      </c>
      <c r="K9" s="5"/>
    </row>
    <row r="10" customFormat="false" ht="15" hidden="false" customHeight="false" outlineLevel="0" collapsed="false">
      <c r="A10" s="5" t="n">
        <v>9</v>
      </c>
      <c r="B10" s="5" t="s">
        <v>39</v>
      </c>
      <c r="C10" s="5" t="s">
        <v>40</v>
      </c>
      <c r="D10" s="5" t="s">
        <v>41</v>
      </c>
      <c r="E10" s="5" t="s">
        <v>64</v>
      </c>
      <c r="F10" s="5" t="s">
        <v>65</v>
      </c>
      <c r="G10" s="5" t="s">
        <v>44</v>
      </c>
      <c r="H10" s="5" t="s">
        <v>45</v>
      </c>
      <c r="I10" s="5" t="s">
        <v>46</v>
      </c>
      <c r="J10" s="5" t="s">
        <v>47</v>
      </c>
      <c r="K10" s="5"/>
    </row>
    <row r="11" customFormat="false" ht="15" hidden="false" customHeight="false" outlineLevel="0" collapsed="false">
      <c r="A11" s="5" t="n">
        <v>10</v>
      </c>
      <c r="B11" s="5" t="s">
        <v>39</v>
      </c>
      <c r="C11" s="5" t="s">
        <v>40</v>
      </c>
      <c r="D11" s="5" t="s">
        <v>41</v>
      </c>
      <c r="E11" s="5" t="s">
        <v>66</v>
      </c>
      <c r="F11" s="5" t="s">
        <v>67</v>
      </c>
      <c r="G11" s="5" t="s">
        <v>44</v>
      </c>
      <c r="H11" s="5" t="s">
        <v>45</v>
      </c>
      <c r="I11" s="5" t="s">
        <v>46</v>
      </c>
      <c r="J11" s="5" t="s">
        <v>47</v>
      </c>
      <c r="K11" s="5"/>
    </row>
    <row r="12" customFormat="false" ht="15" hidden="false" customHeight="false" outlineLevel="0" collapsed="false">
      <c r="A12" s="5" t="n">
        <v>11</v>
      </c>
      <c r="B12" s="5" t="s">
        <v>39</v>
      </c>
      <c r="C12" s="5" t="s">
        <v>40</v>
      </c>
      <c r="D12" s="5" t="s">
        <v>41</v>
      </c>
      <c r="E12" s="5" t="s">
        <v>68</v>
      </c>
      <c r="F12" s="5" t="s">
        <v>69</v>
      </c>
      <c r="G12" s="5" t="s">
        <v>52</v>
      </c>
      <c r="H12" s="5" t="s">
        <v>45</v>
      </c>
      <c r="I12" s="5" t="s">
        <v>46</v>
      </c>
      <c r="J12" s="5" t="s">
        <v>47</v>
      </c>
      <c r="K12" s="5"/>
    </row>
    <row r="13" customFormat="false" ht="15" hidden="false" customHeight="false" outlineLevel="0" collapsed="false">
      <c r="A13" s="5" t="n">
        <v>12</v>
      </c>
      <c r="B13" s="5" t="s">
        <v>39</v>
      </c>
      <c r="C13" s="5" t="s">
        <v>40</v>
      </c>
      <c r="D13" s="5" t="s">
        <v>41</v>
      </c>
      <c r="E13" s="5" t="s">
        <v>70</v>
      </c>
      <c r="F13" s="5" t="s">
        <v>71</v>
      </c>
      <c r="G13" s="5" t="s">
        <v>44</v>
      </c>
      <c r="H13" s="5" t="s">
        <v>53</v>
      </c>
      <c r="I13" s="5" t="s">
        <v>46</v>
      </c>
      <c r="J13" s="5" t="s">
        <v>47</v>
      </c>
      <c r="K13" s="5"/>
    </row>
    <row r="14" customFormat="false" ht="15" hidden="false" customHeight="false" outlineLevel="0" collapsed="false">
      <c r="A14" s="5" t="n">
        <v>13</v>
      </c>
      <c r="B14" s="5" t="s">
        <v>72</v>
      </c>
      <c r="C14" s="5" t="s">
        <v>202</v>
      </c>
      <c r="D14" s="5" t="s">
        <v>203</v>
      </c>
      <c r="E14" s="5" t="s">
        <v>204</v>
      </c>
      <c r="F14" s="5" t="s">
        <v>205</v>
      </c>
      <c r="G14" s="5" t="s">
        <v>52</v>
      </c>
      <c r="H14" s="5" t="s">
        <v>53</v>
      </c>
      <c r="I14" s="5" t="s">
        <v>46</v>
      </c>
      <c r="J14" s="6" t="s">
        <v>206</v>
      </c>
      <c r="K14" s="5" t="s">
        <v>207</v>
      </c>
    </row>
    <row r="15" customFormat="false" ht="23.85" hidden="false" customHeight="false" outlineLevel="0" collapsed="false">
      <c r="A15" s="5" t="n">
        <v>14</v>
      </c>
      <c r="B15" s="5" t="s">
        <v>331</v>
      </c>
      <c r="C15" s="5" t="s">
        <v>332</v>
      </c>
      <c r="D15" s="5" t="s">
        <v>333</v>
      </c>
      <c r="E15" s="5" t="s">
        <v>334</v>
      </c>
      <c r="F15" s="5" t="s">
        <v>335</v>
      </c>
      <c r="G15" s="5" t="s">
        <v>44</v>
      </c>
      <c r="H15" s="5" t="s">
        <v>45</v>
      </c>
      <c r="I15" s="5" t="s">
        <v>46</v>
      </c>
      <c r="J15" s="5" t="s">
        <v>47</v>
      </c>
      <c r="K15" s="5"/>
    </row>
    <row r="16" customFormat="false" ht="23.85" hidden="false" customHeight="false" outlineLevel="0" collapsed="false">
      <c r="A16" s="5" t="n">
        <v>15</v>
      </c>
      <c r="B16" s="5" t="s">
        <v>331</v>
      </c>
      <c r="C16" s="5" t="s">
        <v>332</v>
      </c>
      <c r="D16" s="5" t="s">
        <v>333</v>
      </c>
      <c r="E16" s="5" t="s">
        <v>336</v>
      </c>
      <c r="F16" s="5" t="s">
        <v>337</v>
      </c>
      <c r="G16" s="5" t="s">
        <v>44</v>
      </c>
      <c r="H16" s="5" t="s">
        <v>53</v>
      </c>
      <c r="I16" s="5" t="s">
        <v>46</v>
      </c>
      <c r="J16" s="5" t="s">
        <v>47</v>
      </c>
      <c r="K16" s="5"/>
    </row>
    <row r="17" customFormat="false" ht="23.85" hidden="false" customHeight="false" outlineLevel="0" collapsed="false">
      <c r="A17" s="5" t="n">
        <v>16</v>
      </c>
      <c r="B17" s="5" t="s">
        <v>331</v>
      </c>
      <c r="C17" s="5" t="s">
        <v>332</v>
      </c>
      <c r="D17" s="5" t="s">
        <v>333</v>
      </c>
      <c r="E17" s="5" t="s">
        <v>338</v>
      </c>
      <c r="F17" s="5" t="s">
        <v>339</v>
      </c>
      <c r="G17" s="5" t="s">
        <v>44</v>
      </c>
      <c r="H17" s="5" t="s">
        <v>45</v>
      </c>
      <c r="I17" s="5" t="s">
        <v>46</v>
      </c>
      <c r="J17" s="5" t="s">
        <v>47</v>
      </c>
      <c r="K17" s="5"/>
    </row>
    <row r="18" customFormat="false" ht="23.85" hidden="false" customHeight="false" outlineLevel="0" collapsed="false">
      <c r="A18" s="5" t="n">
        <v>17</v>
      </c>
      <c r="B18" s="5" t="s">
        <v>331</v>
      </c>
      <c r="C18" s="5" t="s">
        <v>332</v>
      </c>
      <c r="D18" s="5" t="s">
        <v>333</v>
      </c>
      <c r="E18" s="5" t="s">
        <v>340</v>
      </c>
      <c r="F18" s="5" t="s">
        <v>341</v>
      </c>
      <c r="G18" s="5" t="s">
        <v>44</v>
      </c>
      <c r="H18" s="5" t="s">
        <v>53</v>
      </c>
      <c r="I18" s="5" t="s">
        <v>46</v>
      </c>
      <c r="J18" s="5" t="s">
        <v>47</v>
      </c>
      <c r="K18" s="5"/>
    </row>
    <row r="19" customFormat="false" ht="15" hidden="false" customHeight="false" outlineLevel="0" collapsed="false">
      <c r="A19" s="5" t="n">
        <v>18</v>
      </c>
      <c r="B19" s="5" t="s">
        <v>331</v>
      </c>
      <c r="C19" s="5" t="s">
        <v>332</v>
      </c>
      <c r="D19" s="5" t="s">
        <v>342</v>
      </c>
      <c r="E19" s="5" t="s">
        <v>343</v>
      </c>
      <c r="F19" s="5" t="s">
        <v>344</v>
      </c>
      <c r="G19" s="5" t="s">
        <v>44</v>
      </c>
      <c r="H19" s="5" t="s">
        <v>53</v>
      </c>
      <c r="I19" s="5" t="s">
        <v>46</v>
      </c>
      <c r="J19" s="5" t="s">
        <v>47</v>
      </c>
      <c r="K19" s="5"/>
    </row>
    <row r="20" customFormat="false" ht="15" hidden="false" customHeight="false" outlineLevel="0" collapsed="false">
      <c r="A20" s="5" t="n">
        <v>19</v>
      </c>
      <c r="B20" s="5" t="s">
        <v>331</v>
      </c>
      <c r="C20" s="5" t="s">
        <v>332</v>
      </c>
      <c r="D20" s="5" t="s">
        <v>342</v>
      </c>
      <c r="E20" s="5" t="s">
        <v>345</v>
      </c>
      <c r="F20" s="5" t="s">
        <v>346</v>
      </c>
      <c r="G20" s="5" t="s">
        <v>44</v>
      </c>
      <c r="H20" s="5" t="s">
        <v>53</v>
      </c>
      <c r="I20" s="5" t="s">
        <v>46</v>
      </c>
      <c r="J20" s="5" t="s">
        <v>47</v>
      </c>
      <c r="K20" s="5"/>
    </row>
    <row r="21" customFormat="false" ht="15" hidden="false" customHeight="false" outlineLevel="0" collapsed="false">
      <c r="A21" s="5" t="n">
        <v>20</v>
      </c>
      <c r="B21" s="5" t="s">
        <v>331</v>
      </c>
      <c r="C21" s="5" t="s">
        <v>332</v>
      </c>
      <c r="D21" s="5" t="s">
        <v>342</v>
      </c>
      <c r="E21" s="5" t="s">
        <v>347</v>
      </c>
      <c r="F21" s="5" t="s">
        <v>348</v>
      </c>
      <c r="G21" s="5" t="s">
        <v>44</v>
      </c>
      <c r="H21" s="5" t="s">
        <v>45</v>
      </c>
      <c r="I21" s="5" t="s">
        <v>46</v>
      </c>
      <c r="J21" s="5" t="s">
        <v>47</v>
      </c>
      <c r="K21" s="5"/>
    </row>
    <row r="22" customFormat="false" ht="15" hidden="false" customHeight="false" outlineLevel="0" collapsed="false">
      <c r="A22" s="5" t="n">
        <v>21</v>
      </c>
      <c r="B22" s="5" t="s">
        <v>331</v>
      </c>
      <c r="C22" s="5" t="s">
        <v>332</v>
      </c>
      <c r="D22" s="5" t="s">
        <v>342</v>
      </c>
      <c r="E22" s="5" t="s">
        <v>349</v>
      </c>
      <c r="F22" s="5" t="s">
        <v>350</v>
      </c>
      <c r="G22" s="5" t="s">
        <v>44</v>
      </c>
      <c r="H22" s="5" t="s">
        <v>53</v>
      </c>
      <c r="I22" s="5" t="s">
        <v>46</v>
      </c>
      <c r="J22" s="5" t="s">
        <v>47</v>
      </c>
      <c r="K22" s="5"/>
    </row>
    <row r="23" customFormat="false" ht="15" hidden="false" customHeight="false" outlineLevel="0" collapsed="false">
      <c r="A23" s="5" t="n">
        <v>22</v>
      </c>
      <c r="B23" s="5" t="s">
        <v>331</v>
      </c>
      <c r="C23" s="5" t="s">
        <v>332</v>
      </c>
      <c r="D23" s="5" t="s">
        <v>342</v>
      </c>
      <c r="E23" s="5" t="s">
        <v>351</v>
      </c>
      <c r="F23" s="5" t="s">
        <v>352</v>
      </c>
      <c r="G23" s="5" t="s">
        <v>44</v>
      </c>
      <c r="H23" s="5" t="s">
        <v>53</v>
      </c>
      <c r="I23" s="5" t="s">
        <v>46</v>
      </c>
      <c r="J23" s="5" t="s">
        <v>47</v>
      </c>
      <c r="K23" s="5"/>
    </row>
    <row r="24" customFormat="false" ht="15" hidden="false" customHeight="false" outlineLevel="0" collapsed="false">
      <c r="A24" s="5" t="n">
        <v>23</v>
      </c>
      <c r="B24" s="5" t="s">
        <v>331</v>
      </c>
      <c r="C24" s="5" t="s">
        <v>332</v>
      </c>
      <c r="D24" s="5" t="s">
        <v>342</v>
      </c>
      <c r="E24" s="5" t="s">
        <v>353</v>
      </c>
      <c r="F24" s="5" t="s">
        <v>354</v>
      </c>
      <c r="G24" s="5" t="s">
        <v>44</v>
      </c>
      <c r="H24" s="5" t="s">
        <v>53</v>
      </c>
      <c r="I24" s="5" t="s">
        <v>46</v>
      </c>
      <c r="J24" s="5" t="s">
        <v>47</v>
      </c>
      <c r="K24" s="5"/>
    </row>
    <row r="25" customFormat="false" ht="15" hidden="false" customHeight="false" outlineLevel="0" collapsed="false">
      <c r="A25" s="5" t="n">
        <v>24</v>
      </c>
      <c r="B25" s="5" t="s">
        <v>331</v>
      </c>
      <c r="C25" s="5" t="s">
        <v>332</v>
      </c>
      <c r="D25" s="5" t="s">
        <v>342</v>
      </c>
      <c r="E25" s="5" t="s">
        <v>355</v>
      </c>
      <c r="F25" s="5" t="s">
        <v>356</v>
      </c>
      <c r="G25" s="5" t="s">
        <v>44</v>
      </c>
      <c r="H25" s="5" t="s">
        <v>53</v>
      </c>
      <c r="I25" s="5" t="s">
        <v>46</v>
      </c>
      <c r="J25" s="5" t="s">
        <v>47</v>
      </c>
      <c r="K25" s="5"/>
    </row>
    <row r="26" customFormat="false" ht="15" hidden="false" customHeight="false" outlineLevel="0" collapsed="false">
      <c r="A26" s="5" t="n">
        <v>25</v>
      </c>
      <c r="B26" s="5" t="s">
        <v>331</v>
      </c>
      <c r="C26" s="5" t="s">
        <v>332</v>
      </c>
      <c r="D26" s="5" t="s">
        <v>357</v>
      </c>
      <c r="E26" s="5" t="s">
        <v>279</v>
      </c>
      <c r="F26" s="5" t="s">
        <v>358</v>
      </c>
      <c r="G26" s="5" t="s">
        <v>44</v>
      </c>
      <c r="H26" s="5" t="s">
        <v>45</v>
      </c>
      <c r="I26" s="5" t="s">
        <v>46</v>
      </c>
      <c r="J26" s="5" t="s">
        <v>47</v>
      </c>
      <c r="K26" s="5"/>
    </row>
    <row r="27" customFormat="false" ht="15" hidden="false" customHeight="false" outlineLevel="0" collapsed="false">
      <c r="A27" s="5" t="n">
        <v>26</v>
      </c>
      <c r="B27" s="5" t="s">
        <v>331</v>
      </c>
      <c r="C27" s="5" t="s">
        <v>332</v>
      </c>
      <c r="D27" s="5" t="s">
        <v>357</v>
      </c>
      <c r="E27" s="5" t="s">
        <v>281</v>
      </c>
      <c r="F27" s="5" t="s">
        <v>359</v>
      </c>
      <c r="G27" s="5" t="s">
        <v>52</v>
      </c>
      <c r="H27" s="5" t="s">
        <v>53</v>
      </c>
      <c r="I27" s="5" t="s">
        <v>46</v>
      </c>
      <c r="J27" s="5" t="s">
        <v>47</v>
      </c>
      <c r="K27" s="5"/>
    </row>
    <row r="28" customFormat="false" ht="23.85" hidden="false" customHeight="false" outlineLevel="0" collapsed="false">
      <c r="A28" s="5" t="n">
        <v>27</v>
      </c>
      <c r="B28" s="5" t="s">
        <v>331</v>
      </c>
      <c r="C28" s="5" t="s">
        <v>332</v>
      </c>
      <c r="D28" s="5" t="s">
        <v>357</v>
      </c>
      <c r="E28" s="5" t="s">
        <v>283</v>
      </c>
      <c r="F28" s="5" t="s">
        <v>360</v>
      </c>
      <c r="G28" s="5" t="s">
        <v>52</v>
      </c>
      <c r="H28" s="5" t="s">
        <v>53</v>
      </c>
      <c r="I28" s="5" t="s">
        <v>46</v>
      </c>
      <c r="J28" s="5" t="s">
        <v>47</v>
      </c>
      <c r="K28" s="5"/>
    </row>
    <row r="29" customFormat="false" ht="15" hidden="false" customHeight="false" outlineLevel="0" collapsed="false">
      <c r="A29" s="5" t="n">
        <v>28</v>
      </c>
      <c r="B29" s="5" t="s">
        <v>331</v>
      </c>
      <c r="C29" s="5" t="s">
        <v>332</v>
      </c>
      <c r="D29" s="5" t="s">
        <v>357</v>
      </c>
      <c r="E29" s="5" t="s">
        <v>285</v>
      </c>
      <c r="F29" s="5" t="s">
        <v>361</v>
      </c>
      <c r="G29" s="5" t="s">
        <v>44</v>
      </c>
      <c r="H29" s="5" t="s">
        <v>45</v>
      </c>
      <c r="I29" s="5" t="s">
        <v>46</v>
      </c>
      <c r="J29" s="5" t="s">
        <v>47</v>
      </c>
      <c r="K29" s="5"/>
    </row>
    <row r="30" customFormat="false" ht="23.85" hidden="false" customHeight="false" outlineLevel="0" collapsed="false">
      <c r="A30" s="5" t="n">
        <v>29</v>
      </c>
      <c r="B30" s="5" t="s">
        <v>362</v>
      </c>
      <c r="C30" s="5" t="s">
        <v>363</v>
      </c>
      <c r="D30" s="5" t="s">
        <v>364</v>
      </c>
      <c r="E30" s="5" t="s">
        <v>365</v>
      </c>
      <c r="F30" s="5" t="s">
        <v>366</v>
      </c>
      <c r="G30" s="5" t="s">
        <v>44</v>
      </c>
      <c r="H30" s="5" t="s">
        <v>45</v>
      </c>
      <c r="I30" s="5" t="s">
        <v>46</v>
      </c>
      <c r="J30" s="5" t="s">
        <v>47</v>
      </c>
      <c r="K30" s="5"/>
    </row>
    <row r="31" customFormat="false" ht="23.85" hidden="false" customHeight="false" outlineLevel="0" collapsed="false">
      <c r="A31" s="5" t="n">
        <v>30</v>
      </c>
      <c r="B31" s="5" t="s">
        <v>362</v>
      </c>
      <c r="C31" s="5" t="s">
        <v>363</v>
      </c>
      <c r="D31" s="5" t="s">
        <v>364</v>
      </c>
      <c r="E31" s="5" t="s">
        <v>367</v>
      </c>
      <c r="F31" s="5" t="s">
        <v>368</v>
      </c>
      <c r="G31" s="5" t="s">
        <v>44</v>
      </c>
      <c r="H31" s="5" t="s">
        <v>45</v>
      </c>
      <c r="I31" s="5" t="s">
        <v>46</v>
      </c>
      <c r="J31" s="5" t="s">
        <v>47</v>
      </c>
      <c r="K31" s="5"/>
    </row>
    <row r="32" customFormat="false" ht="23.85" hidden="false" customHeight="false" outlineLevel="0" collapsed="false">
      <c r="A32" s="5" t="n">
        <v>31</v>
      </c>
      <c r="B32" s="5" t="s">
        <v>362</v>
      </c>
      <c r="C32" s="5" t="s">
        <v>363</v>
      </c>
      <c r="D32" s="5" t="s">
        <v>364</v>
      </c>
      <c r="E32" s="5" t="s">
        <v>369</v>
      </c>
      <c r="F32" s="5" t="s">
        <v>370</v>
      </c>
      <c r="G32" s="5" t="s">
        <v>52</v>
      </c>
      <c r="H32" s="5" t="s">
        <v>53</v>
      </c>
      <c r="I32" s="5" t="s">
        <v>46</v>
      </c>
      <c r="J32" s="7" t="s">
        <v>223</v>
      </c>
      <c r="K32" s="5" t="s">
        <v>371</v>
      </c>
    </row>
    <row r="33" customFormat="false" ht="23.85" hidden="false" customHeight="false" outlineLevel="0" collapsed="false">
      <c r="A33" s="5" t="n">
        <v>32</v>
      </c>
      <c r="B33" s="5" t="s">
        <v>362</v>
      </c>
      <c r="C33" s="5" t="s">
        <v>363</v>
      </c>
      <c r="D33" s="5" t="s">
        <v>364</v>
      </c>
      <c r="E33" s="5" t="s">
        <v>372</v>
      </c>
      <c r="F33" s="5" t="s">
        <v>373</v>
      </c>
      <c r="G33" s="5" t="s">
        <v>44</v>
      </c>
      <c r="H33" s="5" t="s">
        <v>45</v>
      </c>
      <c r="I33" s="5" t="s">
        <v>46</v>
      </c>
      <c r="J33" s="5" t="s">
        <v>47</v>
      </c>
      <c r="K33" s="5"/>
    </row>
    <row r="34" customFormat="false" ht="23.85" hidden="false" customHeight="false" outlineLevel="0" collapsed="false">
      <c r="A34" s="5" t="n">
        <v>33</v>
      </c>
      <c r="B34" s="5" t="s">
        <v>362</v>
      </c>
      <c r="C34" s="5" t="s">
        <v>363</v>
      </c>
      <c r="D34" s="5" t="s">
        <v>364</v>
      </c>
      <c r="E34" s="5" t="s">
        <v>374</v>
      </c>
      <c r="F34" s="5" t="s">
        <v>375</v>
      </c>
      <c r="G34" s="5" t="s">
        <v>52</v>
      </c>
      <c r="H34" s="5" t="s">
        <v>53</v>
      </c>
      <c r="I34" s="5" t="s">
        <v>46</v>
      </c>
      <c r="J34" s="5" t="s">
        <v>47</v>
      </c>
      <c r="K34" s="5"/>
    </row>
    <row r="35" customFormat="false" ht="23.85" hidden="false" customHeight="false" outlineLevel="0" collapsed="false">
      <c r="A35" s="5" t="n">
        <v>34</v>
      </c>
      <c r="B35" s="5" t="s">
        <v>362</v>
      </c>
      <c r="C35" s="5" t="s">
        <v>363</v>
      </c>
      <c r="D35" s="5" t="s">
        <v>364</v>
      </c>
      <c r="E35" s="5" t="s">
        <v>376</v>
      </c>
      <c r="F35" s="5" t="s">
        <v>377</v>
      </c>
      <c r="G35" s="5" t="s">
        <v>52</v>
      </c>
      <c r="H35" s="5" t="s">
        <v>53</v>
      </c>
      <c r="I35" s="5" t="s">
        <v>46</v>
      </c>
      <c r="J35" s="5" t="s">
        <v>47</v>
      </c>
      <c r="K35" s="5"/>
    </row>
    <row r="36" customFormat="false" ht="23.85" hidden="false" customHeight="false" outlineLevel="0" collapsed="false">
      <c r="A36" s="5" t="n">
        <v>35</v>
      </c>
      <c r="B36" s="5" t="s">
        <v>362</v>
      </c>
      <c r="C36" s="5" t="s">
        <v>363</v>
      </c>
      <c r="D36" s="5" t="s">
        <v>364</v>
      </c>
      <c r="E36" s="5" t="s">
        <v>378</v>
      </c>
      <c r="F36" s="5" t="s">
        <v>379</v>
      </c>
      <c r="G36" s="5" t="s">
        <v>52</v>
      </c>
      <c r="H36" s="5" t="s">
        <v>53</v>
      </c>
      <c r="I36" s="5" t="s">
        <v>46</v>
      </c>
      <c r="J36" s="5" t="s">
        <v>47</v>
      </c>
      <c r="K36" s="5"/>
    </row>
    <row r="37" customFormat="false" ht="23.85" hidden="false" customHeight="false" outlineLevel="0" collapsed="false">
      <c r="A37" s="5" t="n">
        <v>36</v>
      </c>
      <c r="B37" s="5" t="s">
        <v>362</v>
      </c>
      <c r="C37" s="5" t="s">
        <v>363</v>
      </c>
      <c r="D37" s="5" t="s">
        <v>364</v>
      </c>
      <c r="E37" s="5" t="s">
        <v>380</v>
      </c>
      <c r="F37" s="5" t="s">
        <v>381</v>
      </c>
      <c r="G37" s="5" t="s">
        <v>52</v>
      </c>
      <c r="H37" s="5" t="s">
        <v>53</v>
      </c>
      <c r="I37" s="5" t="s">
        <v>46</v>
      </c>
      <c r="J37" s="5" t="s">
        <v>47</v>
      </c>
      <c r="K37" s="5"/>
    </row>
    <row r="38" customFormat="false" ht="23.85" hidden="false" customHeight="false" outlineLevel="0" collapsed="false">
      <c r="A38" s="5" t="n">
        <v>37</v>
      </c>
      <c r="B38" s="5" t="s">
        <v>362</v>
      </c>
      <c r="C38" s="5" t="s">
        <v>363</v>
      </c>
      <c r="D38" s="5" t="s">
        <v>364</v>
      </c>
      <c r="E38" s="5" t="s">
        <v>382</v>
      </c>
      <c r="F38" s="5" t="s">
        <v>383</v>
      </c>
      <c r="G38" s="5" t="s">
        <v>52</v>
      </c>
      <c r="H38" s="5" t="s">
        <v>53</v>
      </c>
      <c r="I38" s="5" t="s">
        <v>46</v>
      </c>
      <c r="J38" s="5" t="s">
        <v>47</v>
      </c>
      <c r="K38" s="5"/>
    </row>
    <row r="39" customFormat="false" ht="35.05" hidden="false" customHeight="false" outlineLevel="0" collapsed="false">
      <c r="A39" s="5" t="n">
        <v>38</v>
      </c>
      <c r="B39" s="5" t="s">
        <v>362</v>
      </c>
      <c r="C39" s="5" t="s">
        <v>363</v>
      </c>
      <c r="D39" s="5" t="s">
        <v>384</v>
      </c>
      <c r="E39" s="5" t="s">
        <v>385</v>
      </c>
      <c r="F39" s="5" t="s">
        <v>386</v>
      </c>
      <c r="G39" s="5" t="s">
        <v>44</v>
      </c>
      <c r="H39" s="5" t="s">
        <v>45</v>
      </c>
      <c r="I39" s="5" t="s">
        <v>46</v>
      </c>
      <c r="J39" s="5" t="s">
        <v>47</v>
      </c>
      <c r="K39" s="5"/>
    </row>
    <row r="40" customFormat="false" ht="35.05" hidden="false" customHeight="false" outlineLevel="0" collapsed="false">
      <c r="A40" s="5" t="n">
        <v>39</v>
      </c>
      <c r="B40" s="5" t="s">
        <v>362</v>
      </c>
      <c r="C40" s="5" t="s">
        <v>363</v>
      </c>
      <c r="D40" s="5" t="s">
        <v>384</v>
      </c>
      <c r="E40" s="5" t="s">
        <v>387</v>
      </c>
      <c r="F40" s="5" t="s">
        <v>388</v>
      </c>
      <c r="G40" s="5" t="s">
        <v>44</v>
      </c>
      <c r="H40" s="5" t="s">
        <v>45</v>
      </c>
      <c r="I40" s="5" t="s">
        <v>46</v>
      </c>
      <c r="J40" s="5" t="s">
        <v>47</v>
      </c>
      <c r="K40" s="5"/>
    </row>
    <row r="41" customFormat="false" ht="35.05" hidden="false" customHeight="false" outlineLevel="0" collapsed="false">
      <c r="A41" s="5" t="n">
        <v>40</v>
      </c>
      <c r="B41" s="5" t="s">
        <v>362</v>
      </c>
      <c r="C41" s="5" t="s">
        <v>363</v>
      </c>
      <c r="D41" s="5" t="s">
        <v>384</v>
      </c>
      <c r="E41" s="5" t="s">
        <v>389</v>
      </c>
      <c r="F41" s="5" t="s">
        <v>390</v>
      </c>
      <c r="G41" s="5" t="s">
        <v>44</v>
      </c>
      <c r="H41" s="5" t="s">
        <v>45</v>
      </c>
      <c r="I41" s="5" t="s">
        <v>46</v>
      </c>
      <c r="J41" s="5" t="s">
        <v>47</v>
      </c>
      <c r="K41" s="5"/>
    </row>
    <row r="42" customFormat="false" ht="35.05" hidden="false" customHeight="false" outlineLevel="0" collapsed="false">
      <c r="A42" s="5" t="n">
        <v>41</v>
      </c>
      <c r="B42" s="5" t="s">
        <v>362</v>
      </c>
      <c r="C42" s="5" t="s">
        <v>363</v>
      </c>
      <c r="D42" s="5" t="s">
        <v>384</v>
      </c>
      <c r="E42" s="5" t="s">
        <v>391</v>
      </c>
      <c r="F42" s="5" t="s">
        <v>392</v>
      </c>
      <c r="G42" s="5" t="s">
        <v>44</v>
      </c>
      <c r="H42" s="5" t="s">
        <v>45</v>
      </c>
      <c r="I42" s="5" t="s">
        <v>46</v>
      </c>
      <c r="J42" s="5" t="s">
        <v>47</v>
      </c>
      <c r="K42" s="5"/>
    </row>
    <row r="43" customFormat="false" ht="35.05" hidden="false" customHeight="false" outlineLevel="0" collapsed="false">
      <c r="A43" s="5" t="n">
        <v>42</v>
      </c>
      <c r="B43" s="5" t="s">
        <v>362</v>
      </c>
      <c r="C43" s="5" t="s">
        <v>363</v>
      </c>
      <c r="D43" s="5" t="s">
        <v>384</v>
      </c>
      <c r="E43" s="5" t="s">
        <v>393</v>
      </c>
      <c r="F43" s="5" t="s">
        <v>394</v>
      </c>
      <c r="G43" s="5" t="s">
        <v>44</v>
      </c>
      <c r="H43" s="5" t="s">
        <v>45</v>
      </c>
      <c r="I43" s="5" t="s">
        <v>46</v>
      </c>
      <c r="J43" s="5" t="s">
        <v>47</v>
      </c>
      <c r="K43" s="5"/>
    </row>
    <row r="44" customFormat="false" ht="35.05" hidden="false" customHeight="false" outlineLevel="0" collapsed="false">
      <c r="A44" s="5" t="n">
        <v>43</v>
      </c>
      <c r="B44" s="5" t="s">
        <v>362</v>
      </c>
      <c r="C44" s="5" t="s">
        <v>363</v>
      </c>
      <c r="D44" s="5" t="s">
        <v>384</v>
      </c>
      <c r="E44" s="5" t="s">
        <v>395</v>
      </c>
      <c r="F44" s="5" t="s">
        <v>396</v>
      </c>
      <c r="G44" s="5" t="s">
        <v>44</v>
      </c>
      <c r="H44" s="5" t="s">
        <v>45</v>
      </c>
      <c r="I44" s="5" t="s">
        <v>46</v>
      </c>
      <c r="J44" s="5" t="s">
        <v>47</v>
      </c>
      <c r="K44" s="5"/>
    </row>
    <row r="45" customFormat="false" ht="35.05" hidden="false" customHeight="false" outlineLevel="0" collapsed="false">
      <c r="A45" s="5" t="n">
        <v>44</v>
      </c>
      <c r="B45" s="5" t="s">
        <v>362</v>
      </c>
      <c r="C45" s="5" t="s">
        <v>363</v>
      </c>
      <c r="D45" s="5" t="s">
        <v>384</v>
      </c>
      <c r="E45" s="5" t="s">
        <v>397</v>
      </c>
      <c r="F45" s="5" t="s">
        <v>398</v>
      </c>
      <c r="G45" s="5" t="s">
        <v>44</v>
      </c>
      <c r="H45" s="5" t="s">
        <v>45</v>
      </c>
      <c r="I45" s="5" t="s">
        <v>46</v>
      </c>
      <c r="J45" s="5" t="s">
        <v>47</v>
      </c>
      <c r="K45" s="5"/>
    </row>
    <row r="46" customFormat="false" ht="35.05" hidden="false" customHeight="false" outlineLevel="0" collapsed="false">
      <c r="A46" s="5" t="n">
        <v>45</v>
      </c>
      <c r="B46" s="5" t="s">
        <v>362</v>
      </c>
      <c r="C46" s="5" t="s">
        <v>363</v>
      </c>
      <c r="D46" s="5" t="s">
        <v>384</v>
      </c>
      <c r="E46" s="5" t="s">
        <v>399</v>
      </c>
      <c r="F46" s="5" t="s">
        <v>400</v>
      </c>
      <c r="G46" s="5" t="s">
        <v>44</v>
      </c>
      <c r="H46" s="5" t="s">
        <v>45</v>
      </c>
      <c r="I46" s="5" t="s">
        <v>46</v>
      </c>
      <c r="J46" s="5" t="s">
        <v>47</v>
      </c>
      <c r="K46" s="5"/>
    </row>
    <row r="47" customFormat="false" ht="35.05" hidden="false" customHeight="false" outlineLevel="0" collapsed="false">
      <c r="A47" s="5" t="n">
        <v>46</v>
      </c>
      <c r="B47" s="5" t="s">
        <v>362</v>
      </c>
      <c r="C47" s="5" t="s">
        <v>363</v>
      </c>
      <c r="D47" s="5" t="s">
        <v>384</v>
      </c>
      <c r="E47" s="5" t="s">
        <v>401</v>
      </c>
      <c r="F47" s="5" t="s">
        <v>402</v>
      </c>
      <c r="G47" s="5" t="s">
        <v>44</v>
      </c>
      <c r="H47" s="5" t="s">
        <v>45</v>
      </c>
      <c r="I47" s="5" t="s">
        <v>46</v>
      </c>
      <c r="J47" s="5" t="s">
        <v>47</v>
      </c>
      <c r="K47" s="5"/>
    </row>
    <row r="48" customFormat="false" ht="35.05" hidden="false" customHeight="false" outlineLevel="0" collapsed="false">
      <c r="A48" s="5" t="n">
        <v>47</v>
      </c>
      <c r="B48" s="5" t="s">
        <v>362</v>
      </c>
      <c r="C48" s="5" t="s">
        <v>363</v>
      </c>
      <c r="D48" s="5" t="s">
        <v>384</v>
      </c>
      <c r="E48" s="5" t="s">
        <v>403</v>
      </c>
      <c r="F48" s="5" t="s">
        <v>404</v>
      </c>
      <c r="G48" s="5" t="s">
        <v>44</v>
      </c>
      <c r="H48" s="5" t="s">
        <v>45</v>
      </c>
      <c r="I48" s="5" t="s">
        <v>46</v>
      </c>
      <c r="J48" s="5" t="s">
        <v>47</v>
      </c>
      <c r="K48" s="5"/>
    </row>
    <row r="49" customFormat="false" ht="35.05" hidden="false" customHeight="false" outlineLevel="0" collapsed="false">
      <c r="A49" s="5" t="n">
        <v>48</v>
      </c>
      <c r="B49" s="5" t="s">
        <v>362</v>
      </c>
      <c r="C49" s="5" t="s">
        <v>363</v>
      </c>
      <c r="D49" s="5" t="s">
        <v>384</v>
      </c>
      <c r="E49" s="5" t="s">
        <v>405</v>
      </c>
      <c r="F49" s="5" t="s">
        <v>406</v>
      </c>
      <c r="G49" s="5" t="s">
        <v>44</v>
      </c>
      <c r="H49" s="5" t="s">
        <v>45</v>
      </c>
      <c r="I49" s="5" t="s">
        <v>46</v>
      </c>
      <c r="J49" s="5" t="s">
        <v>47</v>
      </c>
      <c r="K49" s="5"/>
    </row>
    <row r="50" customFormat="false" ht="23.85" hidden="false" customHeight="false" outlineLevel="0" collapsed="false">
      <c r="A50" s="5" t="n">
        <v>49</v>
      </c>
      <c r="B50" s="5" t="s">
        <v>362</v>
      </c>
      <c r="C50" s="5" t="s">
        <v>363</v>
      </c>
      <c r="D50" s="5" t="s">
        <v>407</v>
      </c>
      <c r="E50" s="5" t="s">
        <v>408</v>
      </c>
      <c r="F50" s="5" t="s">
        <v>409</v>
      </c>
      <c r="G50" s="5" t="s">
        <v>52</v>
      </c>
      <c r="H50" s="5" t="s">
        <v>45</v>
      </c>
      <c r="I50" s="5" t="s">
        <v>46</v>
      </c>
      <c r="J50" s="5" t="s">
        <v>47</v>
      </c>
      <c r="K50" s="5"/>
    </row>
    <row r="51" customFormat="false" ht="23.85" hidden="false" customHeight="false" outlineLevel="0" collapsed="false">
      <c r="A51" s="5" t="n">
        <v>50</v>
      </c>
      <c r="B51" s="5" t="s">
        <v>362</v>
      </c>
      <c r="C51" s="5" t="s">
        <v>363</v>
      </c>
      <c r="D51" s="5" t="s">
        <v>410</v>
      </c>
      <c r="E51" s="5" t="s">
        <v>411</v>
      </c>
      <c r="F51" s="5" t="s">
        <v>412</v>
      </c>
      <c r="G51" s="5" t="s">
        <v>44</v>
      </c>
      <c r="H51" s="5" t="s">
        <v>53</v>
      </c>
      <c r="I51" s="5" t="s">
        <v>46</v>
      </c>
      <c r="J51" s="5" t="s">
        <v>47</v>
      </c>
      <c r="K51" s="5"/>
    </row>
    <row r="52" customFormat="false" ht="23.85" hidden="false" customHeight="false" outlineLevel="0" collapsed="false">
      <c r="A52" s="5" t="n">
        <v>51</v>
      </c>
      <c r="B52" s="5" t="s">
        <v>362</v>
      </c>
      <c r="C52" s="5" t="s">
        <v>363</v>
      </c>
      <c r="D52" s="5" t="s">
        <v>410</v>
      </c>
      <c r="E52" s="5" t="s">
        <v>413</v>
      </c>
      <c r="F52" s="5" t="s">
        <v>414</v>
      </c>
      <c r="G52" s="5" t="s">
        <v>52</v>
      </c>
      <c r="H52" s="5" t="s">
        <v>53</v>
      </c>
      <c r="I52" s="5" t="s">
        <v>46</v>
      </c>
      <c r="J52" s="5" t="s">
        <v>47</v>
      </c>
      <c r="K52" s="5"/>
    </row>
    <row r="53" customFormat="false" ht="23.85" hidden="false" customHeight="false" outlineLevel="0" collapsed="false">
      <c r="A53" s="5" t="n">
        <v>52</v>
      </c>
      <c r="B53" s="5" t="s">
        <v>362</v>
      </c>
      <c r="C53" s="5" t="s">
        <v>415</v>
      </c>
      <c r="D53" s="5" t="s">
        <v>416</v>
      </c>
      <c r="E53" s="5" t="s">
        <v>294</v>
      </c>
      <c r="F53" s="5" t="s">
        <v>417</v>
      </c>
      <c r="G53" s="5" t="s">
        <v>52</v>
      </c>
      <c r="H53" s="5" t="s">
        <v>53</v>
      </c>
      <c r="I53" s="5" t="s">
        <v>46</v>
      </c>
      <c r="J53" s="5" t="s">
        <v>47</v>
      </c>
      <c r="K53" s="5"/>
    </row>
    <row r="54" customFormat="false" ht="15" hidden="false" customHeight="false" outlineLevel="0" collapsed="false">
      <c r="A54" s="5" t="n">
        <v>53</v>
      </c>
      <c r="B54" s="5" t="s">
        <v>418</v>
      </c>
      <c r="C54" s="5" t="s">
        <v>451</v>
      </c>
      <c r="D54" s="5" t="s">
        <v>420</v>
      </c>
      <c r="E54" s="5" t="s">
        <v>452</v>
      </c>
      <c r="F54" s="5" t="s">
        <v>453</v>
      </c>
      <c r="G54" s="5" t="s">
        <v>44</v>
      </c>
      <c r="H54" s="5" t="s">
        <v>45</v>
      </c>
      <c r="I54" s="5" t="s">
        <v>46</v>
      </c>
      <c r="J54" s="5" t="s">
        <v>47</v>
      </c>
      <c r="K54" s="5"/>
    </row>
    <row r="55" customFormat="false" ht="15" hidden="false" customHeight="false" outlineLevel="0" collapsed="false">
      <c r="A55" s="5" t="n">
        <v>54</v>
      </c>
      <c r="B55" s="5" t="s">
        <v>418</v>
      </c>
      <c r="C55" s="5" t="s">
        <v>451</v>
      </c>
      <c r="D55" s="5" t="s">
        <v>420</v>
      </c>
      <c r="E55" s="5" t="s">
        <v>454</v>
      </c>
      <c r="F55" s="5" t="s">
        <v>455</v>
      </c>
      <c r="G55" s="5" t="s">
        <v>44</v>
      </c>
      <c r="H55" s="5" t="s">
        <v>45</v>
      </c>
      <c r="I55" s="5" t="s">
        <v>46</v>
      </c>
      <c r="J55" s="5" t="s">
        <v>47</v>
      </c>
      <c r="K55" s="5"/>
    </row>
    <row r="56" customFormat="false" ht="15" hidden="false" customHeight="false" outlineLevel="0" collapsed="false">
      <c r="A56" s="5" t="n">
        <v>55</v>
      </c>
      <c r="B56" s="5" t="s">
        <v>418</v>
      </c>
      <c r="C56" s="5" t="s">
        <v>451</v>
      </c>
      <c r="D56" s="5" t="s">
        <v>420</v>
      </c>
      <c r="E56" s="5" t="s">
        <v>456</v>
      </c>
      <c r="F56" s="5" t="s">
        <v>457</v>
      </c>
      <c r="G56" s="5" t="s">
        <v>44</v>
      </c>
      <c r="H56" s="5" t="s">
        <v>45</v>
      </c>
      <c r="I56" s="5" t="s">
        <v>46</v>
      </c>
      <c r="J56" s="5" t="s">
        <v>47</v>
      </c>
      <c r="K56" s="5"/>
    </row>
    <row r="57" customFormat="false" ht="15" hidden="false" customHeight="false" outlineLevel="0" collapsed="false">
      <c r="A57" s="5" t="n">
        <v>56</v>
      </c>
      <c r="B57" s="5" t="s">
        <v>418</v>
      </c>
      <c r="C57" s="5" t="s">
        <v>451</v>
      </c>
      <c r="D57" s="5" t="s">
        <v>420</v>
      </c>
      <c r="E57" s="5" t="s">
        <v>458</v>
      </c>
      <c r="F57" s="5" t="s">
        <v>459</v>
      </c>
      <c r="G57" s="5" t="s">
        <v>44</v>
      </c>
      <c r="H57" s="5" t="s">
        <v>45</v>
      </c>
      <c r="I57" s="5" t="s">
        <v>46</v>
      </c>
      <c r="J57" s="5" t="s">
        <v>47</v>
      </c>
      <c r="K57" s="5"/>
    </row>
    <row r="58" customFormat="false" ht="15" hidden="false" customHeight="false" outlineLevel="0" collapsed="false">
      <c r="A58" s="5" t="n">
        <v>57</v>
      </c>
      <c r="B58" s="5" t="s">
        <v>418</v>
      </c>
      <c r="C58" s="5" t="s">
        <v>438</v>
      </c>
      <c r="D58" s="5" t="s">
        <v>420</v>
      </c>
      <c r="E58" s="5" t="s">
        <v>439</v>
      </c>
      <c r="F58" s="5" t="s">
        <v>440</v>
      </c>
      <c r="G58" s="5" t="s">
        <v>52</v>
      </c>
      <c r="H58" s="5" t="s">
        <v>45</v>
      </c>
      <c r="I58" s="5" t="s">
        <v>46</v>
      </c>
      <c r="J58" s="5" t="s">
        <v>47</v>
      </c>
      <c r="K58" s="5"/>
    </row>
    <row r="59" customFormat="false" ht="15" hidden="false" customHeight="false" outlineLevel="0" collapsed="false">
      <c r="A59" s="5" t="n">
        <v>58</v>
      </c>
      <c r="B59" s="5" t="s">
        <v>418</v>
      </c>
      <c r="C59" s="5" t="s">
        <v>438</v>
      </c>
      <c r="D59" s="5" t="s">
        <v>420</v>
      </c>
      <c r="E59" s="5" t="s">
        <v>441</v>
      </c>
      <c r="F59" s="5" t="s">
        <v>442</v>
      </c>
      <c r="G59" s="5" t="s">
        <v>52</v>
      </c>
      <c r="H59" s="5" t="s">
        <v>45</v>
      </c>
      <c r="I59" s="5" t="s">
        <v>46</v>
      </c>
      <c r="J59" s="5" t="s">
        <v>47</v>
      </c>
      <c r="K59" s="5"/>
    </row>
    <row r="60" customFormat="false" ht="15" hidden="false" customHeight="false" outlineLevel="0" collapsed="false">
      <c r="A60" s="5" t="n">
        <v>59</v>
      </c>
      <c r="B60" s="5" t="s">
        <v>418</v>
      </c>
      <c r="C60" s="5" t="s">
        <v>445</v>
      </c>
      <c r="D60" s="5" t="s">
        <v>420</v>
      </c>
      <c r="E60" s="5" t="s">
        <v>446</v>
      </c>
      <c r="F60" s="5" t="s">
        <v>447</v>
      </c>
      <c r="G60" s="5" t="s">
        <v>44</v>
      </c>
      <c r="H60" s="5" t="s">
        <v>53</v>
      </c>
      <c r="I60" s="5" t="s">
        <v>46</v>
      </c>
      <c r="J60" s="5" t="s">
        <v>47</v>
      </c>
      <c r="K60" s="5"/>
    </row>
    <row r="61" customFormat="false" ht="15" hidden="false" customHeight="false" outlineLevel="0" collapsed="false">
      <c r="A61" s="5" t="n">
        <v>60</v>
      </c>
      <c r="B61" s="5" t="s">
        <v>418</v>
      </c>
      <c r="C61" s="5" t="s">
        <v>438</v>
      </c>
      <c r="D61" s="5" t="s">
        <v>420</v>
      </c>
      <c r="E61" s="5" t="s">
        <v>443</v>
      </c>
      <c r="F61" s="5" t="s">
        <v>444</v>
      </c>
      <c r="G61" s="5" t="s">
        <v>52</v>
      </c>
      <c r="H61" s="5" t="s">
        <v>45</v>
      </c>
      <c r="I61" s="5" t="s">
        <v>46</v>
      </c>
      <c r="J61" s="5" t="s">
        <v>47</v>
      </c>
      <c r="K61" s="5"/>
    </row>
    <row r="62" customFormat="false" ht="23.85" hidden="false" customHeight="false" outlineLevel="0" collapsed="false">
      <c r="A62" s="5" t="n">
        <v>61</v>
      </c>
      <c r="B62" s="5" t="s">
        <v>418</v>
      </c>
      <c r="C62" s="5" t="s">
        <v>448</v>
      </c>
      <c r="D62" s="5" t="s">
        <v>420</v>
      </c>
      <c r="E62" s="5" t="s">
        <v>449</v>
      </c>
      <c r="F62" s="5" t="s">
        <v>450</v>
      </c>
      <c r="G62" s="5" t="s">
        <v>52</v>
      </c>
      <c r="H62" s="5" t="s">
        <v>45</v>
      </c>
      <c r="I62" s="5" t="s">
        <v>46</v>
      </c>
      <c r="J62" s="5" t="s">
        <v>47</v>
      </c>
      <c r="K62" s="5"/>
    </row>
    <row r="63" customFormat="false" ht="15" hidden="false" customHeight="false" outlineLevel="0" collapsed="false">
      <c r="A63" s="5" t="n">
        <v>62</v>
      </c>
      <c r="B63" s="5" t="s">
        <v>418</v>
      </c>
      <c r="C63" s="5" t="s">
        <v>419</v>
      </c>
      <c r="D63" s="5" t="s">
        <v>420</v>
      </c>
      <c r="E63" s="5" t="s">
        <v>421</v>
      </c>
      <c r="F63" s="5" t="s">
        <v>422</v>
      </c>
      <c r="G63" s="5" t="s">
        <v>52</v>
      </c>
      <c r="H63" s="5" t="s">
        <v>45</v>
      </c>
      <c r="I63" s="5" t="s">
        <v>46</v>
      </c>
      <c r="J63" s="5" t="s">
        <v>47</v>
      </c>
      <c r="K63" s="5"/>
    </row>
    <row r="64" customFormat="false" ht="15" hidden="false" customHeight="false" outlineLevel="0" collapsed="false">
      <c r="A64" s="5" t="n">
        <v>63</v>
      </c>
      <c r="B64" s="5" t="s">
        <v>418</v>
      </c>
      <c r="C64" s="5" t="s">
        <v>451</v>
      </c>
      <c r="D64" s="5" t="s">
        <v>420</v>
      </c>
      <c r="E64" s="5" t="s">
        <v>460</v>
      </c>
      <c r="F64" s="5" t="s">
        <v>461</v>
      </c>
      <c r="G64" s="5" t="s">
        <v>44</v>
      </c>
      <c r="H64" s="5" t="s">
        <v>45</v>
      </c>
      <c r="I64" s="5" t="s">
        <v>46</v>
      </c>
      <c r="J64" s="5" t="s">
        <v>47</v>
      </c>
      <c r="K64" s="5"/>
    </row>
    <row r="65" customFormat="false" ht="23.85" hidden="false" customHeight="false" outlineLevel="0" collapsed="false">
      <c r="A65" s="5" t="n">
        <v>64</v>
      </c>
      <c r="B65" s="5" t="s">
        <v>418</v>
      </c>
      <c r="C65" s="5" t="s">
        <v>419</v>
      </c>
      <c r="D65" s="5" t="s">
        <v>420</v>
      </c>
      <c r="E65" s="5" t="s">
        <v>423</v>
      </c>
      <c r="F65" s="5" t="s">
        <v>424</v>
      </c>
      <c r="G65" s="5" t="s">
        <v>44</v>
      </c>
      <c r="H65" s="5" t="s">
        <v>45</v>
      </c>
      <c r="I65" s="5" t="s">
        <v>46</v>
      </c>
      <c r="J65" s="5" t="s">
        <v>47</v>
      </c>
      <c r="K65" s="5"/>
    </row>
    <row r="66" customFormat="false" ht="15" hidden="false" customHeight="false" outlineLevel="0" collapsed="false">
      <c r="A66" s="5" t="n">
        <v>65</v>
      </c>
      <c r="B66" s="5" t="s">
        <v>418</v>
      </c>
      <c r="C66" s="5" t="s">
        <v>419</v>
      </c>
      <c r="D66" s="5" t="s">
        <v>420</v>
      </c>
      <c r="E66" s="5" t="s">
        <v>425</v>
      </c>
      <c r="F66" s="5" t="s">
        <v>426</v>
      </c>
      <c r="G66" s="5" t="s">
        <v>44</v>
      </c>
      <c r="H66" s="5" t="s">
        <v>45</v>
      </c>
      <c r="I66" s="5" t="s">
        <v>46</v>
      </c>
      <c r="J66" s="5" t="s">
        <v>47</v>
      </c>
      <c r="K66" s="5"/>
    </row>
    <row r="67" customFormat="false" ht="23.85" hidden="false" customHeight="false" outlineLevel="0" collapsed="false">
      <c r="A67" s="5" t="n">
        <v>66</v>
      </c>
      <c r="B67" s="5" t="s">
        <v>418</v>
      </c>
      <c r="C67" s="5" t="s">
        <v>419</v>
      </c>
      <c r="D67" s="5" t="s">
        <v>420</v>
      </c>
      <c r="E67" s="5" t="s">
        <v>427</v>
      </c>
      <c r="F67" s="5" t="s">
        <v>428</v>
      </c>
      <c r="G67" s="5" t="s">
        <v>52</v>
      </c>
      <c r="H67" s="5" t="s">
        <v>45</v>
      </c>
      <c r="I67" s="5" t="s">
        <v>46</v>
      </c>
      <c r="J67" s="5" t="s">
        <v>47</v>
      </c>
      <c r="K67" s="5"/>
    </row>
    <row r="68" customFormat="false" ht="23.85" hidden="false" customHeight="false" outlineLevel="0" collapsed="false">
      <c r="A68" s="5" t="n">
        <v>67</v>
      </c>
      <c r="B68" s="5" t="s">
        <v>418</v>
      </c>
      <c r="C68" s="5" t="s">
        <v>419</v>
      </c>
      <c r="D68" s="5" t="s">
        <v>420</v>
      </c>
      <c r="E68" s="5" t="s">
        <v>429</v>
      </c>
      <c r="F68" s="5" t="s">
        <v>430</v>
      </c>
      <c r="G68" s="5" t="s">
        <v>52</v>
      </c>
      <c r="H68" s="5" t="s">
        <v>45</v>
      </c>
      <c r="I68" s="5" t="s">
        <v>46</v>
      </c>
      <c r="J68" s="5" t="s">
        <v>47</v>
      </c>
      <c r="K68" s="5"/>
    </row>
    <row r="69" customFormat="false" ht="23.85" hidden="false" customHeight="false" outlineLevel="0" collapsed="false">
      <c r="A69" s="5" t="n">
        <v>68</v>
      </c>
      <c r="B69" s="5" t="s">
        <v>418</v>
      </c>
      <c r="C69" s="5" t="s">
        <v>435</v>
      </c>
      <c r="D69" s="5" t="s">
        <v>420</v>
      </c>
      <c r="E69" s="5" t="s">
        <v>436</v>
      </c>
      <c r="F69" s="5" t="s">
        <v>437</v>
      </c>
      <c r="G69" s="5" t="s">
        <v>52</v>
      </c>
      <c r="H69" s="5" t="s">
        <v>53</v>
      </c>
      <c r="I69" s="5" t="s">
        <v>46</v>
      </c>
      <c r="J69" s="5" t="s">
        <v>47</v>
      </c>
      <c r="K69" s="5"/>
    </row>
    <row r="70" customFormat="false" ht="35.05" hidden="false" customHeight="false" outlineLevel="0" collapsed="false">
      <c r="A70" s="5" t="n">
        <v>69</v>
      </c>
      <c r="B70" s="5" t="s">
        <v>462</v>
      </c>
      <c r="C70" s="5" t="s">
        <v>491</v>
      </c>
      <c r="D70" s="5" t="s">
        <v>492</v>
      </c>
      <c r="E70" s="5" t="s">
        <v>493</v>
      </c>
      <c r="F70" s="5" t="s">
        <v>494</v>
      </c>
      <c r="G70" s="5" t="s">
        <v>52</v>
      </c>
      <c r="H70" s="5" t="s">
        <v>45</v>
      </c>
      <c r="I70" s="5" t="s">
        <v>46</v>
      </c>
      <c r="J70" s="5" t="s">
        <v>47</v>
      </c>
      <c r="K70" s="5"/>
    </row>
    <row r="71" customFormat="false" ht="23.85" hidden="false" customHeight="false" outlineLevel="0" collapsed="false">
      <c r="A71" s="5" t="n">
        <v>70</v>
      </c>
      <c r="B71" s="5" t="s">
        <v>462</v>
      </c>
      <c r="C71" s="5" t="s">
        <v>491</v>
      </c>
      <c r="D71" s="5" t="s">
        <v>495</v>
      </c>
      <c r="E71" s="5" t="s">
        <v>496</v>
      </c>
      <c r="F71" s="5" t="s">
        <v>497</v>
      </c>
      <c r="G71" s="5" t="s">
        <v>52</v>
      </c>
      <c r="H71" s="5" t="s">
        <v>45</v>
      </c>
      <c r="I71" s="5" t="s">
        <v>46</v>
      </c>
      <c r="J71" s="5" t="s">
        <v>47</v>
      </c>
      <c r="K71" s="5"/>
    </row>
    <row r="72" customFormat="false" ht="23.85" hidden="false" customHeight="false" outlineLevel="0" collapsed="false">
      <c r="A72" s="5" t="n">
        <v>71</v>
      </c>
      <c r="B72" s="5" t="s">
        <v>462</v>
      </c>
      <c r="C72" s="5" t="s">
        <v>491</v>
      </c>
      <c r="D72" s="5" t="s">
        <v>498</v>
      </c>
      <c r="E72" s="5" t="s">
        <v>499</v>
      </c>
      <c r="F72" s="5" t="s">
        <v>500</v>
      </c>
      <c r="G72" s="5" t="s">
        <v>52</v>
      </c>
      <c r="H72" s="5" t="s">
        <v>45</v>
      </c>
      <c r="I72" s="5" t="s">
        <v>46</v>
      </c>
      <c r="J72" s="5" t="s">
        <v>47</v>
      </c>
      <c r="K72" s="5"/>
    </row>
    <row r="73" customFormat="false" ht="23.85" hidden="false" customHeight="false" outlineLevel="0" collapsed="false">
      <c r="A73" s="5" t="n">
        <v>72</v>
      </c>
      <c r="B73" s="5" t="s">
        <v>462</v>
      </c>
      <c r="C73" s="5" t="s">
        <v>491</v>
      </c>
      <c r="D73" s="5" t="s">
        <v>498</v>
      </c>
      <c r="E73" s="5" t="s">
        <v>501</v>
      </c>
      <c r="F73" s="5" t="s">
        <v>502</v>
      </c>
      <c r="G73" s="5" t="s">
        <v>52</v>
      </c>
      <c r="H73" s="5" t="s">
        <v>53</v>
      </c>
      <c r="I73" s="5" t="s">
        <v>46</v>
      </c>
      <c r="J73" s="5" t="s">
        <v>47</v>
      </c>
      <c r="K73" s="5"/>
    </row>
    <row r="74" customFormat="false" ht="23.85" hidden="false" customHeight="false" outlineLevel="0" collapsed="false">
      <c r="A74" s="5" t="n">
        <v>73</v>
      </c>
      <c r="B74" s="5" t="s">
        <v>462</v>
      </c>
      <c r="C74" s="5" t="s">
        <v>491</v>
      </c>
      <c r="D74" s="5" t="s">
        <v>498</v>
      </c>
      <c r="E74" s="5" t="s">
        <v>503</v>
      </c>
      <c r="F74" s="5" t="s">
        <v>504</v>
      </c>
      <c r="G74" s="5" t="s">
        <v>52</v>
      </c>
      <c r="H74" s="5" t="s">
        <v>45</v>
      </c>
      <c r="I74" s="5" t="s">
        <v>46</v>
      </c>
      <c r="J74" s="7" t="s">
        <v>223</v>
      </c>
      <c r="K74" s="5" t="s">
        <v>505</v>
      </c>
    </row>
    <row r="75" customFormat="false" ht="23.85" hidden="false" customHeight="false" outlineLevel="0" collapsed="false">
      <c r="A75" s="5" t="n">
        <v>74</v>
      </c>
      <c r="B75" s="5" t="s">
        <v>462</v>
      </c>
      <c r="C75" s="5" t="s">
        <v>491</v>
      </c>
      <c r="D75" s="5" t="s">
        <v>498</v>
      </c>
      <c r="E75" s="5" t="s">
        <v>506</v>
      </c>
      <c r="F75" s="5" t="s">
        <v>507</v>
      </c>
      <c r="G75" s="5" t="s">
        <v>52</v>
      </c>
      <c r="H75" s="5" t="s">
        <v>53</v>
      </c>
      <c r="I75" s="5" t="s">
        <v>46</v>
      </c>
      <c r="J75" s="5" t="s">
        <v>47</v>
      </c>
      <c r="K75" s="5"/>
    </row>
    <row r="76" customFormat="false" ht="23.85" hidden="false" customHeight="false" outlineLevel="0" collapsed="false">
      <c r="A76" s="5" t="n">
        <v>75</v>
      </c>
      <c r="B76" s="5" t="s">
        <v>462</v>
      </c>
      <c r="C76" s="5" t="s">
        <v>491</v>
      </c>
      <c r="D76" s="5" t="s">
        <v>498</v>
      </c>
      <c r="E76" s="5" t="s">
        <v>508</v>
      </c>
      <c r="F76" s="5" t="s">
        <v>509</v>
      </c>
      <c r="G76" s="5" t="s">
        <v>52</v>
      </c>
      <c r="H76" s="5" t="s">
        <v>53</v>
      </c>
      <c r="I76" s="5" t="s">
        <v>46</v>
      </c>
      <c r="J76" s="5" t="s">
        <v>47</v>
      </c>
      <c r="K76" s="5"/>
    </row>
    <row r="77" customFormat="false" ht="23.85" hidden="false" customHeight="false" outlineLevel="0" collapsed="false">
      <c r="A77" s="5" t="n">
        <v>76</v>
      </c>
      <c r="B77" s="5" t="s">
        <v>462</v>
      </c>
      <c r="C77" s="5" t="s">
        <v>491</v>
      </c>
      <c r="D77" s="5" t="s">
        <v>510</v>
      </c>
      <c r="E77" s="5" t="s">
        <v>511</v>
      </c>
      <c r="F77" s="5" t="s">
        <v>512</v>
      </c>
      <c r="G77" s="5" t="s">
        <v>52</v>
      </c>
      <c r="H77" s="5" t="s">
        <v>45</v>
      </c>
      <c r="I77" s="5" t="s">
        <v>46</v>
      </c>
      <c r="J77" s="5" t="s">
        <v>47</v>
      </c>
      <c r="K77" s="5"/>
    </row>
    <row r="78" customFormat="false" ht="23.85" hidden="false" customHeight="false" outlineLevel="0" collapsed="false">
      <c r="A78" s="5" t="n">
        <v>77</v>
      </c>
      <c r="B78" s="5" t="s">
        <v>462</v>
      </c>
      <c r="C78" s="5" t="s">
        <v>491</v>
      </c>
      <c r="D78" s="5" t="s">
        <v>513</v>
      </c>
      <c r="E78" s="5" t="s">
        <v>514</v>
      </c>
      <c r="F78" s="5" t="s">
        <v>515</v>
      </c>
      <c r="G78" s="5" t="s">
        <v>52</v>
      </c>
      <c r="H78" s="5" t="s">
        <v>45</v>
      </c>
      <c r="I78" s="5" t="s">
        <v>46</v>
      </c>
      <c r="J78" s="5" t="s">
        <v>47</v>
      </c>
      <c r="K78" s="5"/>
    </row>
    <row r="79" customFormat="false" ht="23.85" hidden="false" customHeight="false" outlineLevel="0" collapsed="false">
      <c r="A79" s="5" t="n">
        <v>78</v>
      </c>
      <c r="B79" s="5" t="s">
        <v>462</v>
      </c>
      <c r="C79" s="5" t="s">
        <v>491</v>
      </c>
      <c r="D79" s="5" t="s">
        <v>513</v>
      </c>
      <c r="E79" s="5" t="s">
        <v>516</v>
      </c>
      <c r="F79" s="5" t="s">
        <v>517</v>
      </c>
      <c r="G79" s="5" t="s">
        <v>52</v>
      </c>
      <c r="H79" s="5" t="s">
        <v>53</v>
      </c>
      <c r="I79" s="5" t="s">
        <v>46</v>
      </c>
      <c r="J79" s="5" t="s">
        <v>47</v>
      </c>
      <c r="K79" s="5"/>
    </row>
    <row r="80" customFormat="false" ht="23.85" hidden="false" customHeight="false" outlineLevel="0" collapsed="false">
      <c r="A80" s="5" t="n">
        <v>79</v>
      </c>
      <c r="B80" s="5" t="s">
        <v>462</v>
      </c>
      <c r="C80" s="5" t="s">
        <v>491</v>
      </c>
      <c r="D80" s="5" t="s">
        <v>518</v>
      </c>
      <c r="E80" s="5" t="s">
        <v>519</v>
      </c>
      <c r="F80" s="5" t="s">
        <v>520</v>
      </c>
      <c r="G80" s="5" t="s">
        <v>52</v>
      </c>
      <c r="H80" s="5" t="s">
        <v>45</v>
      </c>
      <c r="I80" s="5" t="s">
        <v>46</v>
      </c>
      <c r="J80" s="5" t="s">
        <v>47</v>
      </c>
      <c r="K80" s="5"/>
    </row>
    <row r="81" customFormat="false" ht="23.85" hidden="false" customHeight="false" outlineLevel="0" collapsed="false">
      <c r="A81" s="5" t="n">
        <v>80</v>
      </c>
      <c r="B81" s="5" t="s">
        <v>462</v>
      </c>
      <c r="C81" s="5" t="s">
        <v>491</v>
      </c>
      <c r="D81" s="5" t="s">
        <v>521</v>
      </c>
      <c r="E81" s="5" t="s">
        <v>522</v>
      </c>
      <c r="F81" s="5" t="s">
        <v>523</v>
      </c>
      <c r="G81" s="5" t="s">
        <v>52</v>
      </c>
      <c r="H81" s="5" t="s">
        <v>45</v>
      </c>
      <c r="I81" s="5" t="s">
        <v>46</v>
      </c>
      <c r="J81" s="5" t="s">
        <v>47</v>
      </c>
      <c r="K81" s="5"/>
    </row>
    <row r="82" customFormat="false" ht="23.85" hidden="false" customHeight="false" outlineLevel="0" collapsed="false">
      <c r="A82" s="5" t="n">
        <v>81</v>
      </c>
      <c r="B82" s="5" t="s">
        <v>462</v>
      </c>
      <c r="C82" s="5" t="s">
        <v>491</v>
      </c>
      <c r="D82" s="5" t="s">
        <v>521</v>
      </c>
      <c r="E82" s="5" t="s">
        <v>524</v>
      </c>
      <c r="F82" s="5" t="s">
        <v>525</v>
      </c>
      <c r="G82" s="5" t="s">
        <v>52</v>
      </c>
      <c r="H82" s="5" t="s">
        <v>45</v>
      </c>
      <c r="I82" s="5" t="s">
        <v>46</v>
      </c>
      <c r="J82" s="5" t="s">
        <v>47</v>
      </c>
      <c r="K82" s="5"/>
    </row>
    <row r="83" customFormat="false" ht="23.85" hidden="false" customHeight="false" outlineLevel="0" collapsed="false">
      <c r="A83" s="5" t="n">
        <v>82</v>
      </c>
      <c r="B83" s="5" t="s">
        <v>462</v>
      </c>
      <c r="C83" s="5" t="s">
        <v>491</v>
      </c>
      <c r="D83" s="5" t="s">
        <v>521</v>
      </c>
      <c r="E83" s="5" t="s">
        <v>526</v>
      </c>
      <c r="F83" s="5" t="s">
        <v>527</v>
      </c>
      <c r="G83" s="5" t="s">
        <v>52</v>
      </c>
      <c r="H83" s="5" t="s">
        <v>45</v>
      </c>
      <c r="I83" s="5" t="s">
        <v>46</v>
      </c>
      <c r="J83" s="5" t="s">
        <v>47</v>
      </c>
      <c r="K83" s="5"/>
    </row>
    <row r="84" customFormat="false" ht="23.85" hidden="false" customHeight="false" outlineLevel="0" collapsed="false">
      <c r="A84" s="5" t="n">
        <v>83</v>
      </c>
      <c r="B84" s="5" t="s">
        <v>462</v>
      </c>
      <c r="C84" s="5" t="s">
        <v>491</v>
      </c>
      <c r="D84" s="5" t="s">
        <v>521</v>
      </c>
      <c r="E84" s="5" t="s">
        <v>528</v>
      </c>
      <c r="F84" s="5" t="s">
        <v>529</v>
      </c>
      <c r="G84" s="5" t="s">
        <v>52</v>
      </c>
      <c r="H84" s="5" t="s">
        <v>45</v>
      </c>
      <c r="I84" s="5" t="s">
        <v>46</v>
      </c>
      <c r="J84" s="5" t="s">
        <v>47</v>
      </c>
      <c r="K84" s="5"/>
    </row>
    <row r="85" customFormat="false" ht="23.85" hidden="false" customHeight="false" outlineLevel="0" collapsed="false">
      <c r="A85" s="5" t="n">
        <v>84</v>
      </c>
      <c r="B85" s="5" t="s">
        <v>462</v>
      </c>
      <c r="C85" s="5" t="s">
        <v>491</v>
      </c>
      <c r="D85" s="5" t="s">
        <v>530</v>
      </c>
      <c r="E85" s="5" t="s">
        <v>531</v>
      </c>
      <c r="F85" s="5" t="s">
        <v>532</v>
      </c>
      <c r="G85" s="5" t="s">
        <v>52</v>
      </c>
      <c r="H85" s="5" t="s">
        <v>45</v>
      </c>
      <c r="I85" s="5" t="s">
        <v>46</v>
      </c>
      <c r="J85" s="5" t="s">
        <v>47</v>
      </c>
      <c r="K85" s="5"/>
    </row>
    <row r="86" customFormat="false" ht="23.85" hidden="false" customHeight="false" outlineLevel="0" collapsed="false">
      <c r="A86" s="5" t="n">
        <v>85</v>
      </c>
      <c r="B86" s="5" t="s">
        <v>462</v>
      </c>
      <c r="C86" s="5" t="s">
        <v>491</v>
      </c>
      <c r="D86" s="5" t="s">
        <v>533</v>
      </c>
      <c r="E86" s="5" t="s">
        <v>534</v>
      </c>
      <c r="F86" s="5" t="s">
        <v>535</v>
      </c>
      <c r="G86" s="5" t="s">
        <v>52</v>
      </c>
      <c r="H86" s="5" t="s">
        <v>45</v>
      </c>
      <c r="I86" s="5" t="s">
        <v>46</v>
      </c>
      <c r="J86" s="5" t="s">
        <v>47</v>
      </c>
      <c r="K86" s="5"/>
    </row>
    <row r="87" customFormat="false" ht="23.85" hidden="false" customHeight="false" outlineLevel="0" collapsed="false">
      <c r="A87" s="5" t="n">
        <v>86</v>
      </c>
      <c r="B87" s="5" t="s">
        <v>462</v>
      </c>
      <c r="C87" s="5" t="s">
        <v>491</v>
      </c>
      <c r="D87" s="5" t="s">
        <v>536</v>
      </c>
      <c r="E87" s="5" t="s">
        <v>537</v>
      </c>
      <c r="F87" s="5" t="s">
        <v>538</v>
      </c>
      <c r="G87" s="5" t="s">
        <v>44</v>
      </c>
      <c r="H87" s="5" t="s">
        <v>45</v>
      </c>
      <c r="I87" s="5" t="s">
        <v>46</v>
      </c>
      <c r="J87" s="5" t="s">
        <v>47</v>
      </c>
      <c r="K87" s="5"/>
    </row>
    <row r="88" customFormat="false" ht="15" hidden="false" customHeight="false" outlineLevel="0" collapsed="false">
      <c r="A88" s="5" t="n">
        <v>87</v>
      </c>
      <c r="B88" s="5" t="s">
        <v>462</v>
      </c>
      <c r="C88" s="5" t="s">
        <v>491</v>
      </c>
      <c r="D88" s="5" t="s">
        <v>536</v>
      </c>
      <c r="E88" s="5" t="s">
        <v>539</v>
      </c>
      <c r="F88" s="5" t="s">
        <v>540</v>
      </c>
      <c r="G88" s="5" t="s">
        <v>44</v>
      </c>
      <c r="H88" s="5" t="s">
        <v>53</v>
      </c>
      <c r="I88" s="5" t="s">
        <v>46</v>
      </c>
      <c r="J88" s="5" t="s">
        <v>47</v>
      </c>
      <c r="K88" s="5"/>
    </row>
    <row r="89" customFormat="false" ht="15" hidden="false" customHeight="false" outlineLevel="0" collapsed="false">
      <c r="A89" s="5" t="n">
        <v>88</v>
      </c>
      <c r="B89" s="5" t="s">
        <v>462</v>
      </c>
      <c r="C89" s="5" t="s">
        <v>491</v>
      </c>
      <c r="D89" s="5" t="s">
        <v>536</v>
      </c>
      <c r="E89" s="5" t="s">
        <v>541</v>
      </c>
      <c r="F89" s="5" t="s">
        <v>542</v>
      </c>
      <c r="G89" s="5" t="s">
        <v>44</v>
      </c>
      <c r="H89" s="5" t="s">
        <v>45</v>
      </c>
      <c r="I89" s="5" t="s">
        <v>46</v>
      </c>
      <c r="J89" s="5" t="s">
        <v>47</v>
      </c>
      <c r="K89" s="5"/>
    </row>
    <row r="90" customFormat="false" ht="15" hidden="false" customHeight="false" outlineLevel="0" collapsed="false">
      <c r="A90" s="5" t="n">
        <v>89</v>
      </c>
      <c r="B90" s="5" t="s">
        <v>462</v>
      </c>
      <c r="C90" s="5" t="s">
        <v>491</v>
      </c>
      <c r="D90" s="5" t="s">
        <v>536</v>
      </c>
      <c r="E90" s="5" t="s">
        <v>543</v>
      </c>
      <c r="F90" s="5" t="s">
        <v>544</v>
      </c>
      <c r="G90" s="5" t="s">
        <v>44</v>
      </c>
      <c r="H90" s="5" t="s">
        <v>45</v>
      </c>
      <c r="I90" s="5" t="s">
        <v>46</v>
      </c>
      <c r="J90" s="5" t="s">
        <v>47</v>
      </c>
      <c r="K90" s="5"/>
    </row>
    <row r="91" customFormat="false" ht="15" hidden="false" customHeight="false" outlineLevel="0" collapsed="false">
      <c r="A91" s="5" t="n">
        <v>90</v>
      </c>
      <c r="B91" s="5" t="s">
        <v>462</v>
      </c>
      <c r="C91" s="5" t="s">
        <v>491</v>
      </c>
      <c r="D91" s="5" t="s">
        <v>536</v>
      </c>
      <c r="E91" s="5" t="s">
        <v>545</v>
      </c>
      <c r="F91" s="5" t="s">
        <v>546</v>
      </c>
      <c r="G91" s="5" t="s">
        <v>44</v>
      </c>
      <c r="H91" s="5" t="s">
        <v>45</v>
      </c>
      <c r="I91" s="5" t="s">
        <v>46</v>
      </c>
      <c r="J91" s="5" t="s">
        <v>47</v>
      </c>
      <c r="K91" s="5"/>
    </row>
    <row r="92" customFormat="false" ht="15" hidden="false" customHeight="false" outlineLevel="0" collapsed="false">
      <c r="A92" s="5" t="n">
        <v>91</v>
      </c>
      <c r="B92" s="5" t="s">
        <v>462</v>
      </c>
      <c r="C92" s="5" t="s">
        <v>491</v>
      </c>
      <c r="D92" s="5" t="s">
        <v>536</v>
      </c>
      <c r="E92" s="5" t="s">
        <v>547</v>
      </c>
      <c r="F92" s="5" t="s">
        <v>548</v>
      </c>
      <c r="G92" s="5" t="s">
        <v>44</v>
      </c>
      <c r="H92" s="5" t="s">
        <v>45</v>
      </c>
      <c r="I92" s="5" t="s">
        <v>46</v>
      </c>
      <c r="J92" s="5" t="s">
        <v>47</v>
      </c>
      <c r="K92" s="5"/>
    </row>
    <row r="93" customFormat="false" ht="15" hidden="false" customHeight="false" outlineLevel="0" collapsed="false">
      <c r="A93" s="5" t="n">
        <v>92</v>
      </c>
      <c r="B93" s="5" t="s">
        <v>462</v>
      </c>
      <c r="C93" s="5" t="s">
        <v>491</v>
      </c>
      <c r="D93" s="5" t="s">
        <v>536</v>
      </c>
      <c r="E93" s="5" t="s">
        <v>549</v>
      </c>
      <c r="F93" s="5" t="s">
        <v>550</v>
      </c>
      <c r="G93" s="5" t="s">
        <v>52</v>
      </c>
      <c r="H93" s="5" t="s">
        <v>53</v>
      </c>
      <c r="I93" s="5" t="s">
        <v>46</v>
      </c>
      <c r="J93" s="5" t="s">
        <v>47</v>
      </c>
      <c r="K93" s="5"/>
    </row>
    <row r="94" customFormat="false" ht="15" hidden="false" customHeight="false" outlineLevel="0" collapsed="false">
      <c r="A94" s="5" t="n">
        <v>93</v>
      </c>
      <c r="B94" s="5" t="s">
        <v>462</v>
      </c>
      <c r="C94" s="5" t="s">
        <v>551</v>
      </c>
      <c r="D94" s="5" t="s">
        <v>552</v>
      </c>
      <c r="E94" s="5" t="s">
        <v>553</v>
      </c>
      <c r="F94" s="5" t="s">
        <v>554</v>
      </c>
      <c r="G94" s="5" t="s">
        <v>52</v>
      </c>
      <c r="H94" s="5" t="s">
        <v>53</v>
      </c>
      <c r="I94" s="5" t="s">
        <v>46</v>
      </c>
      <c r="J94" s="5" t="s">
        <v>47</v>
      </c>
      <c r="K94" s="5"/>
    </row>
    <row r="95" customFormat="false" ht="15" hidden="false" customHeight="false" outlineLevel="0" collapsed="false">
      <c r="A95" s="5" t="n">
        <v>94</v>
      </c>
      <c r="B95" s="5" t="s">
        <v>462</v>
      </c>
      <c r="C95" s="5" t="s">
        <v>467</v>
      </c>
      <c r="D95" s="5" t="s">
        <v>468</v>
      </c>
      <c r="E95" s="5" t="s">
        <v>469</v>
      </c>
      <c r="F95" s="5" t="s">
        <v>470</v>
      </c>
      <c r="G95" s="5" t="s">
        <v>44</v>
      </c>
      <c r="H95" s="5" t="s">
        <v>45</v>
      </c>
      <c r="I95" s="5" t="s">
        <v>46</v>
      </c>
      <c r="J95" s="5" t="s">
        <v>47</v>
      </c>
      <c r="K95" s="5"/>
    </row>
    <row r="96" customFormat="false" ht="15" hidden="false" customHeight="false" outlineLevel="0" collapsed="false">
      <c r="A96" s="5" t="n">
        <v>95</v>
      </c>
      <c r="B96" s="5" t="s">
        <v>462</v>
      </c>
      <c r="C96" s="5" t="s">
        <v>467</v>
      </c>
      <c r="D96" s="5" t="s">
        <v>468</v>
      </c>
      <c r="E96" s="5" t="s">
        <v>471</v>
      </c>
      <c r="F96" s="5" t="s">
        <v>472</v>
      </c>
      <c r="G96" s="5" t="s">
        <v>44</v>
      </c>
      <c r="H96" s="5" t="s">
        <v>45</v>
      </c>
      <c r="I96" s="5" t="s">
        <v>46</v>
      </c>
      <c r="J96" s="5" t="s">
        <v>47</v>
      </c>
      <c r="K96" s="5"/>
    </row>
    <row r="97" customFormat="false" ht="15" hidden="false" customHeight="false" outlineLevel="0" collapsed="false">
      <c r="A97" s="5" t="n">
        <v>96</v>
      </c>
      <c r="B97" s="5" t="s">
        <v>462</v>
      </c>
      <c r="C97" s="5" t="s">
        <v>467</v>
      </c>
      <c r="D97" s="5" t="s">
        <v>468</v>
      </c>
      <c r="E97" s="5" t="s">
        <v>473</v>
      </c>
      <c r="F97" s="5" t="s">
        <v>474</v>
      </c>
      <c r="G97" s="5" t="s">
        <v>44</v>
      </c>
      <c r="H97" s="5" t="s">
        <v>45</v>
      </c>
      <c r="I97" s="5" t="s">
        <v>46</v>
      </c>
      <c r="J97" s="5" t="s">
        <v>47</v>
      </c>
      <c r="K97" s="5"/>
    </row>
    <row r="98" customFormat="false" ht="15" hidden="false" customHeight="false" outlineLevel="0" collapsed="false">
      <c r="A98" s="5" t="n">
        <v>97</v>
      </c>
      <c r="B98" s="5" t="s">
        <v>462</v>
      </c>
      <c r="C98" s="5" t="s">
        <v>467</v>
      </c>
      <c r="D98" s="5" t="s">
        <v>468</v>
      </c>
      <c r="E98" s="5" t="s">
        <v>475</v>
      </c>
      <c r="F98" s="5" t="s">
        <v>476</v>
      </c>
      <c r="G98" s="5" t="s">
        <v>44</v>
      </c>
      <c r="H98" s="5" t="s">
        <v>45</v>
      </c>
      <c r="I98" s="5" t="s">
        <v>46</v>
      </c>
      <c r="J98" s="5" t="s">
        <v>47</v>
      </c>
      <c r="K98" s="5"/>
    </row>
    <row r="99" customFormat="false" ht="15" hidden="false" customHeight="false" outlineLevel="0" collapsed="false">
      <c r="A99" s="5" t="n">
        <v>98</v>
      </c>
      <c r="B99" s="5" t="s">
        <v>462</v>
      </c>
      <c r="C99" s="5" t="s">
        <v>467</v>
      </c>
      <c r="D99" s="5" t="s">
        <v>468</v>
      </c>
      <c r="E99" s="5" t="s">
        <v>477</v>
      </c>
      <c r="F99" s="5" t="s">
        <v>478</v>
      </c>
      <c r="G99" s="5" t="s">
        <v>44</v>
      </c>
      <c r="H99" s="5" t="s">
        <v>45</v>
      </c>
      <c r="I99" s="5" t="s">
        <v>46</v>
      </c>
      <c r="J99" s="5" t="s">
        <v>47</v>
      </c>
      <c r="K99" s="5"/>
    </row>
    <row r="100" customFormat="false" ht="15" hidden="false" customHeight="false" outlineLevel="0" collapsed="false">
      <c r="A100" s="5" t="n">
        <v>99</v>
      </c>
      <c r="B100" s="5" t="s">
        <v>462</v>
      </c>
      <c r="C100" s="5" t="s">
        <v>467</v>
      </c>
      <c r="D100" s="5" t="s">
        <v>468</v>
      </c>
      <c r="E100" s="5" t="s">
        <v>479</v>
      </c>
      <c r="F100" s="5" t="s">
        <v>480</v>
      </c>
      <c r="G100" s="5" t="s">
        <v>52</v>
      </c>
      <c r="H100" s="5" t="s">
        <v>45</v>
      </c>
      <c r="I100" s="5" t="s">
        <v>46</v>
      </c>
      <c r="J100" s="5" t="s">
        <v>47</v>
      </c>
      <c r="K100" s="5"/>
    </row>
    <row r="101" customFormat="false" ht="15" hidden="false" customHeight="false" outlineLevel="0" collapsed="false">
      <c r="A101" s="5" t="n">
        <v>100</v>
      </c>
      <c r="B101" s="5" t="s">
        <v>462</v>
      </c>
      <c r="C101" s="5" t="s">
        <v>467</v>
      </c>
      <c r="D101" s="5" t="s">
        <v>468</v>
      </c>
      <c r="E101" s="5" t="s">
        <v>481</v>
      </c>
      <c r="F101" s="5" t="s">
        <v>482</v>
      </c>
      <c r="G101" s="5" t="s">
        <v>44</v>
      </c>
      <c r="H101" s="5" t="s">
        <v>45</v>
      </c>
      <c r="I101" s="5" t="s">
        <v>46</v>
      </c>
      <c r="J101" s="5" t="s">
        <v>47</v>
      </c>
      <c r="K101" s="5"/>
    </row>
    <row r="102" customFormat="false" ht="15" hidden="false" customHeight="false" outlineLevel="0" collapsed="false">
      <c r="A102" s="5" t="n">
        <v>101</v>
      </c>
      <c r="B102" s="5" t="s">
        <v>462</v>
      </c>
      <c r="C102" s="5" t="s">
        <v>467</v>
      </c>
      <c r="D102" s="5" t="s">
        <v>468</v>
      </c>
      <c r="E102" s="5" t="s">
        <v>483</v>
      </c>
      <c r="F102" s="5" t="s">
        <v>484</v>
      </c>
      <c r="G102" s="5" t="s">
        <v>52</v>
      </c>
      <c r="H102" s="5" t="s">
        <v>45</v>
      </c>
      <c r="I102" s="5" t="s">
        <v>46</v>
      </c>
      <c r="J102" s="5" t="s">
        <v>47</v>
      </c>
      <c r="K102" s="5"/>
    </row>
    <row r="103" customFormat="false" ht="15" hidden="false" customHeight="false" outlineLevel="0" collapsed="false">
      <c r="A103" s="5" t="n">
        <v>102</v>
      </c>
      <c r="B103" s="5" t="s">
        <v>462</v>
      </c>
      <c r="C103" s="5" t="s">
        <v>467</v>
      </c>
      <c r="D103" s="5" t="s">
        <v>468</v>
      </c>
      <c r="E103" s="5" t="s">
        <v>485</v>
      </c>
      <c r="F103" s="5" t="s">
        <v>486</v>
      </c>
      <c r="G103" s="5" t="s">
        <v>52</v>
      </c>
      <c r="H103" s="5" t="s">
        <v>45</v>
      </c>
      <c r="I103" s="5" t="s">
        <v>46</v>
      </c>
      <c r="J103" s="5" t="s">
        <v>47</v>
      </c>
      <c r="K103" s="5"/>
    </row>
    <row r="104" customFormat="false" ht="15" hidden="false" customHeight="false" outlineLevel="0" collapsed="false">
      <c r="A104" s="5" t="n">
        <v>103</v>
      </c>
      <c r="B104" s="5" t="s">
        <v>462</v>
      </c>
      <c r="C104" s="5" t="s">
        <v>467</v>
      </c>
      <c r="D104" s="5" t="s">
        <v>468</v>
      </c>
      <c r="E104" s="5" t="s">
        <v>487</v>
      </c>
      <c r="F104" s="5" t="s">
        <v>488</v>
      </c>
      <c r="G104" s="5" t="s">
        <v>52</v>
      </c>
      <c r="H104" s="5" t="s">
        <v>53</v>
      </c>
      <c r="I104" s="5" t="s">
        <v>46</v>
      </c>
      <c r="J104" s="5" t="s">
        <v>47</v>
      </c>
      <c r="K104" s="5"/>
    </row>
    <row r="105" customFormat="false" ht="15" hidden="false" customHeight="false" outlineLevel="0" collapsed="false">
      <c r="A105" s="5" t="n">
        <v>104</v>
      </c>
      <c r="B105" s="5" t="s">
        <v>462</v>
      </c>
      <c r="C105" s="5" t="s">
        <v>467</v>
      </c>
      <c r="D105" s="5" t="s">
        <v>468</v>
      </c>
      <c r="E105" s="5" t="s">
        <v>489</v>
      </c>
      <c r="F105" s="5" t="s">
        <v>490</v>
      </c>
      <c r="G105" s="5" t="s">
        <v>44</v>
      </c>
      <c r="H105" s="5" t="s">
        <v>45</v>
      </c>
      <c r="I105" s="5" t="s">
        <v>46</v>
      </c>
      <c r="J105" s="5" t="s">
        <v>47</v>
      </c>
      <c r="K105" s="5"/>
    </row>
    <row r="106" customFormat="false" ht="15" hidden="false" customHeight="false" outlineLevel="0" collapsed="false">
      <c r="A106" s="5" t="n">
        <v>105</v>
      </c>
      <c r="B106" s="5" t="s">
        <v>462</v>
      </c>
      <c r="C106" s="5" t="s">
        <v>463</v>
      </c>
      <c r="D106" s="5" t="s">
        <v>464</v>
      </c>
      <c r="E106" s="5" t="s">
        <v>465</v>
      </c>
      <c r="F106" s="5" t="s">
        <v>466</v>
      </c>
      <c r="G106" s="5" t="s">
        <v>52</v>
      </c>
      <c r="H106" s="5" t="s">
        <v>45</v>
      </c>
      <c r="I106" s="5" t="s">
        <v>46</v>
      </c>
      <c r="J106" s="5" t="s">
        <v>47</v>
      </c>
      <c r="K106" s="5"/>
    </row>
    <row r="107" customFormat="false" ht="15" hidden="false" customHeight="false" outlineLevel="0" collapsed="false">
      <c r="A107" s="5" t="n">
        <v>106</v>
      </c>
      <c r="B107" s="5" t="s">
        <v>418</v>
      </c>
      <c r="C107" s="5" t="s">
        <v>431</v>
      </c>
      <c r="D107" s="5" t="s">
        <v>432</v>
      </c>
      <c r="E107" s="5" t="s">
        <v>433</v>
      </c>
      <c r="F107" s="5" t="s">
        <v>434</v>
      </c>
      <c r="G107" s="5" t="s">
        <v>52</v>
      </c>
      <c r="H107" s="5" t="s">
        <v>45</v>
      </c>
      <c r="I107" s="5" t="s">
        <v>46</v>
      </c>
      <c r="J107" s="5" t="s">
        <v>47</v>
      </c>
      <c r="K107" s="5"/>
    </row>
    <row r="108" customFormat="false" ht="15" hidden="false" customHeight="false" outlineLevel="0" collapsed="false">
      <c r="A108" s="5" t="n">
        <v>107</v>
      </c>
      <c r="B108" s="5" t="s">
        <v>555</v>
      </c>
      <c r="C108" s="5" t="s">
        <v>625</v>
      </c>
      <c r="D108" s="5" t="s">
        <v>626</v>
      </c>
      <c r="E108" s="5" t="s">
        <v>627</v>
      </c>
      <c r="F108" s="5" t="s">
        <v>628</v>
      </c>
      <c r="G108" s="5" t="s">
        <v>44</v>
      </c>
      <c r="H108" s="5" t="s">
        <v>45</v>
      </c>
      <c r="I108" s="5" t="s">
        <v>46</v>
      </c>
      <c r="J108" s="6" t="s">
        <v>206</v>
      </c>
      <c r="K108" s="5" t="s">
        <v>629</v>
      </c>
    </row>
    <row r="109" customFormat="false" ht="15" hidden="false" customHeight="false" outlineLevel="0" collapsed="false">
      <c r="A109" s="5" t="n">
        <v>108</v>
      </c>
      <c r="B109" s="5" t="s">
        <v>555</v>
      </c>
      <c r="C109" s="5" t="s">
        <v>625</v>
      </c>
      <c r="D109" s="5" t="s">
        <v>626</v>
      </c>
      <c r="E109" s="5" t="s">
        <v>630</v>
      </c>
      <c r="F109" s="5" t="s">
        <v>631</v>
      </c>
      <c r="G109" s="5" t="s">
        <v>44</v>
      </c>
      <c r="H109" s="5" t="s">
        <v>45</v>
      </c>
      <c r="I109" s="5" t="s">
        <v>46</v>
      </c>
      <c r="J109" s="6" t="s">
        <v>206</v>
      </c>
      <c r="K109" s="5" t="s">
        <v>632</v>
      </c>
    </row>
    <row r="110" customFormat="false" ht="15" hidden="false" customHeight="false" outlineLevel="0" collapsed="false">
      <c r="A110" s="5" t="n">
        <v>109</v>
      </c>
      <c r="B110" s="5" t="s">
        <v>555</v>
      </c>
      <c r="C110" s="5" t="s">
        <v>625</v>
      </c>
      <c r="D110" s="5" t="s">
        <v>626</v>
      </c>
      <c r="E110" s="5" t="s">
        <v>633</v>
      </c>
      <c r="F110" s="5" t="s">
        <v>634</v>
      </c>
      <c r="G110" s="5" t="s">
        <v>44</v>
      </c>
      <c r="H110" s="5" t="s">
        <v>45</v>
      </c>
      <c r="I110" s="5" t="s">
        <v>46</v>
      </c>
      <c r="J110" s="6" t="s">
        <v>206</v>
      </c>
      <c r="K110" s="5" t="s">
        <v>635</v>
      </c>
    </row>
    <row r="111" customFormat="false" ht="15" hidden="false" customHeight="false" outlineLevel="0" collapsed="false">
      <c r="A111" s="5" t="n">
        <v>110</v>
      </c>
      <c r="B111" s="5" t="s">
        <v>555</v>
      </c>
      <c r="C111" s="5" t="s">
        <v>587</v>
      </c>
      <c r="D111" s="5" t="s">
        <v>588</v>
      </c>
      <c r="E111" s="5" t="s">
        <v>589</v>
      </c>
      <c r="F111" s="5" t="s">
        <v>590</v>
      </c>
      <c r="G111" s="5" t="s">
        <v>44</v>
      </c>
      <c r="H111" s="5" t="s">
        <v>45</v>
      </c>
      <c r="I111" s="5" t="s">
        <v>46</v>
      </c>
      <c r="J111" s="6" t="s">
        <v>206</v>
      </c>
      <c r="K111" s="5" t="s">
        <v>591</v>
      </c>
    </row>
    <row r="112" customFormat="false" ht="15" hidden="false" customHeight="false" outlineLevel="0" collapsed="false">
      <c r="A112" s="5" t="n">
        <v>111</v>
      </c>
      <c r="B112" s="5" t="s">
        <v>555</v>
      </c>
      <c r="C112" s="5" t="s">
        <v>587</v>
      </c>
      <c r="D112" s="5" t="s">
        <v>588</v>
      </c>
      <c r="E112" s="5" t="s">
        <v>592</v>
      </c>
      <c r="F112" s="5" t="s">
        <v>593</v>
      </c>
      <c r="G112" s="5" t="s">
        <v>44</v>
      </c>
      <c r="H112" s="5" t="s">
        <v>45</v>
      </c>
      <c r="I112" s="5" t="s">
        <v>46</v>
      </c>
      <c r="J112" s="8" t="s">
        <v>594</v>
      </c>
      <c r="K112" s="5" t="s">
        <v>595</v>
      </c>
    </row>
    <row r="113" customFormat="false" ht="15" hidden="false" customHeight="false" outlineLevel="0" collapsed="false">
      <c r="A113" s="5" t="n">
        <v>112</v>
      </c>
      <c r="B113" s="5" t="s">
        <v>555</v>
      </c>
      <c r="C113" s="5" t="s">
        <v>587</v>
      </c>
      <c r="D113" s="5" t="s">
        <v>588</v>
      </c>
      <c r="E113" s="5" t="s">
        <v>596</v>
      </c>
      <c r="F113" s="5" t="s">
        <v>597</v>
      </c>
      <c r="G113" s="5" t="s">
        <v>52</v>
      </c>
      <c r="H113" s="5" t="s">
        <v>45</v>
      </c>
      <c r="I113" s="5" t="s">
        <v>46</v>
      </c>
      <c r="J113" s="6" t="s">
        <v>206</v>
      </c>
      <c r="K113" s="5" t="s">
        <v>598</v>
      </c>
    </row>
    <row r="114" customFormat="false" ht="23.85" hidden="false" customHeight="false" outlineLevel="0" collapsed="false">
      <c r="A114" s="5" t="n">
        <v>113</v>
      </c>
      <c r="B114" s="5" t="s">
        <v>555</v>
      </c>
      <c r="C114" s="5" t="s">
        <v>668</v>
      </c>
      <c r="D114" s="5" t="s">
        <v>669</v>
      </c>
      <c r="E114" s="5" t="s">
        <v>670</v>
      </c>
      <c r="F114" s="5" t="s">
        <v>671</v>
      </c>
      <c r="G114" s="5" t="s">
        <v>44</v>
      </c>
      <c r="H114" s="5" t="s">
        <v>45</v>
      </c>
      <c r="I114" s="5" t="s">
        <v>46</v>
      </c>
      <c r="J114" s="6" t="s">
        <v>206</v>
      </c>
      <c r="K114" s="5" t="s">
        <v>672</v>
      </c>
    </row>
    <row r="115" customFormat="false" ht="23.85" hidden="false" customHeight="false" outlineLevel="0" collapsed="false">
      <c r="A115" s="5" t="n">
        <v>114</v>
      </c>
      <c r="B115" s="5" t="s">
        <v>555</v>
      </c>
      <c r="C115" s="5" t="s">
        <v>668</v>
      </c>
      <c r="D115" s="5" t="s">
        <v>669</v>
      </c>
      <c r="E115" s="5" t="s">
        <v>673</v>
      </c>
      <c r="F115" s="5" t="s">
        <v>674</v>
      </c>
      <c r="G115" s="5" t="s">
        <v>44</v>
      </c>
      <c r="H115" s="5" t="s">
        <v>45</v>
      </c>
      <c r="I115" s="5" t="s">
        <v>46</v>
      </c>
      <c r="J115" s="6" t="s">
        <v>206</v>
      </c>
      <c r="K115" s="5" t="s">
        <v>675</v>
      </c>
    </row>
    <row r="116" customFormat="false" ht="23.85" hidden="false" customHeight="false" outlineLevel="0" collapsed="false">
      <c r="A116" s="5" t="n">
        <v>115</v>
      </c>
      <c r="B116" s="5" t="s">
        <v>555</v>
      </c>
      <c r="C116" s="5" t="s">
        <v>668</v>
      </c>
      <c r="D116" s="5" t="s">
        <v>669</v>
      </c>
      <c r="E116" s="5" t="s">
        <v>676</v>
      </c>
      <c r="F116" s="5" t="s">
        <v>677</v>
      </c>
      <c r="G116" s="5" t="s">
        <v>44</v>
      </c>
      <c r="H116" s="5" t="s">
        <v>45</v>
      </c>
      <c r="I116" s="5" t="s">
        <v>46</v>
      </c>
      <c r="J116" s="6" t="s">
        <v>206</v>
      </c>
      <c r="K116" s="5" t="s">
        <v>678</v>
      </c>
    </row>
    <row r="117" customFormat="false" ht="15" hidden="false" customHeight="false" outlineLevel="0" collapsed="false">
      <c r="A117" s="5" t="n">
        <v>116</v>
      </c>
      <c r="B117" s="5" t="s">
        <v>555</v>
      </c>
      <c r="C117" s="5" t="s">
        <v>668</v>
      </c>
      <c r="D117" s="5" t="s">
        <v>679</v>
      </c>
      <c r="E117" s="5" t="s">
        <v>680</v>
      </c>
      <c r="F117" s="5" t="s">
        <v>681</v>
      </c>
      <c r="G117" s="5" t="s">
        <v>52</v>
      </c>
      <c r="H117" s="5" t="s">
        <v>45</v>
      </c>
      <c r="I117" s="5" t="s">
        <v>46</v>
      </c>
      <c r="J117" s="6" t="s">
        <v>206</v>
      </c>
      <c r="K117" s="5" t="s">
        <v>682</v>
      </c>
    </row>
    <row r="118" customFormat="false" ht="15" hidden="false" customHeight="false" outlineLevel="0" collapsed="false">
      <c r="A118" s="5" t="n">
        <v>117</v>
      </c>
      <c r="B118" s="5" t="s">
        <v>555</v>
      </c>
      <c r="C118" s="5" t="s">
        <v>668</v>
      </c>
      <c r="D118" s="5" t="s">
        <v>679</v>
      </c>
      <c r="E118" s="5" t="s">
        <v>683</v>
      </c>
      <c r="F118" s="5" t="s">
        <v>684</v>
      </c>
      <c r="G118" s="5" t="s">
        <v>44</v>
      </c>
      <c r="H118" s="5" t="s">
        <v>45</v>
      </c>
      <c r="I118" s="5" t="s">
        <v>46</v>
      </c>
      <c r="J118" s="6" t="s">
        <v>206</v>
      </c>
      <c r="K118" s="5" t="s">
        <v>685</v>
      </c>
    </row>
    <row r="119" customFormat="false" ht="15" hidden="false" customHeight="false" outlineLevel="0" collapsed="false">
      <c r="A119" s="5" t="n">
        <v>118</v>
      </c>
      <c r="B119" s="5" t="s">
        <v>555</v>
      </c>
      <c r="C119" s="5" t="s">
        <v>668</v>
      </c>
      <c r="D119" s="5" t="s">
        <v>679</v>
      </c>
      <c r="E119" s="5" t="s">
        <v>686</v>
      </c>
      <c r="F119" s="5" t="s">
        <v>687</v>
      </c>
      <c r="G119" s="5" t="s">
        <v>44</v>
      </c>
      <c r="H119" s="5" t="s">
        <v>45</v>
      </c>
      <c r="I119" s="5" t="s">
        <v>46</v>
      </c>
      <c r="J119" s="6" t="s">
        <v>206</v>
      </c>
      <c r="K119" s="5" t="s">
        <v>688</v>
      </c>
    </row>
    <row r="120" customFormat="false" ht="23.85" hidden="false" customHeight="false" outlineLevel="0" collapsed="false">
      <c r="A120" s="5" t="n">
        <v>119</v>
      </c>
      <c r="B120" s="5" t="s">
        <v>555</v>
      </c>
      <c r="C120" s="5" t="s">
        <v>668</v>
      </c>
      <c r="D120" s="5" t="s">
        <v>689</v>
      </c>
      <c r="E120" s="5" t="s">
        <v>690</v>
      </c>
      <c r="F120" s="5" t="s">
        <v>691</v>
      </c>
      <c r="G120" s="5" t="s">
        <v>44</v>
      </c>
      <c r="H120" s="5" t="s">
        <v>45</v>
      </c>
      <c r="I120" s="5" t="s">
        <v>46</v>
      </c>
      <c r="J120" s="5" t="s">
        <v>47</v>
      </c>
      <c r="K120" s="5"/>
    </row>
    <row r="121" customFormat="false" ht="15" hidden="false" customHeight="false" outlineLevel="0" collapsed="false">
      <c r="A121" s="5" t="n">
        <v>120</v>
      </c>
      <c r="B121" s="5" t="s">
        <v>555</v>
      </c>
      <c r="C121" s="5" t="s">
        <v>668</v>
      </c>
      <c r="D121" s="5" t="s">
        <v>692</v>
      </c>
      <c r="E121" s="5" t="s">
        <v>693</v>
      </c>
      <c r="F121" s="5" t="s">
        <v>694</v>
      </c>
      <c r="G121" s="5" t="s">
        <v>44</v>
      </c>
      <c r="H121" s="5" t="s">
        <v>45</v>
      </c>
      <c r="I121" s="5" t="s">
        <v>46</v>
      </c>
      <c r="J121" s="6" t="s">
        <v>206</v>
      </c>
      <c r="K121" s="5" t="s">
        <v>695</v>
      </c>
    </row>
    <row r="122" customFormat="false" ht="23.85" hidden="false" customHeight="false" outlineLevel="0" collapsed="false">
      <c r="A122" s="5" t="n">
        <v>121</v>
      </c>
      <c r="B122" s="5" t="s">
        <v>555</v>
      </c>
      <c r="C122" s="5" t="s">
        <v>668</v>
      </c>
      <c r="D122" s="5" t="s">
        <v>692</v>
      </c>
      <c r="E122" s="5" t="s">
        <v>696</v>
      </c>
      <c r="F122" s="5" t="s">
        <v>697</v>
      </c>
      <c r="G122" s="5" t="s">
        <v>52</v>
      </c>
      <c r="H122" s="5" t="s">
        <v>45</v>
      </c>
      <c r="I122" s="5" t="s">
        <v>46</v>
      </c>
      <c r="J122" s="8" t="s">
        <v>594</v>
      </c>
      <c r="K122" s="5" t="s">
        <v>698</v>
      </c>
    </row>
    <row r="123" customFormat="false" ht="15" hidden="false" customHeight="false" outlineLevel="0" collapsed="false">
      <c r="A123" s="5" t="n">
        <v>122</v>
      </c>
      <c r="B123" s="5" t="s">
        <v>555</v>
      </c>
      <c r="C123" s="5" t="s">
        <v>668</v>
      </c>
      <c r="D123" s="5" t="s">
        <v>692</v>
      </c>
      <c r="E123" s="5" t="s">
        <v>699</v>
      </c>
      <c r="F123" s="5" t="s">
        <v>700</v>
      </c>
      <c r="G123" s="5" t="s">
        <v>44</v>
      </c>
      <c r="H123" s="5" t="s">
        <v>45</v>
      </c>
      <c r="I123" s="5" t="s">
        <v>46</v>
      </c>
      <c r="J123" s="6" t="s">
        <v>206</v>
      </c>
      <c r="K123" s="5" t="s">
        <v>701</v>
      </c>
    </row>
    <row r="124" customFormat="false" ht="15" hidden="false" customHeight="false" outlineLevel="0" collapsed="false">
      <c r="A124" s="5" t="n">
        <v>123</v>
      </c>
      <c r="B124" s="5" t="s">
        <v>555</v>
      </c>
      <c r="C124" s="5" t="s">
        <v>668</v>
      </c>
      <c r="D124" s="5" t="s">
        <v>692</v>
      </c>
      <c r="E124" s="5" t="s">
        <v>702</v>
      </c>
      <c r="F124" s="5" t="s">
        <v>703</v>
      </c>
      <c r="G124" s="5" t="s">
        <v>44</v>
      </c>
      <c r="H124" s="5" t="s">
        <v>45</v>
      </c>
      <c r="I124" s="5" t="s">
        <v>46</v>
      </c>
      <c r="J124" s="6" t="s">
        <v>206</v>
      </c>
      <c r="K124" s="5" t="s">
        <v>704</v>
      </c>
    </row>
    <row r="125" customFormat="false" ht="15" hidden="false" customHeight="false" outlineLevel="0" collapsed="false">
      <c r="A125" s="5" t="n">
        <v>124</v>
      </c>
      <c r="B125" s="5" t="s">
        <v>555</v>
      </c>
      <c r="C125" s="5" t="s">
        <v>668</v>
      </c>
      <c r="D125" s="5" t="s">
        <v>692</v>
      </c>
      <c r="E125" s="5" t="s">
        <v>705</v>
      </c>
      <c r="F125" s="5" t="s">
        <v>706</v>
      </c>
      <c r="G125" s="5" t="s">
        <v>44</v>
      </c>
      <c r="H125" s="5" t="s">
        <v>45</v>
      </c>
      <c r="I125" s="5" t="s">
        <v>46</v>
      </c>
      <c r="J125" s="6" t="s">
        <v>206</v>
      </c>
      <c r="K125" s="5" t="s">
        <v>707</v>
      </c>
    </row>
    <row r="126" customFormat="false" ht="15" hidden="false" customHeight="false" outlineLevel="0" collapsed="false">
      <c r="A126" s="5" t="n">
        <v>125</v>
      </c>
      <c r="B126" s="5" t="s">
        <v>555</v>
      </c>
      <c r="C126" s="5" t="s">
        <v>668</v>
      </c>
      <c r="D126" s="5" t="s">
        <v>692</v>
      </c>
      <c r="E126" s="5" t="s">
        <v>708</v>
      </c>
      <c r="F126" s="5" t="s">
        <v>709</v>
      </c>
      <c r="G126" s="5" t="s">
        <v>44</v>
      </c>
      <c r="H126" s="5" t="s">
        <v>53</v>
      </c>
      <c r="I126" s="5" t="s">
        <v>46</v>
      </c>
      <c r="J126" s="6" t="s">
        <v>206</v>
      </c>
      <c r="K126" s="5" t="s">
        <v>710</v>
      </c>
    </row>
    <row r="127" customFormat="false" ht="15" hidden="false" customHeight="false" outlineLevel="0" collapsed="false">
      <c r="A127" s="5" t="n">
        <v>126</v>
      </c>
      <c r="B127" s="5" t="s">
        <v>555</v>
      </c>
      <c r="C127" s="5" t="s">
        <v>668</v>
      </c>
      <c r="D127" s="5" t="s">
        <v>692</v>
      </c>
      <c r="E127" s="5" t="s">
        <v>711</v>
      </c>
      <c r="F127" s="5" t="s">
        <v>712</v>
      </c>
      <c r="G127" s="5" t="s">
        <v>52</v>
      </c>
      <c r="H127" s="5" t="s">
        <v>53</v>
      </c>
      <c r="I127" s="5" t="s">
        <v>46</v>
      </c>
      <c r="J127" s="6" t="s">
        <v>206</v>
      </c>
      <c r="K127" s="5" t="s">
        <v>713</v>
      </c>
    </row>
    <row r="128" customFormat="false" ht="15" hidden="false" customHeight="false" outlineLevel="0" collapsed="false">
      <c r="A128" s="5" t="n">
        <v>127</v>
      </c>
      <c r="B128" s="5" t="s">
        <v>555</v>
      </c>
      <c r="C128" s="5" t="s">
        <v>668</v>
      </c>
      <c r="D128" s="5" t="s">
        <v>692</v>
      </c>
      <c r="E128" s="5" t="s">
        <v>714</v>
      </c>
      <c r="F128" s="5" t="s">
        <v>715</v>
      </c>
      <c r="G128" s="5" t="s">
        <v>52</v>
      </c>
      <c r="H128" s="5" t="s">
        <v>45</v>
      </c>
      <c r="I128" s="5" t="s">
        <v>46</v>
      </c>
      <c r="J128" s="8" t="s">
        <v>594</v>
      </c>
      <c r="K128" s="5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23.85" hidden="false" customHeight="false" outlineLevel="0" collapsed="false">
      <c r="A2" s="5" t="n">
        <v>1</v>
      </c>
      <c r="B2" s="5" t="s">
        <v>72</v>
      </c>
      <c r="C2" s="5" t="s">
        <v>73</v>
      </c>
      <c r="D2" s="5" t="s">
        <v>74</v>
      </c>
      <c r="E2" s="5" t="s">
        <v>42</v>
      </c>
      <c r="F2" s="5" t="s">
        <v>75</v>
      </c>
      <c r="G2" s="5" t="s">
        <v>44</v>
      </c>
      <c r="H2" s="5" t="s">
        <v>53</v>
      </c>
      <c r="I2" s="5" t="s">
        <v>76</v>
      </c>
      <c r="J2" s="5" t="s">
        <v>47</v>
      </c>
      <c r="K2" s="5"/>
    </row>
    <row r="3" customFormat="false" ht="23.85" hidden="false" customHeight="false" outlineLevel="0" collapsed="false">
      <c r="A3" s="5" t="n">
        <v>2</v>
      </c>
      <c r="B3" s="5" t="s">
        <v>72</v>
      </c>
      <c r="C3" s="5" t="s">
        <v>73</v>
      </c>
      <c r="D3" s="5" t="s">
        <v>74</v>
      </c>
      <c r="E3" s="5" t="s">
        <v>48</v>
      </c>
      <c r="F3" s="5" t="s">
        <v>77</v>
      </c>
      <c r="G3" s="5" t="s">
        <v>44</v>
      </c>
      <c r="H3" s="5" t="s">
        <v>53</v>
      </c>
      <c r="I3" s="5" t="s">
        <v>76</v>
      </c>
      <c r="J3" s="5" t="s">
        <v>47</v>
      </c>
      <c r="K3" s="5"/>
    </row>
    <row r="4" customFormat="false" ht="23.85" hidden="false" customHeight="false" outlineLevel="0" collapsed="false">
      <c r="A4" s="5" t="n">
        <v>3</v>
      </c>
      <c r="B4" s="5" t="s">
        <v>72</v>
      </c>
      <c r="C4" s="5" t="s">
        <v>73</v>
      </c>
      <c r="D4" s="5" t="s">
        <v>74</v>
      </c>
      <c r="E4" s="5" t="s">
        <v>50</v>
      </c>
      <c r="F4" s="5" t="s">
        <v>78</v>
      </c>
      <c r="G4" s="5" t="s">
        <v>44</v>
      </c>
      <c r="H4" s="5" t="s">
        <v>53</v>
      </c>
      <c r="I4" s="5" t="s">
        <v>76</v>
      </c>
      <c r="J4" s="5" t="s">
        <v>47</v>
      </c>
      <c r="K4" s="5"/>
    </row>
    <row r="5" customFormat="false" ht="23.85" hidden="false" customHeight="false" outlineLevel="0" collapsed="false">
      <c r="A5" s="5" t="n">
        <v>4</v>
      </c>
      <c r="B5" s="5" t="s">
        <v>72</v>
      </c>
      <c r="C5" s="5" t="s">
        <v>73</v>
      </c>
      <c r="D5" s="5" t="s">
        <v>74</v>
      </c>
      <c r="E5" s="5" t="s">
        <v>54</v>
      </c>
      <c r="F5" s="5" t="s">
        <v>79</v>
      </c>
      <c r="G5" s="5" t="s">
        <v>44</v>
      </c>
      <c r="H5" s="5" t="s">
        <v>45</v>
      </c>
      <c r="I5" s="5" t="s">
        <v>76</v>
      </c>
      <c r="J5" s="5" t="s">
        <v>47</v>
      </c>
      <c r="K5" s="5"/>
    </row>
    <row r="6" customFormat="false" ht="23.85" hidden="false" customHeight="false" outlineLevel="0" collapsed="false">
      <c r="A6" s="5" t="n">
        <v>5</v>
      </c>
      <c r="B6" s="5" t="s">
        <v>72</v>
      </c>
      <c r="C6" s="5" t="s">
        <v>73</v>
      </c>
      <c r="D6" s="5" t="s">
        <v>74</v>
      </c>
      <c r="E6" s="5" t="s">
        <v>56</v>
      </c>
      <c r="F6" s="5" t="s">
        <v>80</v>
      </c>
      <c r="G6" s="5" t="s">
        <v>44</v>
      </c>
      <c r="H6" s="5" t="s">
        <v>45</v>
      </c>
      <c r="I6" s="5" t="s">
        <v>76</v>
      </c>
      <c r="J6" s="5" t="s">
        <v>47</v>
      </c>
      <c r="K6" s="5"/>
    </row>
    <row r="7" customFormat="false" ht="23.85" hidden="false" customHeight="false" outlineLevel="0" collapsed="false">
      <c r="A7" s="5" t="n">
        <v>6</v>
      </c>
      <c r="B7" s="5" t="s">
        <v>72</v>
      </c>
      <c r="C7" s="5" t="s">
        <v>73</v>
      </c>
      <c r="D7" s="5" t="s">
        <v>74</v>
      </c>
      <c r="E7" s="5" t="s">
        <v>58</v>
      </c>
      <c r="F7" s="5" t="s">
        <v>81</v>
      </c>
      <c r="G7" s="5" t="s">
        <v>44</v>
      </c>
      <c r="H7" s="5" t="s">
        <v>45</v>
      </c>
      <c r="I7" s="5" t="s">
        <v>76</v>
      </c>
      <c r="J7" s="5" t="s">
        <v>47</v>
      </c>
      <c r="K7" s="5"/>
    </row>
    <row r="8" customFormat="false" ht="23.85" hidden="false" customHeight="false" outlineLevel="0" collapsed="false">
      <c r="A8" s="5" t="n">
        <v>7</v>
      </c>
      <c r="B8" s="5" t="s">
        <v>72</v>
      </c>
      <c r="C8" s="5" t="s">
        <v>73</v>
      </c>
      <c r="D8" s="5" t="s">
        <v>74</v>
      </c>
      <c r="E8" s="5" t="s">
        <v>60</v>
      </c>
      <c r="F8" s="5" t="s">
        <v>82</v>
      </c>
      <c r="G8" s="5" t="s">
        <v>44</v>
      </c>
      <c r="H8" s="5" t="s">
        <v>45</v>
      </c>
      <c r="I8" s="5" t="s">
        <v>76</v>
      </c>
      <c r="J8" s="5" t="s">
        <v>47</v>
      </c>
      <c r="K8" s="5"/>
    </row>
    <row r="9" customFormat="false" ht="23.85" hidden="false" customHeight="false" outlineLevel="0" collapsed="false">
      <c r="A9" s="5" t="n">
        <v>8</v>
      </c>
      <c r="B9" s="5" t="s">
        <v>72</v>
      </c>
      <c r="C9" s="5" t="s">
        <v>73</v>
      </c>
      <c r="D9" s="5" t="s">
        <v>74</v>
      </c>
      <c r="E9" s="5" t="s">
        <v>62</v>
      </c>
      <c r="F9" s="5" t="s">
        <v>83</v>
      </c>
      <c r="G9" s="5" t="s">
        <v>44</v>
      </c>
      <c r="H9" s="5" t="s">
        <v>45</v>
      </c>
      <c r="I9" s="5" t="s">
        <v>76</v>
      </c>
      <c r="J9" s="5" t="s">
        <v>47</v>
      </c>
      <c r="K9" s="5"/>
    </row>
    <row r="10" customFormat="false" ht="23.85" hidden="false" customHeight="false" outlineLevel="0" collapsed="false">
      <c r="A10" s="5" t="n">
        <v>9</v>
      </c>
      <c r="B10" s="5" t="s">
        <v>72</v>
      </c>
      <c r="C10" s="5" t="s">
        <v>73</v>
      </c>
      <c r="D10" s="5" t="s">
        <v>74</v>
      </c>
      <c r="E10" s="5" t="s">
        <v>64</v>
      </c>
      <c r="F10" s="5" t="s">
        <v>84</v>
      </c>
      <c r="G10" s="5" t="s">
        <v>44</v>
      </c>
      <c r="H10" s="5" t="s">
        <v>45</v>
      </c>
      <c r="I10" s="5" t="s">
        <v>76</v>
      </c>
      <c r="J10" s="5" t="s">
        <v>47</v>
      </c>
      <c r="K10" s="5"/>
    </row>
    <row r="11" customFormat="false" ht="23.85" hidden="false" customHeight="false" outlineLevel="0" collapsed="false">
      <c r="A11" s="5" t="n">
        <v>10</v>
      </c>
      <c r="B11" s="5" t="s">
        <v>72</v>
      </c>
      <c r="C11" s="5" t="s">
        <v>73</v>
      </c>
      <c r="D11" s="5" t="s">
        <v>74</v>
      </c>
      <c r="E11" s="5" t="s">
        <v>66</v>
      </c>
      <c r="F11" s="5" t="s">
        <v>85</v>
      </c>
      <c r="G11" s="5" t="s">
        <v>44</v>
      </c>
      <c r="H11" s="5" t="s">
        <v>45</v>
      </c>
      <c r="I11" s="5" t="s">
        <v>76</v>
      </c>
      <c r="J11" s="5" t="s">
        <v>47</v>
      </c>
      <c r="K11" s="5"/>
    </row>
    <row r="12" customFormat="false" ht="23.85" hidden="false" customHeight="false" outlineLevel="0" collapsed="false">
      <c r="A12" s="5" t="n">
        <v>11</v>
      </c>
      <c r="B12" s="5" t="s">
        <v>72</v>
      </c>
      <c r="C12" s="5" t="s">
        <v>73</v>
      </c>
      <c r="D12" s="5" t="s">
        <v>74</v>
      </c>
      <c r="E12" s="5" t="s">
        <v>68</v>
      </c>
      <c r="F12" s="5" t="s">
        <v>86</v>
      </c>
      <c r="G12" s="5" t="s">
        <v>52</v>
      </c>
      <c r="H12" s="5" t="s">
        <v>45</v>
      </c>
      <c r="I12" s="5" t="s">
        <v>76</v>
      </c>
      <c r="J12" s="5" t="s">
        <v>47</v>
      </c>
      <c r="K12" s="5"/>
    </row>
    <row r="13" customFormat="false" ht="23.85" hidden="false" customHeight="false" outlineLevel="0" collapsed="false">
      <c r="A13" s="5" t="n">
        <v>12</v>
      </c>
      <c r="B13" s="5" t="s">
        <v>72</v>
      </c>
      <c r="C13" s="5" t="s">
        <v>73</v>
      </c>
      <c r="D13" s="5" t="s">
        <v>74</v>
      </c>
      <c r="E13" s="5" t="s">
        <v>70</v>
      </c>
      <c r="F13" s="5" t="s">
        <v>87</v>
      </c>
      <c r="G13" s="5" t="s">
        <v>52</v>
      </c>
      <c r="H13" s="5" t="s">
        <v>45</v>
      </c>
      <c r="I13" s="5" t="s">
        <v>76</v>
      </c>
      <c r="J13" s="5" t="s">
        <v>47</v>
      </c>
      <c r="K13" s="5"/>
    </row>
    <row r="14" customFormat="false" ht="23.85" hidden="false" customHeight="false" outlineLevel="0" collapsed="false">
      <c r="A14" s="5" t="n">
        <v>13</v>
      </c>
      <c r="B14" s="5" t="s">
        <v>72</v>
      </c>
      <c r="C14" s="5" t="s">
        <v>73</v>
      </c>
      <c r="D14" s="5" t="s">
        <v>74</v>
      </c>
      <c r="E14" s="5" t="s">
        <v>88</v>
      </c>
      <c r="F14" s="5" t="s">
        <v>89</v>
      </c>
      <c r="G14" s="5" t="s">
        <v>44</v>
      </c>
      <c r="H14" s="5" t="s">
        <v>45</v>
      </c>
      <c r="I14" s="5" t="s">
        <v>76</v>
      </c>
      <c r="J14" s="5" t="s">
        <v>47</v>
      </c>
      <c r="K14" s="5"/>
    </row>
    <row r="15" customFormat="false" ht="23.85" hidden="false" customHeight="false" outlineLevel="0" collapsed="false">
      <c r="A15" s="5" t="n">
        <v>14</v>
      </c>
      <c r="B15" s="5" t="s">
        <v>72</v>
      </c>
      <c r="C15" s="5" t="s">
        <v>73</v>
      </c>
      <c r="D15" s="5" t="s">
        <v>74</v>
      </c>
      <c r="E15" s="5" t="s">
        <v>90</v>
      </c>
      <c r="F15" s="5" t="s">
        <v>91</v>
      </c>
      <c r="G15" s="5" t="s">
        <v>44</v>
      </c>
      <c r="H15" s="5" t="s">
        <v>45</v>
      </c>
      <c r="I15" s="5" t="s">
        <v>76</v>
      </c>
      <c r="J15" s="5" t="s">
        <v>47</v>
      </c>
      <c r="K15" s="5"/>
    </row>
    <row r="16" customFormat="false" ht="23.85" hidden="false" customHeight="false" outlineLevel="0" collapsed="false">
      <c r="A16" s="5" t="n">
        <v>15</v>
      </c>
      <c r="B16" s="5" t="s">
        <v>72</v>
      </c>
      <c r="C16" s="5" t="s">
        <v>73</v>
      </c>
      <c r="D16" s="5" t="s">
        <v>74</v>
      </c>
      <c r="E16" s="5" t="s">
        <v>92</v>
      </c>
      <c r="F16" s="5" t="s">
        <v>93</v>
      </c>
      <c r="G16" s="5" t="s">
        <v>52</v>
      </c>
      <c r="H16" s="5" t="s">
        <v>45</v>
      </c>
      <c r="I16" s="5" t="s">
        <v>76</v>
      </c>
      <c r="J16" s="5" t="s">
        <v>47</v>
      </c>
      <c r="K16" s="5"/>
    </row>
    <row r="17" customFormat="false" ht="23.85" hidden="false" customHeight="false" outlineLevel="0" collapsed="false">
      <c r="A17" s="5" t="n">
        <v>16</v>
      </c>
      <c r="B17" s="5" t="s">
        <v>72</v>
      </c>
      <c r="C17" s="5" t="s">
        <v>73</v>
      </c>
      <c r="D17" s="5" t="s">
        <v>74</v>
      </c>
      <c r="E17" s="5" t="s">
        <v>94</v>
      </c>
      <c r="F17" s="5" t="s">
        <v>95</v>
      </c>
      <c r="G17" s="5" t="s">
        <v>52</v>
      </c>
      <c r="H17" s="5" t="s">
        <v>45</v>
      </c>
      <c r="I17" s="5" t="s">
        <v>76</v>
      </c>
      <c r="J17" s="5" t="s">
        <v>47</v>
      </c>
      <c r="K17" s="5"/>
    </row>
    <row r="18" customFormat="false" ht="23.85" hidden="false" customHeight="false" outlineLevel="0" collapsed="false">
      <c r="A18" s="5" t="n">
        <v>17</v>
      </c>
      <c r="B18" s="5" t="s">
        <v>72</v>
      </c>
      <c r="C18" s="5" t="s">
        <v>73</v>
      </c>
      <c r="D18" s="5" t="s">
        <v>74</v>
      </c>
      <c r="E18" s="5" t="s">
        <v>96</v>
      </c>
      <c r="F18" s="5" t="s">
        <v>97</v>
      </c>
      <c r="G18" s="5" t="s">
        <v>52</v>
      </c>
      <c r="H18" s="5" t="s">
        <v>53</v>
      </c>
      <c r="I18" s="5" t="s">
        <v>76</v>
      </c>
      <c r="J18" s="5" t="s">
        <v>47</v>
      </c>
      <c r="K18" s="5"/>
    </row>
    <row r="19" customFormat="false" ht="23.85" hidden="false" customHeight="false" outlineLevel="0" collapsed="false">
      <c r="A19" s="5" t="n">
        <v>18</v>
      </c>
      <c r="B19" s="5" t="s">
        <v>72</v>
      </c>
      <c r="C19" s="5" t="s">
        <v>73</v>
      </c>
      <c r="D19" s="5" t="s">
        <v>74</v>
      </c>
      <c r="E19" s="5" t="s">
        <v>98</v>
      </c>
      <c r="F19" s="5" t="s">
        <v>99</v>
      </c>
      <c r="G19" s="5" t="s">
        <v>44</v>
      </c>
      <c r="H19" s="5" t="s">
        <v>45</v>
      </c>
      <c r="I19" s="5" t="s">
        <v>76</v>
      </c>
      <c r="J19" s="5" t="s">
        <v>47</v>
      </c>
      <c r="K19" s="5"/>
    </row>
    <row r="20" customFormat="false" ht="23.85" hidden="false" customHeight="false" outlineLevel="0" collapsed="false">
      <c r="A20" s="5" t="n">
        <v>19</v>
      </c>
      <c r="B20" s="5" t="s">
        <v>72</v>
      </c>
      <c r="C20" s="5" t="s">
        <v>73</v>
      </c>
      <c r="D20" s="5" t="s">
        <v>74</v>
      </c>
      <c r="E20" s="5" t="s">
        <v>100</v>
      </c>
      <c r="F20" s="5" t="s">
        <v>101</v>
      </c>
      <c r="G20" s="5" t="s">
        <v>52</v>
      </c>
      <c r="H20" s="5" t="s">
        <v>45</v>
      </c>
      <c r="I20" s="5" t="s">
        <v>76</v>
      </c>
      <c r="J20" s="5" t="s">
        <v>47</v>
      </c>
      <c r="K20" s="5"/>
    </row>
    <row r="21" customFormat="false" ht="23.85" hidden="false" customHeight="false" outlineLevel="0" collapsed="false">
      <c r="A21" s="5" t="n">
        <v>20</v>
      </c>
      <c r="B21" s="5" t="s">
        <v>72</v>
      </c>
      <c r="C21" s="5" t="s">
        <v>73</v>
      </c>
      <c r="D21" s="5" t="s">
        <v>74</v>
      </c>
      <c r="E21" s="5" t="s">
        <v>102</v>
      </c>
      <c r="F21" s="5" t="s">
        <v>103</v>
      </c>
      <c r="G21" s="5" t="s">
        <v>44</v>
      </c>
      <c r="H21" s="5" t="s">
        <v>45</v>
      </c>
      <c r="I21" s="5" t="s">
        <v>76</v>
      </c>
      <c r="J21" s="5" t="s">
        <v>47</v>
      </c>
      <c r="K21" s="5"/>
    </row>
    <row r="22" customFormat="false" ht="23.85" hidden="false" customHeight="false" outlineLevel="0" collapsed="false">
      <c r="A22" s="5" t="n">
        <v>21</v>
      </c>
      <c r="B22" s="5" t="s">
        <v>72</v>
      </c>
      <c r="C22" s="5" t="s">
        <v>73</v>
      </c>
      <c r="D22" s="5" t="s">
        <v>74</v>
      </c>
      <c r="E22" s="5" t="s">
        <v>104</v>
      </c>
      <c r="F22" s="5" t="s">
        <v>105</v>
      </c>
      <c r="G22" s="5" t="s">
        <v>52</v>
      </c>
      <c r="H22" s="5" t="s">
        <v>45</v>
      </c>
      <c r="I22" s="5" t="s">
        <v>76</v>
      </c>
      <c r="J22" s="5" t="s">
        <v>47</v>
      </c>
      <c r="K22" s="5"/>
    </row>
    <row r="23" customFormat="false" ht="23.85" hidden="false" customHeight="false" outlineLevel="0" collapsed="false">
      <c r="A23" s="5" t="n">
        <v>22</v>
      </c>
      <c r="B23" s="5" t="s">
        <v>72</v>
      </c>
      <c r="C23" s="5" t="s">
        <v>73</v>
      </c>
      <c r="D23" s="5" t="s">
        <v>106</v>
      </c>
      <c r="E23" s="5" t="s">
        <v>107</v>
      </c>
      <c r="F23" s="5" t="s">
        <v>75</v>
      </c>
      <c r="G23" s="5" t="s">
        <v>44</v>
      </c>
      <c r="H23" s="5" t="s">
        <v>53</v>
      </c>
      <c r="I23" s="5" t="s">
        <v>76</v>
      </c>
      <c r="J23" s="5" t="s">
        <v>47</v>
      </c>
      <c r="K23" s="5"/>
    </row>
    <row r="24" customFormat="false" ht="23.85" hidden="false" customHeight="false" outlineLevel="0" collapsed="false">
      <c r="A24" s="5" t="n">
        <v>23</v>
      </c>
      <c r="B24" s="5" t="s">
        <v>72</v>
      </c>
      <c r="C24" s="5" t="s">
        <v>73</v>
      </c>
      <c r="D24" s="5" t="s">
        <v>106</v>
      </c>
      <c r="E24" s="5" t="s">
        <v>108</v>
      </c>
      <c r="F24" s="5" t="s">
        <v>77</v>
      </c>
      <c r="G24" s="5" t="s">
        <v>44</v>
      </c>
      <c r="H24" s="5" t="s">
        <v>53</v>
      </c>
      <c r="I24" s="5" t="s">
        <v>76</v>
      </c>
      <c r="J24" s="5" t="s">
        <v>47</v>
      </c>
      <c r="K24" s="5"/>
    </row>
    <row r="25" customFormat="false" ht="23.85" hidden="false" customHeight="false" outlineLevel="0" collapsed="false">
      <c r="A25" s="5" t="n">
        <v>24</v>
      </c>
      <c r="B25" s="5" t="s">
        <v>72</v>
      </c>
      <c r="C25" s="5" t="s">
        <v>73</v>
      </c>
      <c r="D25" s="5" t="s">
        <v>106</v>
      </c>
      <c r="E25" s="5" t="s">
        <v>109</v>
      </c>
      <c r="F25" s="5" t="s">
        <v>78</v>
      </c>
      <c r="G25" s="5" t="s">
        <v>44</v>
      </c>
      <c r="H25" s="5" t="s">
        <v>53</v>
      </c>
      <c r="I25" s="5" t="s">
        <v>76</v>
      </c>
      <c r="J25" s="5" t="s">
        <v>47</v>
      </c>
      <c r="K25" s="5"/>
    </row>
    <row r="26" customFormat="false" ht="23.85" hidden="false" customHeight="false" outlineLevel="0" collapsed="false">
      <c r="A26" s="5" t="n">
        <v>25</v>
      </c>
      <c r="B26" s="5" t="s">
        <v>72</v>
      </c>
      <c r="C26" s="5" t="s">
        <v>73</v>
      </c>
      <c r="D26" s="5" t="s">
        <v>106</v>
      </c>
      <c r="E26" s="5" t="s">
        <v>110</v>
      </c>
      <c r="F26" s="5" t="s">
        <v>79</v>
      </c>
      <c r="G26" s="5" t="s">
        <v>44</v>
      </c>
      <c r="H26" s="5" t="s">
        <v>45</v>
      </c>
      <c r="I26" s="5" t="s">
        <v>76</v>
      </c>
      <c r="J26" s="5" t="s">
        <v>47</v>
      </c>
      <c r="K26" s="5"/>
    </row>
    <row r="27" customFormat="false" ht="23.85" hidden="false" customHeight="false" outlineLevel="0" collapsed="false">
      <c r="A27" s="5" t="n">
        <v>26</v>
      </c>
      <c r="B27" s="5" t="s">
        <v>72</v>
      </c>
      <c r="C27" s="5" t="s">
        <v>73</v>
      </c>
      <c r="D27" s="5" t="s">
        <v>106</v>
      </c>
      <c r="E27" s="5" t="s">
        <v>111</v>
      </c>
      <c r="F27" s="5" t="s">
        <v>112</v>
      </c>
      <c r="G27" s="5" t="s">
        <v>44</v>
      </c>
      <c r="H27" s="5" t="s">
        <v>45</v>
      </c>
      <c r="I27" s="5" t="s">
        <v>76</v>
      </c>
      <c r="J27" s="5" t="s">
        <v>47</v>
      </c>
      <c r="K27" s="5"/>
    </row>
    <row r="28" customFormat="false" ht="23.85" hidden="false" customHeight="false" outlineLevel="0" collapsed="false">
      <c r="A28" s="5" t="n">
        <v>27</v>
      </c>
      <c r="B28" s="5" t="s">
        <v>72</v>
      </c>
      <c r="C28" s="5" t="s">
        <v>73</v>
      </c>
      <c r="D28" s="5" t="s">
        <v>106</v>
      </c>
      <c r="E28" s="5" t="s">
        <v>113</v>
      </c>
      <c r="F28" s="5" t="s">
        <v>81</v>
      </c>
      <c r="G28" s="5" t="s">
        <v>44</v>
      </c>
      <c r="H28" s="5" t="s">
        <v>45</v>
      </c>
      <c r="I28" s="5" t="s">
        <v>76</v>
      </c>
      <c r="J28" s="5" t="s">
        <v>47</v>
      </c>
      <c r="K28" s="5"/>
    </row>
    <row r="29" customFormat="false" ht="23.85" hidden="false" customHeight="false" outlineLevel="0" collapsed="false">
      <c r="A29" s="5" t="n">
        <v>28</v>
      </c>
      <c r="B29" s="5" t="s">
        <v>72</v>
      </c>
      <c r="C29" s="5" t="s">
        <v>73</v>
      </c>
      <c r="D29" s="5" t="s">
        <v>106</v>
      </c>
      <c r="E29" s="5" t="s">
        <v>114</v>
      </c>
      <c r="F29" s="5" t="s">
        <v>82</v>
      </c>
      <c r="G29" s="5" t="s">
        <v>44</v>
      </c>
      <c r="H29" s="5" t="s">
        <v>45</v>
      </c>
      <c r="I29" s="5" t="s">
        <v>76</v>
      </c>
      <c r="J29" s="5" t="s">
        <v>47</v>
      </c>
      <c r="K29" s="5"/>
    </row>
    <row r="30" customFormat="false" ht="23.85" hidden="false" customHeight="false" outlineLevel="0" collapsed="false">
      <c r="A30" s="5" t="n">
        <v>29</v>
      </c>
      <c r="B30" s="5" t="s">
        <v>72</v>
      </c>
      <c r="C30" s="5" t="s">
        <v>73</v>
      </c>
      <c r="D30" s="5" t="s">
        <v>106</v>
      </c>
      <c r="E30" s="5" t="s">
        <v>115</v>
      </c>
      <c r="F30" s="5" t="s">
        <v>83</v>
      </c>
      <c r="G30" s="5" t="s">
        <v>44</v>
      </c>
      <c r="H30" s="5" t="s">
        <v>45</v>
      </c>
      <c r="I30" s="5" t="s">
        <v>76</v>
      </c>
      <c r="J30" s="5" t="s">
        <v>47</v>
      </c>
      <c r="K30" s="5"/>
    </row>
    <row r="31" customFormat="false" ht="23.85" hidden="false" customHeight="false" outlineLevel="0" collapsed="false">
      <c r="A31" s="5" t="n">
        <v>30</v>
      </c>
      <c r="B31" s="5" t="s">
        <v>72</v>
      </c>
      <c r="C31" s="5" t="s">
        <v>73</v>
      </c>
      <c r="D31" s="5" t="s">
        <v>106</v>
      </c>
      <c r="E31" s="5" t="s">
        <v>116</v>
      </c>
      <c r="F31" s="5" t="s">
        <v>84</v>
      </c>
      <c r="G31" s="5" t="s">
        <v>44</v>
      </c>
      <c r="H31" s="5" t="s">
        <v>45</v>
      </c>
      <c r="I31" s="5" t="s">
        <v>76</v>
      </c>
      <c r="J31" s="5" t="s">
        <v>47</v>
      </c>
      <c r="K31" s="5"/>
    </row>
    <row r="32" customFormat="false" ht="23.85" hidden="false" customHeight="false" outlineLevel="0" collapsed="false">
      <c r="A32" s="5" t="n">
        <v>31</v>
      </c>
      <c r="B32" s="5" t="s">
        <v>72</v>
      </c>
      <c r="C32" s="5" t="s">
        <v>73</v>
      </c>
      <c r="D32" s="5" t="s">
        <v>106</v>
      </c>
      <c r="E32" s="5" t="s">
        <v>117</v>
      </c>
      <c r="F32" s="5" t="s">
        <v>85</v>
      </c>
      <c r="G32" s="5" t="s">
        <v>44</v>
      </c>
      <c r="H32" s="5" t="s">
        <v>45</v>
      </c>
      <c r="I32" s="5" t="s">
        <v>76</v>
      </c>
      <c r="J32" s="5" t="s">
        <v>47</v>
      </c>
      <c r="K32" s="5"/>
    </row>
    <row r="33" customFormat="false" ht="23.85" hidden="false" customHeight="false" outlineLevel="0" collapsed="false">
      <c r="A33" s="5" t="n">
        <v>32</v>
      </c>
      <c r="B33" s="5" t="s">
        <v>72</v>
      </c>
      <c r="C33" s="5" t="s">
        <v>73</v>
      </c>
      <c r="D33" s="5" t="s">
        <v>106</v>
      </c>
      <c r="E33" s="5" t="s">
        <v>118</v>
      </c>
      <c r="F33" s="5" t="s">
        <v>86</v>
      </c>
      <c r="G33" s="5" t="s">
        <v>52</v>
      </c>
      <c r="H33" s="5" t="s">
        <v>45</v>
      </c>
      <c r="I33" s="5" t="s">
        <v>76</v>
      </c>
      <c r="J33" s="5" t="s">
        <v>47</v>
      </c>
      <c r="K33" s="5"/>
    </row>
    <row r="34" customFormat="false" ht="23.85" hidden="false" customHeight="false" outlineLevel="0" collapsed="false">
      <c r="A34" s="5" t="n">
        <v>33</v>
      </c>
      <c r="B34" s="5" t="s">
        <v>72</v>
      </c>
      <c r="C34" s="5" t="s">
        <v>73</v>
      </c>
      <c r="D34" s="5" t="s">
        <v>106</v>
      </c>
      <c r="E34" s="5" t="s">
        <v>119</v>
      </c>
      <c r="F34" s="5" t="s">
        <v>89</v>
      </c>
      <c r="G34" s="5" t="s">
        <v>44</v>
      </c>
      <c r="H34" s="5" t="s">
        <v>45</v>
      </c>
      <c r="I34" s="5" t="s">
        <v>76</v>
      </c>
      <c r="J34" s="5" t="s">
        <v>47</v>
      </c>
      <c r="K34" s="5"/>
    </row>
    <row r="35" customFormat="false" ht="23.85" hidden="false" customHeight="false" outlineLevel="0" collapsed="false">
      <c r="A35" s="5" t="n">
        <v>34</v>
      </c>
      <c r="B35" s="5" t="s">
        <v>72</v>
      </c>
      <c r="C35" s="5" t="s">
        <v>73</v>
      </c>
      <c r="D35" s="5" t="s">
        <v>106</v>
      </c>
      <c r="E35" s="5" t="s">
        <v>120</v>
      </c>
      <c r="F35" s="5" t="s">
        <v>91</v>
      </c>
      <c r="G35" s="5" t="s">
        <v>44</v>
      </c>
      <c r="H35" s="5" t="s">
        <v>45</v>
      </c>
      <c r="I35" s="5" t="s">
        <v>76</v>
      </c>
      <c r="J35" s="5" t="s">
        <v>47</v>
      </c>
      <c r="K35" s="5"/>
    </row>
    <row r="36" customFormat="false" ht="23.85" hidden="false" customHeight="false" outlineLevel="0" collapsed="false">
      <c r="A36" s="5" t="n">
        <v>35</v>
      </c>
      <c r="B36" s="5" t="s">
        <v>72</v>
      </c>
      <c r="C36" s="5" t="s">
        <v>73</v>
      </c>
      <c r="D36" s="5" t="s">
        <v>106</v>
      </c>
      <c r="E36" s="5" t="s">
        <v>121</v>
      </c>
      <c r="F36" s="5" t="s">
        <v>122</v>
      </c>
      <c r="G36" s="5" t="s">
        <v>44</v>
      </c>
      <c r="H36" s="5" t="s">
        <v>45</v>
      </c>
      <c r="I36" s="5" t="s">
        <v>76</v>
      </c>
      <c r="J36" s="5" t="s">
        <v>47</v>
      </c>
      <c r="K36" s="5"/>
    </row>
    <row r="37" customFormat="false" ht="23.85" hidden="false" customHeight="false" outlineLevel="0" collapsed="false">
      <c r="A37" s="5" t="n">
        <v>36</v>
      </c>
      <c r="B37" s="5" t="s">
        <v>72</v>
      </c>
      <c r="C37" s="5" t="s">
        <v>73</v>
      </c>
      <c r="D37" s="5" t="s">
        <v>106</v>
      </c>
      <c r="E37" s="5" t="s">
        <v>123</v>
      </c>
      <c r="F37" s="5" t="s">
        <v>101</v>
      </c>
      <c r="G37" s="5" t="s">
        <v>52</v>
      </c>
      <c r="H37" s="5" t="s">
        <v>45</v>
      </c>
      <c r="I37" s="5" t="s">
        <v>76</v>
      </c>
      <c r="J37" s="5" t="s">
        <v>47</v>
      </c>
      <c r="K37" s="5"/>
    </row>
    <row r="38" customFormat="false" ht="23.85" hidden="false" customHeight="false" outlineLevel="0" collapsed="false">
      <c r="A38" s="5" t="n">
        <v>37</v>
      </c>
      <c r="B38" s="5" t="s">
        <v>72</v>
      </c>
      <c r="C38" s="5" t="s">
        <v>73</v>
      </c>
      <c r="D38" s="5" t="s">
        <v>106</v>
      </c>
      <c r="E38" s="5" t="s">
        <v>124</v>
      </c>
      <c r="F38" s="5" t="s">
        <v>103</v>
      </c>
      <c r="G38" s="5" t="s">
        <v>44</v>
      </c>
      <c r="H38" s="5" t="s">
        <v>45</v>
      </c>
      <c r="I38" s="5" t="s">
        <v>76</v>
      </c>
      <c r="J38" s="5" t="s">
        <v>47</v>
      </c>
      <c r="K38" s="5"/>
    </row>
    <row r="39" customFormat="false" ht="23.85" hidden="false" customHeight="false" outlineLevel="0" collapsed="false">
      <c r="A39" s="5" t="n">
        <v>38</v>
      </c>
      <c r="B39" s="5" t="s">
        <v>72</v>
      </c>
      <c r="C39" s="5" t="s">
        <v>73</v>
      </c>
      <c r="D39" s="5" t="s">
        <v>106</v>
      </c>
      <c r="E39" s="5" t="s">
        <v>125</v>
      </c>
      <c r="F39" s="5" t="s">
        <v>105</v>
      </c>
      <c r="G39" s="5" t="s">
        <v>52</v>
      </c>
      <c r="H39" s="5" t="s">
        <v>45</v>
      </c>
      <c r="I39" s="5" t="s">
        <v>76</v>
      </c>
      <c r="J39" s="5" t="s">
        <v>47</v>
      </c>
      <c r="K39" s="5"/>
    </row>
    <row r="40" customFormat="false" ht="23.85" hidden="false" customHeight="false" outlineLevel="0" collapsed="false">
      <c r="A40" s="5" t="n">
        <v>39</v>
      </c>
      <c r="B40" s="5" t="s">
        <v>72</v>
      </c>
      <c r="C40" s="5" t="s">
        <v>165</v>
      </c>
      <c r="D40" s="5" t="s">
        <v>166</v>
      </c>
      <c r="E40" s="5" t="s">
        <v>167</v>
      </c>
      <c r="F40" s="5" t="s">
        <v>75</v>
      </c>
      <c r="G40" s="5" t="s">
        <v>44</v>
      </c>
      <c r="H40" s="5" t="s">
        <v>53</v>
      </c>
      <c r="I40" s="5" t="s">
        <v>76</v>
      </c>
      <c r="J40" s="5" t="s">
        <v>47</v>
      </c>
      <c r="K40" s="5"/>
    </row>
    <row r="41" customFormat="false" ht="23.85" hidden="false" customHeight="false" outlineLevel="0" collapsed="false">
      <c r="A41" s="5" t="n">
        <v>40</v>
      </c>
      <c r="B41" s="5" t="s">
        <v>72</v>
      </c>
      <c r="C41" s="5" t="s">
        <v>165</v>
      </c>
      <c r="D41" s="5" t="s">
        <v>166</v>
      </c>
      <c r="E41" s="5" t="s">
        <v>168</v>
      </c>
      <c r="F41" s="5" t="s">
        <v>77</v>
      </c>
      <c r="G41" s="5" t="s">
        <v>44</v>
      </c>
      <c r="H41" s="5" t="s">
        <v>53</v>
      </c>
      <c r="I41" s="5" t="s">
        <v>76</v>
      </c>
      <c r="J41" s="5" t="s">
        <v>47</v>
      </c>
      <c r="K41" s="5"/>
    </row>
    <row r="42" customFormat="false" ht="23.85" hidden="false" customHeight="false" outlineLevel="0" collapsed="false">
      <c r="A42" s="5" t="n">
        <v>41</v>
      </c>
      <c r="B42" s="5" t="s">
        <v>72</v>
      </c>
      <c r="C42" s="5" t="s">
        <v>165</v>
      </c>
      <c r="D42" s="5" t="s">
        <v>166</v>
      </c>
      <c r="E42" s="5" t="s">
        <v>169</v>
      </c>
      <c r="F42" s="5" t="s">
        <v>79</v>
      </c>
      <c r="G42" s="5" t="s">
        <v>44</v>
      </c>
      <c r="H42" s="5" t="s">
        <v>45</v>
      </c>
      <c r="I42" s="5" t="s">
        <v>76</v>
      </c>
      <c r="J42" s="5" t="s">
        <v>47</v>
      </c>
      <c r="K42" s="5"/>
    </row>
    <row r="43" customFormat="false" ht="23.85" hidden="false" customHeight="false" outlineLevel="0" collapsed="false">
      <c r="A43" s="5" t="n">
        <v>42</v>
      </c>
      <c r="B43" s="5" t="s">
        <v>72</v>
      </c>
      <c r="C43" s="5" t="s">
        <v>165</v>
      </c>
      <c r="D43" s="5" t="s">
        <v>166</v>
      </c>
      <c r="E43" s="5" t="s">
        <v>170</v>
      </c>
      <c r="F43" s="5" t="s">
        <v>112</v>
      </c>
      <c r="G43" s="5" t="s">
        <v>44</v>
      </c>
      <c r="H43" s="5" t="s">
        <v>45</v>
      </c>
      <c r="I43" s="5" t="s">
        <v>76</v>
      </c>
      <c r="J43" s="5" t="s">
        <v>47</v>
      </c>
      <c r="K43" s="5"/>
    </row>
    <row r="44" customFormat="false" ht="23.85" hidden="false" customHeight="false" outlineLevel="0" collapsed="false">
      <c r="A44" s="5" t="n">
        <v>43</v>
      </c>
      <c r="B44" s="5" t="s">
        <v>72</v>
      </c>
      <c r="C44" s="5" t="s">
        <v>165</v>
      </c>
      <c r="D44" s="5" t="s">
        <v>166</v>
      </c>
      <c r="E44" s="5" t="s">
        <v>171</v>
      </c>
      <c r="F44" s="5" t="s">
        <v>81</v>
      </c>
      <c r="G44" s="5" t="s">
        <v>44</v>
      </c>
      <c r="H44" s="5" t="s">
        <v>45</v>
      </c>
      <c r="I44" s="5" t="s">
        <v>76</v>
      </c>
      <c r="J44" s="5" t="s">
        <v>47</v>
      </c>
      <c r="K44" s="5"/>
    </row>
    <row r="45" customFormat="false" ht="23.85" hidden="false" customHeight="false" outlineLevel="0" collapsed="false">
      <c r="A45" s="5" t="n">
        <v>44</v>
      </c>
      <c r="B45" s="5" t="s">
        <v>72</v>
      </c>
      <c r="C45" s="5" t="s">
        <v>165</v>
      </c>
      <c r="D45" s="5" t="s">
        <v>166</v>
      </c>
      <c r="E45" s="5" t="s">
        <v>172</v>
      </c>
      <c r="F45" s="5" t="s">
        <v>82</v>
      </c>
      <c r="G45" s="5" t="s">
        <v>44</v>
      </c>
      <c r="H45" s="5" t="s">
        <v>45</v>
      </c>
      <c r="I45" s="5" t="s">
        <v>76</v>
      </c>
      <c r="J45" s="5" t="s">
        <v>47</v>
      </c>
      <c r="K45" s="5"/>
    </row>
    <row r="46" customFormat="false" ht="23.85" hidden="false" customHeight="false" outlineLevel="0" collapsed="false">
      <c r="A46" s="5" t="n">
        <v>45</v>
      </c>
      <c r="B46" s="5" t="s">
        <v>72</v>
      </c>
      <c r="C46" s="5" t="s">
        <v>165</v>
      </c>
      <c r="D46" s="5" t="s">
        <v>166</v>
      </c>
      <c r="E46" s="5" t="s">
        <v>173</v>
      </c>
      <c r="F46" s="5" t="s">
        <v>83</v>
      </c>
      <c r="G46" s="5" t="s">
        <v>44</v>
      </c>
      <c r="H46" s="5" t="s">
        <v>45</v>
      </c>
      <c r="I46" s="5" t="s">
        <v>76</v>
      </c>
      <c r="J46" s="5" t="s">
        <v>47</v>
      </c>
      <c r="K46" s="5"/>
    </row>
    <row r="47" customFormat="false" ht="23.85" hidden="false" customHeight="false" outlineLevel="0" collapsed="false">
      <c r="A47" s="5" t="n">
        <v>46</v>
      </c>
      <c r="B47" s="5" t="s">
        <v>72</v>
      </c>
      <c r="C47" s="5" t="s">
        <v>165</v>
      </c>
      <c r="D47" s="5" t="s">
        <v>166</v>
      </c>
      <c r="E47" s="5" t="s">
        <v>174</v>
      </c>
      <c r="F47" s="5" t="s">
        <v>84</v>
      </c>
      <c r="G47" s="5" t="s">
        <v>44</v>
      </c>
      <c r="H47" s="5" t="s">
        <v>45</v>
      </c>
      <c r="I47" s="5" t="s">
        <v>76</v>
      </c>
      <c r="J47" s="5" t="s">
        <v>47</v>
      </c>
      <c r="K47" s="5"/>
    </row>
    <row r="48" customFormat="false" ht="23.85" hidden="false" customHeight="false" outlineLevel="0" collapsed="false">
      <c r="A48" s="5" t="n">
        <v>47</v>
      </c>
      <c r="B48" s="5" t="s">
        <v>72</v>
      </c>
      <c r="C48" s="5" t="s">
        <v>165</v>
      </c>
      <c r="D48" s="5" t="s">
        <v>166</v>
      </c>
      <c r="E48" s="5" t="s">
        <v>175</v>
      </c>
      <c r="F48" s="5" t="s">
        <v>85</v>
      </c>
      <c r="G48" s="5" t="s">
        <v>44</v>
      </c>
      <c r="H48" s="5" t="s">
        <v>45</v>
      </c>
      <c r="I48" s="5" t="s">
        <v>76</v>
      </c>
      <c r="J48" s="5" t="s">
        <v>47</v>
      </c>
      <c r="K48" s="5"/>
    </row>
    <row r="49" customFormat="false" ht="23.85" hidden="false" customHeight="false" outlineLevel="0" collapsed="false">
      <c r="A49" s="5" t="n">
        <v>48</v>
      </c>
      <c r="B49" s="5" t="s">
        <v>72</v>
      </c>
      <c r="C49" s="5" t="s">
        <v>165</v>
      </c>
      <c r="D49" s="5" t="s">
        <v>166</v>
      </c>
      <c r="E49" s="5" t="s">
        <v>176</v>
      </c>
      <c r="F49" s="5" t="s">
        <v>86</v>
      </c>
      <c r="G49" s="5" t="s">
        <v>52</v>
      </c>
      <c r="H49" s="5" t="s">
        <v>45</v>
      </c>
      <c r="I49" s="5" t="s">
        <v>76</v>
      </c>
      <c r="J49" s="5" t="s">
        <v>47</v>
      </c>
      <c r="K49" s="5"/>
    </row>
    <row r="50" customFormat="false" ht="23.85" hidden="false" customHeight="false" outlineLevel="0" collapsed="false">
      <c r="A50" s="5" t="n">
        <v>49</v>
      </c>
      <c r="B50" s="5" t="s">
        <v>72</v>
      </c>
      <c r="C50" s="5" t="s">
        <v>165</v>
      </c>
      <c r="D50" s="5" t="s">
        <v>166</v>
      </c>
      <c r="E50" s="5" t="s">
        <v>177</v>
      </c>
      <c r="F50" s="5" t="s">
        <v>87</v>
      </c>
      <c r="G50" s="5" t="s">
        <v>52</v>
      </c>
      <c r="H50" s="5" t="s">
        <v>45</v>
      </c>
      <c r="I50" s="5" t="s">
        <v>76</v>
      </c>
      <c r="J50" s="5" t="s">
        <v>47</v>
      </c>
      <c r="K50" s="5"/>
    </row>
    <row r="51" customFormat="false" ht="23.85" hidden="false" customHeight="false" outlineLevel="0" collapsed="false">
      <c r="A51" s="5" t="n">
        <v>50</v>
      </c>
      <c r="B51" s="5" t="s">
        <v>72</v>
      </c>
      <c r="C51" s="5" t="s">
        <v>165</v>
      </c>
      <c r="D51" s="5" t="s">
        <v>166</v>
      </c>
      <c r="E51" s="5" t="s">
        <v>178</v>
      </c>
      <c r="F51" s="5" t="s">
        <v>89</v>
      </c>
      <c r="G51" s="5" t="s">
        <v>44</v>
      </c>
      <c r="H51" s="5" t="s">
        <v>45</v>
      </c>
      <c r="I51" s="5" t="s">
        <v>76</v>
      </c>
      <c r="J51" s="5" t="s">
        <v>47</v>
      </c>
      <c r="K51" s="5"/>
    </row>
    <row r="52" customFormat="false" ht="23.85" hidden="false" customHeight="false" outlineLevel="0" collapsed="false">
      <c r="A52" s="5" t="n">
        <v>51</v>
      </c>
      <c r="B52" s="5" t="s">
        <v>72</v>
      </c>
      <c r="C52" s="5" t="s">
        <v>165</v>
      </c>
      <c r="D52" s="5" t="s">
        <v>166</v>
      </c>
      <c r="E52" s="5" t="s">
        <v>179</v>
      </c>
      <c r="F52" s="5" t="s">
        <v>91</v>
      </c>
      <c r="G52" s="5" t="s">
        <v>44</v>
      </c>
      <c r="H52" s="5" t="s">
        <v>45</v>
      </c>
      <c r="I52" s="5" t="s">
        <v>76</v>
      </c>
      <c r="J52" s="5" t="s">
        <v>47</v>
      </c>
      <c r="K52" s="5"/>
    </row>
    <row r="53" customFormat="false" ht="23.85" hidden="false" customHeight="false" outlineLevel="0" collapsed="false">
      <c r="A53" s="5" t="n">
        <v>52</v>
      </c>
      <c r="B53" s="5" t="s">
        <v>72</v>
      </c>
      <c r="C53" s="5" t="s">
        <v>165</v>
      </c>
      <c r="D53" s="5" t="s">
        <v>166</v>
      </c>
      <c r="E53" s="5" t="s">
        <v>180</v>
      </c>
      <c r="F53" s="5" t="s">
        <v>181</v>
      </c>
      <c r="G53" s="5" t="s">
        <v>44</v>
      </c>
      <c r="H53" s="5" t="s">
        <v>45</v>
      </c>
      <c r="I53" s="5" t="s">
        <v>76</v>
      </c>
      <c r="J53" s="5" t="s">
        <v>47</v>
      </c>
      <c r="K53" s="5"/>
    </row>
    <row r="54" customFormat="false" ht="23.85" hidden="false" customHeight="false" outlineLevel="0" collapsed="false">
      <c r="A54" s="5" t="n">
        <v>53</v>
      </c>
      <c r="B54" s="5" t="s">
        <v>72</v>
      </c>
      <c r="C54" s="5" t="s">
        <v>165</v>
      </c>
      <c r="D54" s="5" t="s">
        <v>166</v>
      </c>
      <c r="E54" s="5" t="s">
        <v>182</v>
      </c>
      <c r="F54" s="5" t="s">
        <v>101</v>
      </c>
      <c r="G54" s="5" t="s">
        <v>52</v>
      </c>
      <c r="H54" s="5" t="s">
        <v>45</v>
      </c>
      <c r="I54" s="5" t="s">
        <v>76</v>
      </c>
      <c r="J54" s="5" t="s">
        <v>47</v>
      </c>
      <c r="K54" s="5"/>
    </row>
    <row r="55" customFormat="false" ht="23.85" hidden="false" customHeight="false" outlineLevel="0" collapsed="false">
      <c r="A55" s="5" t="n">
        <v>54</v>
      </c>
      <c r="B55" s="5" t="s">
        <v>72</v>
      </c>
      <c r="C55" s="5" t="s">
        <v>165</v>
      </c>
      <c r="D55" s="5" t="s">
        <v>166</v>
      </c>
      <c r="E55" s="5" t="s">
        <v>183</v>
      </c>
      <c r="F55" s="5" t="s">
        <v>103</v>
      </c>
      <c r="G55" s="5" t="s">
        <v>44</v>
      </c>
      <c r="H55" s="5" t="s">
        <v>45</v>
      </c>
      <c r="I55" s="5" t="s">
        <v>76</v>
      </c>
      <c r="J55" s="5" t="s">
        <v>47</v>
      </c>
      <c r="K55" s="5"/>
    </row>
    <row r="56" customFormat="false" ht="23.85" hidden="false" customHeight="false" outlineLevel="0" collapsed="false">
      <c r="A56" s="5" t="n">
        <v>55</v>
      </c>
      <c r="B56" s="5" t="s">
        <v>72</v>
      </c>
      <c r="C56" s="5" t="s">
        <v>165</v>
      </c>
      <c r="D56" s="5" t="s">
        <v>166</v>
      </c>
      <c r="E56" s="5" t="s">
        <v>184</v>
      </c>
      <c r="F56" s="5" t="s">
        <v>105</v>
      </c>
      <c r="G56" s="5" t="s">
        <v>52</v>
      </c>
      <c r="H56" s="5" t="s">
        <v>45</v>
      </c>
      <c r="I56" s="5" t="s">
        <v>76</v>
      </c>
      <c r="J56" s="5" t="s">
        <v>47</v>
      </c>
      <c r="K56" s="5"/>
    </row>
    <row r="57" customFormat="false" ht="23.85" hidden="false" customHeight="false" outlineLevel="0" collapsed="false">
      <c r="A57" s="5" t="n">
        <v>56</v>
      </c>
      <c r="B57" s="5" t="s">
        <v>72</v>
      </c>
      <c r="C57" s="5" t="s">
        <v>165</v>
      </c>
      <c r="D57" s="5" t="s">
        <v>185</v>
      </c>
      <c r="E57" s="5" t="s">
        <v>186</v>
      </c>
      <c r="F57" s="5" t="s">
        <v>75</v>
      </c>
      <c r="G57" s="5" t="s">
        <v>44</v>
      </c>
      <c r="H57" s="5" t="s">
        <v>53</v>
      </c>
      <c r="I57" s="5" t="s">
        <v>76</v>
      </c>
      <c r="J57" s="5" t="s">
        <v>47</v>
      </c>
      <c r="K57" s="5"/>
    </row>
    <row r="58" customFormat="false" ht="23.85" hidden="false" customHeight="false" outlineLevel="0" collapsed="false">
      <c r="A58" s="5" t="n">
        <v>57</v>
      </c>
      <c r="B58" s="5" t="s">
        <v>72</v>
      </c>
      <c r="C58" s="5" t="s">
        <v>165</v>
      </c>
      <c r="D58" s="5" t="s">
        <v>185</v>
      </c>
      <c r="E58" s="5" t="s">
        <v>187</v>
      </c>
      <c r="F58" s="5" t="s">
        <v>77</v>
      </c>
      <c r="G58" s="5" t="s">
        <v>44</v>
      </c>
      <c r="H58" s="5" t="s">
        <v>53</v>
      </c>
      <c r="I58" s="5" t="s">
        <v>76</v>
      </c>
      <c r="J58" s="5" t="s">
        <v>47</v>
      </c>
      <c r="K58" s="5"/>
    </row>
    <row r="59" customFormat="false" ht="23.85" hidden="false" customHeight="false" outlineLevel="0" collapsed="false">
      <c r="A59" s="5" t="n">
        <v>58</v>
      </c>
      <c r="B59" s="5" t="s">
        <v>72</v>
      </c>
      <c r="C59" s="5" t="s">
        <v>165</v>
      </c>
      <c r="D59" s="5" t="s">
        <v>185</v>
      </c>
      <c r="E59" s="5" t="s">
        <v>188</v>
      </c>
      <c r="F59" s="5" t="s">
        <v>79</v>
      </c>
      <c r="G59" s="5" t="s">
        <v>44</v>
      </c>
      <c r="H59" s="5" t="s">
        <v>45</v>
      </c>
      <c r="I59" s="5" t="s">
        <v>76</v>
      </c>
      <c r="J59" s="5" t="s">
        <v>47</v>
      </c>
      <c r="K59" s="5"/>
    </row>
    <row r="60" customFormat="false" ht="23.85" hidden="false" customHeight="false" outlineLevel="0" collapsed="false">
      <c r="A60" s="5" t="n">
        <v>59</v>
      </c>
      <c r="B60" s="5" t="s">
        <v>72</v>
      </c>
      <c r="C60" s="5" t="s">
        <v>165</v>
      </c>
      <c r="D60" s="5" t="s">
        <v>185</v>
      </c>
      <c r="E60" s="5" t="s">
        <v>189</v>
      </c>
      <c r="F60" s="5" t="s">
        <v>112</v>
      </c>
      <c r="G60" s="5" t="s">
        <v>44</v>
      </c>
      <c r="H60" s="5" t="s">
        <v>45</v>
      </c>
      <c r="I60" s="5" t="s">
        <v>76</v>
      </c>
      <c r="J60" s="5" t="s">
        <v>47</v>
      </c>
      <c r="K60" s="5"/>
    </row>
    <row r="61" customFormat="false" ht="23.85" hidden="false" customHeight="false" outlineLevel="0" collapsed="false">
      <c r="A61" s="5" t="n">
        <v>60</v>
      </c>
      <c r="B61" s="5" t="s">
        <v>72</v>
      </c>
      <c r="C61" s="5" t="s">
        <v>165</v>
      </c>
      <c r="D61" s="5" t="s">
        <v>185</v>
      </c>
      <c r="E61" s="5" t="s">
        <v>190</v>
      </c>
      <c r="F61" s="5" t="s">
        <v>81</v>
      </c>
      <c r="G61" s="5" t="s">
        <v>44</v>
      </c>
      <c r="H61" s="5" t="s">
        <v>45</v>
      </c>
      <c r="I61" s="5" t="s">
        <v>76</v>
      </c>
      <c r="J61" s="5" t="s">
        <v>47</v>
      </c>
      <c r="K61" s="5"/>
    </row>
    <row r="62" customFormat="false" ht="23.85" hidden="false" customHeight="false" outlineLevel="0" collapsed="false">
      <c r="A62" s="5" t="n">
        <v>61</v>
      </c>
      <c r="B62" s="5" t="s">
        <v>72</v>
      </c>
      <c r="C62" s="5" t="s">
        <v>165</v>
      </c>
      <c r="D62" s="5" t="s">
        <v>185</v>
      </c>
      <c r="E62" s="5" t="s">
        <v>191</v>
      </c>
      <c r="F62" s="5" t="s">
        <v>82</v>
      </c>
      <c r="G62" s="5" t="s">
        <v>44</v>
      </c>
      <c r="H62" s="5" t="s">
        <v>45</v>
      </c>
      <c r="I62" s="5" t="s">
        <v>76</v>
      </c>
      <c r="J62" s="5" t="s">
        <v>47</v>
      </c>
      <c r="K62" s="5"/>
    </row>
    <row r="63" customFormat="false" ht="23.85" hidden="false" customHeight="false" outlineLevel="0" collapsed="false">
      <c r="A63" s="5" t="n">
        <v>62</v>
      </c>
      <c r="B63" s="5" t="s">
        <v>72</v>
      </c>
      <c r="C63" s="5" t="s">
        <v>165</v>
      </c>
      <c r="D63" s="5" t="s">
        <v>185</v>
      </c>
      <c r="E63" s="5" t="s">
        <v>192</v>
      </c>
      <c r="F63" s="5" t="s">
        <v>83</v>
      </c>
      <c r="G63" s="5" t="s">
        <v>44</v>
      </c>
      <c r="H63" s="5" t="s">
        <v>45</v>
      </c>
      <c r="I63" s="5" t="s">
        <v>76</v>
      </c>
      <c r="J63" s="5" t="s">
        <v>47</v>
      </c>
      <c r="K63" s="5"/>
    </row>
    <row r="64" customFormat="false" ht="23.85" hidden="false" customHeight="false" outlineLevel="0" collapsed="false">
      <c r="A64" s="5" t="n">
        <v>63</v>
      </c>
      <c r="B64" s="5" t="s">
        <v>72</v>
      </c>
      <c r="C64" s="5" t="s">
        <v>165</v>
      </c>
      <c r="D64" s="5" t="s">
        <v>185</v>
      </c>
      <c r="E64" s="5" t="s">
        <v>193</v>
      </c>
      <c r="F64" s="5" t="s">
        <v>84</v>
      </c>
      <c r="G64" s="5" t="s">
        <v>44</v>
      </c>
      <c r="H64" s="5" t="s">
        <v>45</v>
      </c>
      <c r="I64" s="5" t="s">
        <v>76</v>
      </c>
      <c r="J64" s="5" t="s">
        <v>47</v>
      </c>
      <c r="K64" s="5"/>
    </row>
    <row r="65" customFormat="false" ht="23.85" hidden="false" customHeight="false" outlineLevel="0" collapsed="false">
      <c r="A65" s="5" t="n">
        <v>64</v>
      </c>
      <c r="B65" s="5" t="s">
        <v>72</v>
      </c>
      <c r="C65" s="5" t="s">
        <v>165</v>
      </c>
      <c r="D65" s="5" t="s">
        <v>185</v>
      </c>
      <c r="E65" s="5" t="s">
        <v>194</v>
      </c>
      <c r="F65" s="5" t="s">
        <v>85</v>
      </c>
      <c r="G65" s="5" t="s">
        <v>44</v>
      </c>
      <c r="H65" s="5" t="s">
        <v>45</v>
      </c>
      <c r="I65" s="5" t="s">
        <v>76</v>
      </c>
      <c r="J65" s="5" t="s">
        <v>47</v>
      </c>
      <c r="K65" s="5"/>
    </row>
    <row r="66" customFormat="false" ht="23.85" hidden="false" customHeight="false" outlineLevel="0" collapsed="false">
      <c r="A66" s="5" t="n">
        <v>65</v>
      </c>
      <c r="B66" s="5" t="s">
        <v>72</v>
      </c>
      <c r="C66" s="5" t="s">
        <v>165</v>
      </c>
      <c r="D66" s="5" t="s">
        <v>185</v>
      </c>
      <c r="E66" s="5" t="s">
        <v>195</v>
      </c>
      <c r="F66" s="5" t="s">
        <v>86</v>
      </c>
      <c r="G66" s="5" t="s">
        <v>52</v>
      </c>
      <c r="H66" s="5" t="s">
        <v>45</v>
      </c>
      <c r="I66" s="5" t="s">
        <v>76</v>
      </c>
      <c r="J66" s="5" t="s">
        <v>47</v>
      </c>
      <c r="K66" s="5"/>
    </row>
    <row r="67" customFormat="false" ht="23.85" hidden="false" customHeight="false" outlineLevel="0" collapsed="false">
      <c r="A67" s="5" t="n">
        <v>66</v>
      </c>
      <c r="B67" s="5" t="s">
        <v>72</v>
      </c>
      <c r="C67" s="5" t="s">
        <v>165</v>
      </c>
      <c r="D67" s="5" t="s">
        <v>185</v>
      </c>
      <c r="E67" s="5" t="s">
        <v>196</v>
      </c>
      <c r="F67" s="5" t="s">
        <v>89</v>
      </c>
      <c r="G67" s="5" t="s">
        <v>44</v>
      </c>
      <c r="H67" s="5" t="s">
        <v>45</v>
      </c>
      <c r="I67" s="5" t="s">
        <v>76</v>
      </c>
      <c r="J67" s="5" t="s">
        <v>47</v>
      </c>
      <c r="K67" s="5"/>
    </row>
    <row r="68" customFormat="false" ht="23.85" hidden="false" customHeight="false" outlineLevel="0" collapsed="false">
      <c r="A68" s="5" t="n">
        <v>67</v>
      </c>
      <c r="B68" s="5" t="s">
        <v>72</v>
      </c>
      <c r="C68" s="5" t="s">
        <v>165</v>
      </c>
      <c r="D68" s="5" t="s">
        <v>185</v>
      </c>
      <c r="E68" s="5" t="s">
        <v>197</v>
      </c>
      <c r="F68" s="5" t="s">
        <v>91</v>
      </c>
      <c r="G68" s="5" t="s">
        <v>44</v>
      </c>
      <c r="H68" s="5" t="s">
        <v>45</v>
      </c>
      <c r="I68" s="5" t="s">
        <v>76</v>
      </c>
      <c r="J68" s="5" t="s">
        <v>47</v>
      </c>
      <c r="K68" s="5"/>
    </row>
    <row r="69" customFormat="false" ht="23.85" hidden="false" customHeight="false" outlineLevel="0" collapsed="false">
      <c r="A69" s="5" t="n">
        <v>68</v>
      </c>
      <c r="B69" s="5" t="s">
        <v>72</v>
      </c>
      <c r="C69" s="5" t="s">
        <v>165</v>
      </c>
      <c r="D69" s="5" t="s">
        <v>185</v>
      </c>
      <c r="E69" s="5" t="s">
        <v>198</v>
      </c>
      <c r="F69" s="5" t="s">
        <v>122</v>
      </c>
      <c r="G69" s="5" t="s">
        <v>44</v>
      </c>
      <c r="H69" s="5" t="s">
        <v>45</v>
      </c>
      <c r="I69" s="5" t="s">
        <v>76</v>
      </c>
      <c r="J69" s="5" t="s">
        <v>47</v>
      </c>
      <c r="K69" s="5"/>
    </row>
    <row r="70" customFormat="false" ht="23.85" hidden="false" customHeight="false" outlineLevel="0" collapsed="false">
      <c r="A70" s="5" t="n">
        <v>69</v>
      </c>
      <c r="B70" s="5" t="s">
        <v>72</v>
      </c>
      <c r="C70" s="5" t="s">
        <v>165</v>
      </c>
      <c r="D70" s="5" t="s">
        <v>185</v>
      </c>
      <c r="E70" s="5" t="s">
        <v>199</v>
      </c>
      <c r="F70" s="5" t="s">
        <v>101</v>
      </c>
      <c r="G70" s="5" t="s">
        <v>52</v>
      </c>
      <c r="H70" s="5" t="s">
        <v>45</v>
      </c>
      <c r="I70" s="5" t="s">
        <v>76</v>
      </c>
      <c r="J70" s="5" t="s">
        <v>47</v>
      </c>
      <c r="K70" s="5"/>
    </row>
    <row r="71" customFormat="false" ht="23.85" hidden="false" customHeight="false" outlineLevel="0" collapsed="false">
      <c r="A71" s="5" t="n">
        <v>70</v>
      </c>
      <c r="B71" s="5" t="s">
        <v>72</v>
      </c>
      <c r="C71" s="5" t="s">
        <v>165</v>
      </c>
      <c r="D71" s="5" t="s">
        <v>185</v>
      </c>
      <c r="E71" s="5" t="s">
        <v>200</v>
      </c>
      <c r="F71" s="5" t="s">
        <v>103</v>
      </c>
      <c r="G71" s="5" t="s">
        <v>44</v>
      </c>
      <c r="H71" s="5" t="s">
        <v>45</v>
      </c>
      <c r="I71" s="5" t="s">
        <v>76</v>
      </c>
      <c r="J71" s="5" t="s">
        <v>47</v>
      </c>
      <c r="K71" s="5"/>
    </row>
    <row r="72" customFormat="false" ht="23.85" hidden="false" customHeight="false" outlineLevel="0" collapsed="false">
      <c r="A72" s="5" t="n">
        <v>71</v>
      </c>
      <c r="B72" s="5" t="s">
        <v>72</v>
      </c>
      <c r="C72" s="5" t="s">
        <v>165</v>
      </c>
      <c r="D72" s="5" t="s">
        <v>185</v>
      </c>
      <c r="E72" s="5" t="s">
        <v>201</v>
      </c>
      <c r="F72" s="5" t="s">
        <v>105</v>
      </c>
      <c r="G72" s="5" t="s">
        <v>52</v>
      </c>
      <c r="H72" s="5" t="s">
        <v>45</v>
      </c>
      <c r="I72" s="5" t="s">
        <v>76</v>
      </c>
      <c r="J72" s="5" t="s">
        <v>47</v>
      </c>
      <c r="K72" s="5"/>
    </row>
    <row r="73" customFormat="false" ht="23.85" hidden="false" customHeight="false" outlineLevel="0" collapsed="false">
      <c r="A73" s="5" t="n">
        <v>72</v>
      </c>
      <c r="B73" s="5" t="s">
        <v>72</v>
      </c>
      <c r="C73" s="5" t="s">
        <v>73</v>
      </c>
      <c r="D73" s="5" t="s">
        <v>126</v>
      </c>
      <c r="E73" s="5" t="s">
        <v>127</v>
      </c>
      <c r="F73" s="5" t="s">
        <v>128</v>
      </c>
      <c r="G73" s="5" t="s">
        <v>52</v>
      </c>
      <c r="H73" s="5" t="s">
        <v>53</v>
      </c>
      <c r="I73" s="5" t="s">
        <v>76</v>
      </c>
      <c r="J73" s="5" t="s">
        <v>47</v>
      </c>
      <c r="K73" s="5"/>
    </row>
    <row r="74" customFormat="false" ht="23.85" hidden="false" customHeight="false" outlineLevel="0" collapsed="false">
      <c r="A74" s="5" t="n">
        <v>73</v>
      </c>
      <c r="B74" s="5" t="s">
        <v>72</v>
      </c>
      <c r="C74" s="5" t="s">
        <v>73</v>
      </c>
      <c r="D74" s="5" t="s">
        <v>126</v>
      </c>
      <c r="E74" s="5" t="s">
        <v>129</v>
      </c>
      <c r="F74" s="5" t="s">
        <v>130</v>
      </c>
      <c r="G74" s="5" t="s">
        <v>52</v>
      </c>
      <c r="H74" s="5" t="s">
        <v>45</v>
      </c>
      <c r="I74" s="5" t="s">
        <v>76</v>
      </c>
      <c r="J74" s="5" t="s">
        <v>47</v>
      </c>
      <c r="K74" s="5"/>
    </row>
    <row r="75" customFormat="false" ht="23.85" hidden="false" customHeight="false" outlineLevel="0" collapsed="false">
      <c r="A75" s="5" t="n">
        <v>74</v>
      </c>
      <c r="B75" s="5" t="s">
        <v>72</v>
      </c>
      <c r="C75" s="5" t="s">
        <v>73</v>
      </c>
      <c r="D75" s="5" t="s">
        <v>126</v>
      </c>
      <c r="E75" s="5" t="s">
        <v>131</v>
      </c>
      <c r="F75" s="5" t="s">
        <v>132</v>
      </c>
      <c r="G75" s="5" t="s">
        <v>44</v>
      </c>
      <c r="H75" s="5" t="s">
        <v>45</v>
      </c>
      <c r="I75" s="5" t="s">
        <v>76</v>
      </c>
      <c r="J75" s="5" t="s">
        <v>47</v>
      </c>
      <c r="K75" s="5"/>
    </row>
    <row r="76" customFormat="false" ht="23.85" hidden="false" customHeight="false" outlineLevel="0" collapsed="false">
      <c r="A76" s="5" t="n">
        <v>75</v>
      </c>
      <c r="B76" s="5" t="s">
        <v>72</v>
      </c>
      <c r="C76" s="5" t="s">
        <v>73</v>
      </c>
      <c r="D76" s="5" t="s">
        <v>126</v>
      </c>
      <c r="E76" s="5" t="s">
        <v>133</v>
      </c>
      <c r="F76" s="5" t="s">
        <v>134</v>
      </c>
      <c r="G76" s="5" t="s">
        <v>52</v>
      </c>
      <c r="H76" s="5" t="s">
        <v>45</v>
      </c>
      <c r="I76" s="5" t="s">
        <v>76</v>
      </c>
      <c r="J76" s="5" t="s">
        <v>47</v>
      </c>
      <c r="K76" s="5"/>
    </row>
    <row r="77" customFormat="false" ht="23.85" hidden="false" customHeight="false" outlineLevel="0" collapsed="false">
      <c r="A77" s="5" t="n">
        <v>76</v>
      </c>
      <c r="B77" s="5" t="s">
        <v>72</v>
      </c>
      <c r="C77" s="5" t="s">
        <v>73</v>
      </c>
      <c r="D77" s="5" t="s">
        <v>126</v>
      </c>
      <c r="E77" s="5" t="s">
        <v>135</v>
      </c>
      <c r="F77" s="5" t="s">
        <v>136</v>
      </c>
      <c r="G77" s="5" t="s">
        <v>44</v>
      </c>
      <c r="H77" s="5" t="s">
        <v>45</v>
      </c>
      <c r="I77" s="5" t="s">
        <v>76</v>
      </c>
      <c r="J77" s="5" t="s">
        <v>47</v>
      </c>
      <c r="K77" s="5"/>
    </row>
    <row r="78" customFormat="false" ht="23.85" hidden="false" customHeight="false" outlineLevel="0" collapsed="false">
      <c r="A78" s="5" t="n">
        <v>77</v>
      </c>
      <c r="B78" s="5" t="s">
        <v>72</v>
      </c>
      <c r="C78" s="5" t="s">
        <v>73</v>
      </c>
      <c r="D78" s="5" t="s">
        <v>126</v>
      </c>
      <c r="E78" s="5" t="s">
        <v>137</v>
      </c>
      <c r="F78" s="5" t="s">
        <v>138</v>
      </c>
      <c r="G78" s="5" t="s">
        <v>44</v>
      </c>
      <c r="H78" s="5" t="s">
        <v>45</v>
      </c>
      <c r="I78" s="5" t="s">
        <v>76</v>
      </c>
      <c r="J78" s="5" t="s">
        <v>47</v>
      </c>
      <c r="K78" s="5"/>
    </row>
    <row r="79" customFormat="false" ht="23.85" hidden="false" customHeight="false" outlineLevel="0" collapsed="false">
      <c r="A79" s="5" t="n">
        <v>78</v>
      </c>
      <c r="B79" s="5" t="s">
        <v>72</v>
      </c>
      <c r="C79" s="5" t="s">
        <v>155</v>
      </c>
      <c r="D79" s="5" t="s">
        <v>155</v>
      </c>
      <c r="E79" s="5" t="s">
        <v>156</v>
      </c>
      <c r="F79" s="5" t="s">
        <v>157</v>
      </c>
      <c r="G79" s="5" t="s">
        <v>44</v>
      </c>
      <c r="H79" s="5" t="s">
        <v>53</v>
      </c>
      <c r="I79" s="5" t="s">
        <v>76</v>
      </c>
      <c r="J79" s="5" t="s">
        <v>47</v>
      </c>
      <c r="K79" s="5"/>
    </row>
    <row r="80" customFormat="false" ht="23.85" hidden="false" customHeight="false" outlineLevel="0" collapsed="false">
      <c r="A80" s="5" t="n">
        <v>79</v>
      </c>
      <c r="B80" s="5" t="s">
        <v>72</v>
      </c>
      <c r="C80" s="5" t="s">
        <v>155</v>
      </c>
      <c r="D80" s="5" t="s">
        <v>155</v>
      </c>
      <c r="E80" s="5" t="s">
        <v>158</v>
      </c>
      <c r="F80" s="5" t="s">
        <v>159</v>
      </c>
      <c r="G80" s="5" t="s">
        <v>44</v>
      </c>
      <c r="H80" s="5" t="s">
        <v>53</v>
      </c>
      <c r="I80" s="5" t="s">
        <v>76</v>
      </c>
      <c r="J80" s="5" t="s">
        <v>47</v>
      </c>
      <c r="K80" s="5"/>
    </row>
    <row r="81" customFormat="false" ht="23.85" hidden="false" customHeight="false" outlineLevel="0" collapsed="false">
      <c r="A81" s="5" t="n">
        <v>80</v>
      </c>
      <c r="B81" s="5" t="s">
        <v>72</v>
      </c>
      <c r="C81" s="5" t="s">
        <v>155</v>
      </c>
      <c r="D81" s="5" t="s">
        <v>155</v>
      </c>
      <c r="E81" s="5" t="s">
        <v>160</v>
      </c>
      <c r="F81" s="5" t="s">
        <v>161</v>
      </c>
      <c r="G81" s="5" t="s">
        <v>44</v>
      </c>
      <c r="H81" s="5" t="s">
        <v>53</v>
      </c>
      <c r="I81" s="5" t="s">
        <v>76</v>
      </c>
      <c r="J81" s="5" t="s">
        <v>47</v>
      </c>
      <c r="K81" s="5"/>
    </row>
    <row r="82" customFormat="false" ht="23.85" hidden="false" customHeight="false" outlineLevel="0" collapsed="false">
      <c r="A82" s="5" t="n">
        <v>81</v>
      </c>
      <c r="B82" s="5" t="s">
        <v>72</v>
      </c>
      <c r="C82" s="5" t="s">
        <v>162</v>
      </c>
      <c r="D82" s="5" t="s">
        <v>162</v>
      </c>
      <c r="E82" s="5" t="s">
        <v>163</v>
      </c>
      <c r="F82" s="5" t="s">
        <v>164</v>
      </c>
      <c r="G82" s="5" t="s">
        <v>44</v>
      </c>
      <c r="H82" s="5" t="s">
        <v>53</v>
      </c>
      <c r="I82" s="5" t="s">
        <v>76</v>
      </c>
      <c r="J82" s="5" t="s">
        <v>47</v>
      </c>
      <c r="K82" s="5"/>
    </row>
    <row r="83" customFormat="false" ht="23.85" hidden="false" customHeight="false" outlineLevel="0" collapsed="false">
      <c r="A83" s="5" t="n">
        <v>82</v>
      </c>
      <c r="B83" s="5" t="s">
        <v>72</v>
      </c>
      <c r="C83" s="5" t="s">
        <v>139</v>
      </c>
      <c r="D83" s="5" t="s">
        <v>140</v>
      </c>
      <c r="E83" s="5" t="s">
        <v>141</v>
      </c>
      <c r="F83" s="5" t="s">
        <v>142</v>
      </c>
      <c r="G83" s="5" t="s">
        <v>52</v>
      </c>
      <c r="H83" s="5" t="s">
        <v>53</v>
      </c>
      <c r="I83" s="5" t="s">
        <v>76</v>
      </c>
      <c r="J83" s="5" t="s">
        <v>47</v>
      </c>
      <c r="K83" s="5"/>
    </row>
    <row r="84" customFormat="false" ht="23.85" hidden="false" customHeight="false" outlineLevel="0" collapsed="false">
      <c r="A84" s="5" t="n">
        <v>83</v>
      </c>
      <c r="B84" s="5" t="s">
        <v>72</v>
      </c>
      <c r="C84" s="5" t="s">
        <v>139</v>
      </c>
      <c r="D84" s="5" t="s">
        <v>140</v>
      </c>
      <c r="E84" s="5" t="s">
        <v>143</v>
      </c>
      <c r="F84" s="5" t="s">
        <v>144</v>
      </c>
      <c r="G84" s="5" t="s">
        <v>44</v>
      </c>
      <c r="H84" s="5" t="s">
        <v>45</v>
      </c>
      <c r="I84" s="5" t="s">
        <v>76</v>
      </c>
      <c r="J84" s="5" t="s">
        <v>47</v>
      </c>
      <c r="K84" s="5"/>
    </row>
    <row r="85" customFormat="false" ht="23.85" hidden="false" customHeight="false" outlineLevel="0" collapsed="false">
      <c r="A85" s="5" t="n">
        <v>84</v>
      </c>
      <c r="B85" s="5" t="s">
        <v>72</v>
      </c>
      <c r="C85" s="5" t="s">
        <v>139</v>
      </c>
      <c r="D85" s="5" t="s">
        <v>140</v>
      </c>
      <c r="E85" s="5" t="s">
        <v>145</v>
      </c>
      <c r="F85" s="5" t="s">
        <v>146</v>
      </c>
      <c r="G85" s="5" t="s">
        <v>44</v>
      </c>
      <c r="H85" s="5" t="s">
        <v>45</v>
      </c>
      <c r="I85" s="5" t="s">
        <v>76</v>
      </c>
      <c r="J85" s="5" t="s">
        <v>47</v>
      </c>
      <c r="K85" s="5"/>
    </row>
    <row r="86" customFormat="false" ht="23.85" hidden="false" customHeight="false" outlineLevel="0" collapsed="false">
      <c r="A86" s="5" t="n">
        <v>85</v>
      </c>
      <c r="B86" s="5" t="s">
        <v>72</v>
      </c>
      <c r="C86" s="5" t="s">
        <v>139</v>
      </c>
      <c r="D86" s="5" t="s">
        <v>140</v>
      </c>
      <c r="E86" s="5" t="s">
        <v>147</v>
      </c>
      <c r="F86" s="5" t="s">
        <v>148</v>
      </c>
      <c r="G86" s="5" t="s">
        <v>52</v>
      </c>
      <c r="H86" s="5" t="s">
        <v>45</v>
      </c>
      <c r="I86" s="5" t="s">
        <v>76</v>
      </c>
      <c r="J86" s="5" t="s">
        <v>47</v>
      </c>
      <c r="K86" s="5"/>
    </row>
    <row r="87" customFormat="false" ht="23.85" hidden="false" customHeight="false" outlineLevel="0" collapsed="false">
      <c r="A87" s="5" t="n">
        <v>86</v>
      </c>
      <c r="B87" s="5" t="s">
        <v>72</v>
      </c>
      <c r="C87" s="5" t="s">
        <v>139</v>
      </c>
      <c r="D87" s="5" t="s">
        <v>140</v>
      </c>
      <c r="E87" s="5" t="s">
        <v>149</v>
      </c>
      <c r="F87" s="5" t="s">
        <v>150</v>
      </c>
      <c r="G87" s="5" t="s">
        <v>44</v>
      </c>
      <c r="H87" s="5" t="s">
        <v>45</v>
      </c>
      <c r="I87" s="5" t="s">
        <v>76</v>
      </c>
      <c r="J87" s="5" t="s">
        <v>47</v>
      </c>
      <c r="K87" s="5"/>
    </row>
    <row r="88" customFormat="false" ht="23.85" hidden="false" customHeight="false" outlineLevel="0" collapsed="false">
      <c r="A88" s="5" t="n">
        <v>87</v>
      </c>
      <c r="B88" s="5" t="s">
        <v>72</v>
      </c>
      <c r="C88" s="5" t="s">
        <v>139</v>
      </c>
      <c r="D88" s="5" t="s">
        <v>140</v>
      </c>
      <c r="E88" s="5" t="s">
        <v>151</v>
      </c>
      <c r="F88" s="5" t="s">
        <v>152</v>
      </c>
      <c r="G88" s="5" t="s">
        <v>52</v>
      </c>
      <c r="H88" s="5" t="s">
        <v>53</v>
      </c>
      <c r="I88" s="5" t="s">
        <v>76</v>
      </c>
      <c r="J88" s="5" t="s">
        <v>47</v>
      </c>
      <c r="K88" s="5"/>
    </row>
    <row r="89" customFormat="false" ht="23.85" hidden="false" customHeight="false" outlineLevel="0" collapsed="false">
      <c r="A89" s="5" t="n">
        <v>88</v>
      </c>
      <c r="B89" s="5" t="s">
        <v>72</v>
      </c>
      <c r="C89" s="5" t="s">
        <v>139</v>
      </c>
      <c r="D89" s="5" t="s">
        <v>140</v>
      </c>
      <c r="E89" s="5" t="s">
        <v>153</v>
      </c>
      <c r="F89" s="5" t="s">
        <v>154</v>
      </c>
      <c r="G89" s="5" t="s">
        <v>44</v>
      </c>
      <c r="H89" s="5" t="s">
        <v>45</v>
      </c>
      <c r="I89" s="5" t="s">
        <v>76</v>
      </c>
      <c r="J89" s="5" t="s">
        <v>47</v>
      </c>
      <c r="K89" s="5"/>
    </row>
    <row r="90" customFormat="false" ht="23.85" hidden="false" customHeight="false" outlineLevel="0" collapsed="false">
      <c r="A90" s="5" t="n">
        <v>89</v>
      </c>
      <c r="B90" s="5" t="s">
        <v>72</v>
      </c>
      <c r="C90" s="5" t="s">
        <v>202</v>
      </c>
      <c r="D90" s="5" t="s">
        <v>208</v>
      </c>
      <c r="E90" s="5" t="s">
        <v>209</v>
      </c>
      <c r="F90" s="5" t="s">
        <v>210</v>
      </c>
      <c r="G90" s="5" t="s">
        <v>44</v>
      </c>
      <c r="H90" s="5" t="s">
        <v>45</v>
      </c>
      <c r="I90" s="5" t="s">
        <v>76</v>
      </c>
      <c r="J90" s="5" t="s">
        <v>47</v>
      </c>
      <c r="K90" s="5"/>
    </row>
    <row r="91" customFormat="false" ht="23.85" hidden="false" customHeight="false" outlineLevel="0" collapsed="false">
      <c r="A91" s="5" t="n">
        <v>90</v>
      </c>
      <c r="B91" s="5" t="s">
        <v>72</v>
      </c>
      <c r="C91" s="5" t="s">
        <v>202</v>
      </c>
      <c r="D91" s="5" t="s">
        <v>208</v>
      </c>
      <c r="E91" s="5" t="s">
        <v>211</v>
      </c>
      <c r="F91" s="5" t="s">
        <v>212</v>
      </c>
      <c r="G91" s="5" t="s">
        <v>52</v>
      </c>
      <c r="H91" s="5" t="s">
        <v>45</v>
      </c>
      <c r="I91" s="5" t="s">
        <v>76</v>
      </c>
      <c r="J91" s="5" t="s">
        <v>47</v>
      </c>
      <c r="K91" s="5"/>
    </row>
    <row r="92" customFormat="false" ht="23.85" hidden="false" customHeight="false" outlineLevel="0" collapsed="false">
      <c r="A92" s="5" t="n">
        <v>91</v>
      </c>
      <c r="B92" s="5" t="s">
        <v>72</v>
      </c>
      <c r="C92" s="5" t="s">
        <v>202</v>
      </c>
      <c r="D92" s="5" t="s">
        <v>208</v>
      </c>
      <c r="E92" s="5" t="s">
        <v>213</v>
      </c>
      <c r="F92" s="5" t="s">
        <v>214</v>
      </c>
      <c r="G92" s="5" t="s">
        <v>52</v>
      </c>
      <c r="H92" s="5" t="s">
        <v>45</v>
      </c>
      <c r="I92" s="5" t="s">
        <v>76</v>
      </c>
      <c r="J92" s="5" t="s">
        <v>47</v>
      </c>
      <c r="K92" s="5"/>
    </row>
    <row r="93" customFormat="false" ht="23.85" hidden="false" customHeight="false" outlineLevel="0" collapsed="false">
      <c r="A93" s="5" t="n">
        <v>92</v>
      </c>
      <c r="B93" s="5" t="s">
        <v>72</v>
      </c>
      <c r="C93" s="5" t="s">
        <v>202</v>
      </c>
      <c r="D93" s="5" t="s">
        <v>208</v>
      </c>
      <c r="E93" s="5" t="s">
        <v>215</v>
      </c>
      <c r="F93" s="5" t="s">
        <v>216</v>
      </c>
      <c r="G93" s="5" t="s">
        <v>44</v>
      </c>
      <c r="H93" s="5" t="s">
        <v>45</v>
      </c>
      <c r="I93" s="5" t="s">
        <v>76</v>
      </c>
      <c r="J93" s="5" t="s">
        <v>47</v>
      </c>
      <c r="K93" s="5"/>
    </row>
    <row r="94" customFormat="false" ht="23.85" hidden="false" customHeight="false" outlineLevel="0" collapsed="false">
      <c r="A94" s="5" t="n">
        <v>93</v>
      </c>
      <c r="B94" s="5" t="s">
        <v>72</v>
      </c>
      <c r="C94" s="5" t="s">
        <v>202</v>
      </c>
      <c r="D94" s="5" t="s">
        <v>208</v>
      </c>
      <c r="E94" s="5" t="s">
        <v>217</v>
      </c>
      <c r="F94" s="5" t="s">
        <v>218</v>
      </c>
      <c r="G94" s="5" t="s">
        <v>44</v>
      </c>
      <c r="H94" s="5" t="s">
        <v>45</v>
      </c>
      <c r="I94" s="5" t="s">
        <v>76</v>
      </c>
      <c r="J94" s="5" t="s">
        <v>47</v>
      </c>
      <c r="K94" s="5"/>
    </row>
    <row r="95" customFormat="false" ht="23.85" hidden="false" customHeight="false" outlineLevel="0" collapsed="false">
      <c r="A95" s="5" t="n">
        <v>94</v>
      </c>
      <c r="B95" s="5" t="s">
        <v>72</v>
      </c>
      <c r="C95" s="5" t="s">
        <v>202</v>
      </c>
      <c r="D95" s="5" t="s">
        <v>208</v>
      </c>
      <c r="E95" s="5" t="s">
        <v>219</v>
      </c>
      <c r="F95" s="5" t="s">
        <v>220</v>
      </c>
      <c r="G95" s="5" t="s">
        <v>44</v>
      </c>
      <c r="H95" s="5" t="s">
        <v>53</v>
      </c>
      <c r="I95" s="5" t="s">
        <v>76</v>
      </c>
      <c r="J95" s="5" t="s">
        <v>47</v>
      </c>
      <c r="K95" s="5"/>
    </row>
    <row r="96" customFormat="false" ht="23.85" hidden="false" customHeight="false" outlineLevel="0" collapsed="false">
      <c r="A96" s="5" t="n">
        <v>95</v>
      </c>
      <c r="B96" s="5" t="s">
        <v>72</v>
      </c>
      <c r="C96" s="5" t="s">
        <v>202</v>
      </c>
      <c r="D96" s="5" t="s">
        <v>208</v>
      </c>
      <c r="E96" s="5" t="s">
        <v>221</v>
      </c>
      <c r="F96" s="5" t="s">
        <v>222</v>
      </c>
      <c r="G96" s="5" t="s">
        <v>52</v>
      </c>
      <c r="H96" s="5" t="s">
        <v>53</v>
      </c>
      <c r="I96" s="5" t="s">
        <v>76</v>
      </c>
      <c r="J96" s="7" t="s">
        <v>223</v>
      </c>
      <c r="K96" s="5" t="s">
        <v>224</v>
      </c>
    </row>
    <row r="97" customFormat="false" ht="23.85" hidden="false" customHeight="false" outlineLevel="0" collapsed="false">
      <c r="A97" s="5" t="n">
        <v>96</v>
      </c>
      <c r="B97" s="5" t="s">
        <v>72</v>
      </c>
      <c r="C97" s="5" t="s">
        <v>202</v>
      </c>
      <c r="D97" s="5" t="s">
        <v>208</v>
      </c>
      <c r="E97" s="5" t="s">
        <v>225</v>
      </c>
      <c r="F97" s="5" t="s">
        <v>226</v>
      </c>
      <c r="G97" s="5" t="s">
        <v>52</v>
      </c>
      <c r="H97" s="5" t="s">
        <v>53</v>
      </c>
      <c r="I97" s="5" t="s">
        <v>76</v>
      </c>
      <c r="J97" s="5" t="s">
        <v>47</v>
      </c>
      <c r="K97" s="5"/>
    </row>
    <row r="98" customFormat="false" ht="23.85" hidden="false" customHeight="false" outlineLevel="0" collapsed="false">
      <c r="A98" s="5" t="n">
        <v>97</v>
      </c>
      <c r="B98" s="5" t="s">
        <v>72</v>
      </c>
      <c r="C98" s="5" t="s">
        <v>202</v>
      </c>
      <c r="D98" s="5" t="s">
        <v>208</v>
      </c>
      <c r="E98" s="5" t="s">
        <v>227</v>
      </c>
      <c r="F98" s="5" t="s">
        <v>228</v>
      </c>
      <c r="G98" s="5" t="s">
        <v>52</v>
      </c>
      <c r="H98" s="5" t="s">
        <v>53</v>
      </c>
      <c r="I98" s="5" t="s">
        <v>76</v>
      </c>
      <c r="J98" s="6" t="s">
        <v>206</v>
      </c>
      <c r="K98" s="5" t="s">
        <v>229</v>
      </c>
    </row>
    <row r="99" customFormat="false" ht="23.85" hidden="false" customHeight="false" outlineLevel="0" collapsed="false">
      <c r="A99" s="5" t="n">
        <v>98</v>
      </c>
      <c r="B99" s="5" t="s">
        <v>72</v>
      </c>
      <c r="C99" s="5" t="s">
        <v>202</v>
      </c>
      <c r="D99" s="5" t="s">
        <v>208</v>
      </c>
      <c r="E99" s="5" t="s">
        <v>230</v>
      </c>
      <c r="F99" s="5" t="s">
        <v>231</v>
      </c>
      <c r="G99" s="5" t="s">
        <v>44</v>
      </c>
      <c r="H99" s="5" t="s">
        <v>45</v>
      </c>
      <c r="I99" s="5" t="s">
        <v>76</v>
      </c>
      <c r="J99" s="5" t="s">
        <v>47</v>
      </c>
      <c r="K99" s="5"/>
    </row>
    <row r="100" customFormat="false" ht="23.85" hidden="false" customHeight="false" outlineLevel="0" collapsed="false">
      <c r="A100" s="5" t="n">
        <v>99</v>
      </c>
      <c r="B100" s="5" t="s">
        <v>72</v>
      </c>
      <c r="C100" s="5" t="s">
        <v>202</v>
      </c>
      <c r="D100" s="5" t="s">
        <v>208</v>
      </c>
      <c r="E100" s="5" t="s">
        <v>232</v>
      </c>
      <c r="F100" s="5" t="s">
        <v>233</v>
      </c>
      <c r="G100" s="5" t="s">
        <v>44</v>
      </c>
      <c r="H100" s="5" t="s">
        <v>45</v>
      </c>
      <c r="I100" s="5" t="s">
        <v>76</v>
      </c>
      <c r="J100" s="5" t="s">
        <v>47</v>
      </c>
      <c r="K10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23.85" hidden="false" customHeight="false" outlineLevel="0" collapsed="false">
      <c r="A2" s="5" t="n">
        <v>1</v>
      </c>
      <c r="B2" s="5" t="s">
        <v>234</v>
      </c>
      <c r="C2" s="5" t="s">
        <v>235</v>
      </c>
      <c r="D2" s="5" t="s">
        <v>236</v>
      </c>
      <c r="E2" s="5" t="s">
        <v>237</v>
      </c>
      <c r="F2" s="5" t="s">
        <v>238</v>
      </c>
      <c r="G2" s="5" t="s">
        <v>44</v>
      </c>
      <c r="H2" s="5" t="s">
        <v>53</v>
      </c>
      <c r="I2" s="5" t="s">
        <v>239</v>
      </c>
      <c r="J2" s="5" t="s">
        <v>47</v>
      </c>
      <c r="K2" s="5"/>
    </row>
    <row r="3" customFormat="false" ht="23.85" hidden="false" customHeight="false" outlineLevel="0" collapsed="false">
      <c r="A3" s="5" t="n">
        <v>2</v>
      </c>
      <c r="B3" s="5" t="s">
        <v>234</v>
      </c>
      <c r="C3" s="5" t="s">
        <v>235</v>
      </c>
      <c r="D3" s="5" t="s">
        <v>236</v>
      </c>
      <c r="E3" s="5" t="s">
        <v>240</v>
      </c>
      <c r="F3" s="5" t="s">
        <v>241</v>
      </c>
      <c r="G3" s="5" t="s">
        <v>44</v>
      </c>
      <c r="H3" s="5" t="s">
        <v>45</v>
      </c>
      <c r="I3" s="5" t="s">
        <v>239</v>
      </c>
      <c r="J3" s="5" t="s">
        <v>47</v>
      </c>
      <c r="K3" s="5"/>
    </row>
    <row r="4" customFormat="false" ht="23.85" hidden="false" customHeight="false" outlineLevel="0" collapsed="false">
      <c r="A4" s="5" t="n">
        <v>3</v>
      </c>
      <c r="B4" s="5" t="s">
        <v>234</v>
      </c>
      <c r="C4" s="5" t="s">
        <v>235</v>
      </c>
      <c r="D4" s="5" t="s">
        <v>236</v>
      </c>
      <c r="E4" s="5" t="s">
        <v>242</v>
      </c>
      <c r="F4" s="5" t="s">
        <v>243</v>
      </c>
      <c r="G4" s="5" t="s">
        <v>44</v>
      </c>
      <c r="H4" s="5" t="s">
        <v>53</v>
      </c>
      <c r="I4" s="5" t="s">
        <v>239</v>
      </c>
      <c r="J4" s="5" t="s">
        <v>47</v>
      </c>
      <c r="K4" s="5"/>
    </row>
    <row r="5" customFormat="false" ht="23.85" hidden="false" customHeight="false" outlineLevel="0" collapsed="false">
      <c r="A5" s="5" t="n">
        <v>4</v>
      </c>
      <c r="B5" s="5" t="s">
        <v>234</v>
      </c>
      <c r="C5" s="5" t="s">
        <v>235</v>
      </c>
      <c r="D5" s="5" t="s">
        <v>236</v>
      </c>
      <c r="E5" s="5" t="s">
        <v>244</v>
      </c>
      <c r="F5" s="5" t="s">
        <v>245</v>
      </c>
      <c r="G5" s="5" t="s">
        <v>52</v>
      </c>
      <c r="H5" s="5" t="s">
        <v>53</v>
      </c>
      <c r="I5" s="5" t="s">
        <v>239</v>
      </c>
      <c r="J5" s="5" t="s">
        <v>47</v>
      </c>
      <c r="K5" s="5"/>
    </row>
    <row r="6" customFormat="false" ht="23.85" hidden="false" customHeight="false" outlineLevel="0" collapsed="false">
      <c r="A6" s="5" t="n">
        <v>5</v>
      </c>
      <c r="B6" s="5" t="s">
        <v>234</v>
      </c>
      <c r="C6" s="5" t="s">
        <v>235</v>
      </c>
      <c r="D6" s="5" t="s">
        <v>236</v>
      </c>
      <c r="E6" s="5" t="s">
        <v>127</v>
      </c>
      <c r="F6" s="5" t="s">
        <v>246</v>
      </c>
      <c r="G6" s="5" t="s">
        <v>44</v>
      </c>
      <c r="H6" s="5" t="s">
        <v>53</v>
      </c>
      <c r="I6" s="5" t="s">
        <v>239</v>
      </c>
      <c r="J6" s="5" t="s">
        <v>47</v>
      </c>
      <c r="K6" s="5"/>
    </row>
    <row r="7" customFormat="false" ht="23.85" hidden="false" customHeight="false" outlineLevel="0" collapsed="false">
      <c r="A7" s="5" t="n">
        <v>6</v>
      </c>
      <c r="B7" s="5" t="s">
        <v>234</v>
      </c>
      <c r="C7" s="5" t="s">
        <v>235</v>
      </c>
      <c r="D7" s="5" t="s">
        <v>236</v>
      </c>
      <c r="E7" s="5" t="s">
        <v>129</v>
      </c>
      <c r="F7" s="5" t="s">
        <v>247</v>
      </c>
      <c r="G7" s="5" t="s">
        <v>52</v>
      </c>
      <c r="H7" s="5" t="s">
        <v>53</v>
      </c>
      <c r="I7" s="5" t="s">
        <v>239</v>
      </c>
      <c r="J7" s="5" t="s">
        <v>47</v>
      </c>
      <c r="K7" s="5"/>
    </row>
    <row r="8" customFormat="false" ht="23.85" hidden="false" customHeight="false" outlineLevel="0" collapsed="false">
      <c r="A8" s="5" t="n">
        <v>7</v>
      </c>
      <c r="B8" s="5" t="s">
        <v>234</v>
      </c>
      <c r="C8" s="5" t="s">
        <v>235</v>
      </c>
      <c r="D8" s="5" t="s">
        <v>236</v>
      </c>
      <c r="E8" s="5" t="s">
        <v>131</v>
      </c>
      <c r="F8" s="5" t="s">
        <v>248</v>
      </c>
      <c r="G8" s="5" t="s">
        <v>52</v>
      </c>
      <c r="H8" s="5" t="s">
        <v>53</v>
      </c>
      <c r="I8" s="5" t="s">
        <v>239</v>
      </c>
      <c r="J8" s="5" t="s">
        <v>47</v>
      </c>
      <c r="K8" s="5"/>
    </row>
    <row r="9" customFormat="false" ht="23.85" hidden="false" customHeight="false" outlineLevel="0" collapsed="false">
      <c r="A9" s="5" t="n">
        <v>8</v>
      </c>
      <c r="B9" s="5" t="s">
        <v>234</v>
      </c>
      <c r="C9" s="5" t="s">
        <v>235</v>
      </c>
      <c r="D9" s="5" t="s">
        <v>236</v>
      </c>
      <c r="E9" s="5" t="s">
        <v>133</v>
      </c>
      <c r="F9" s="5" t="s">
        <v>249</v>
      </c>
      <c r="G9" s="5" t="s">
        <v>52</v>
      </c>
      <c r="H9" s="5" t="s">
        <v>53</v>
      </c>
      <c r="I9" s="5" t="s">
        <v>239</v>
      </c>
      <c r="J9" s="5" t="s">
        <v>47</v>
      </c>
      <c r="K9" s="5"/>
    </row>
    <row r="10" customFormat="false" ht="23.85" hidden="false" customHeight="false" outlineLevel="0" collapsed="false">
      <c r="A10" s="5" t="n">
        <v>9</v>
      </c>
      <c r="B10" s="5" t="s">
        <v>234</v>
      </c>
      <c r="C10" s="5" t="s">
        <v>235</v>
      </c>
      <c r="D10" s="5" t="s">
        <v>236</v>
      </c>
      <c r="E10" s="5" t="s">
        <v>135</v>
      </c>
      <c r="F10" s="5" t="s">
        <v>250</v>
      </c>
      <c r="G10" s="5" t="s">
        <v>44</v>
      </c>
      <c r="H10" s="5" t="s">
        <v>45</v>
      </c>
      <c r="I10" s="5" t="s">
        <v>239</v>
      </c>
      <c r="J10" s="5" t="s">
        <v>47</v>
      </c>
      <c r="K10" s="5"/>
    </row>
    <row r="11" customFormat="false" ht="23.85" hidden="false" customHeight="false" outlineLevel="0" collapsed="false">
      <c r="A11" s="5" t="n">
        <v>10</v>
      </c>
      <c r="B11" s="5" t="s">
        <v>234</v>
      </c>
      <c r="C11" s="5" t="s">
        <v>235</v>
      </c>
      <c r="D11" s="5" t="s">
        <v>236</v>
      </c>
      <c r="E11" s="5" t="s">
        <v>137</v>
      </c>
      <c r="F11" s="5" t="s">
        <v>251</v>
      </c>
      <c r="G11" s="5" t="s">
        <v>44</v>
      </c>
      <c r="H11" s="5" t="s">
        <v>45</v>
      </c>
      <c r="I11" s="5" t="s">
        <v>239</v>
      </c>
      <c r="J11" s="5" t="s">
        <v>47</v>
      </c>
      <c r="K11" s="5"/>
    </row>
    <row r="12" customFormat="false" ht="23.85" hidden="false" customHeight="false" outlineLevel="0" collapsed="false">
      <c r="A12" s="5" t="n">
        <v>11</v>
      </c>
      <c r="B12" s="5" t="s">
        <v>234</v>
      </c>
      <c r="C12" s="5" t="s">
        <v>252</v>
      </c>
      <c r="D12" s="5" t="s">
        <v>252</v>
      </c>
      <c r="E12" s="5" t="s">
        <v>156</v>
      </c>
      <c r="F12" s="5" t="s">
        <v>253</v>
      </c>
      <c r="G12" s="5" t="s">
        <v>52</v>
      </c>
      <c r="H12" s="5" t="s">
        <v>45</v>
      </c>
      <c r="I12" s="5" t="s">
        <v>239</v>
      </c>
      <c r="J12" s="5" t="s">
        <v>47</v>
      </c>
      <c r="K12" s="5"/>
    </row>
    <row r="13" customFormat="false" ht="23.85" hidden="false" customHeight="false" outlineLevel="0" collapsed="false">
      <c r="A13" s="5" t="n">
        <v>12</v>
      </c>
      <c r="B13" s="5" t="s">
        <v>234</v>
      </c>
      <c r="C13" s="5" t="s">
        <v>252</v>
      </c>
      <c r="D13" s="5" t="s">
        <v>252</v>
      </c>
      <c r="E13" s="5" t="s">
        <v>158</v>
      </c>
      <c r="F13" s="5" t="s">
        <v>254</v>
      </c>
      <c r="G13" s="5" t="s">
        <v>52</v>
      </c>
      <c r="H13" s="5" t="s">
        <v>45</v>
      </c>
      <c r="I13" s="5" t="s">
        <v>239</v>
      </c>
      <c r="J13" s="5" t="s">
        <v>47</v>
      </c>
      <c r="K13" s="5"/>
    </row>
    <row r="14" customFormat="false" ht="23.85" hidden="false" customHeight="false" outlineLevel="0" collapsed="false">
      <c r="A14" s="5" t="n">
        <v>13</v>
      </c>
      <c r="B14" s="5" t="s">
        <v>234</v>
      </c>
      <c r="C14" s="5" t="s">
        <v>252</v>
      </c>
      <c r="D14" s="5" t="s">
        <v>252</v>
      </c>
      <c r="E14" s="5" t="s">
        <v>160</v>
      </c>
      <c r="F14" s="5" t="s">
        <v>255</v>
      </c>
      <c r="G14" s="5" t="s">
        <v>44</v>
      </c>
      <c r="H14" s="5" t="s">
        <v>45</v>
      </c>
      <c r="I14" s="5" t="s">
        <v>239</v>
      </c>
      <c r="J14" s="5" t="s">
        <v>47</v>
      </c>
      <c r="K14" s="5"/>
    </row>
    <row r="15" customFormat="false" ht="23.85" hidden="false" customHeight="false" outlineLevel="0" collapsed="false">
      <c r="A15" s="5" t="n">
        <v>14</v>
      </c>
      <c r="B15" s="5" t="s">
        <v>234</v>
      </c>
      <c r="C15" s="5" t="s">
        <v>252</v>
      </c>
      <c r="D15" s="5" t="s">
        <v>252</v>
      </c>
      <c r="E15" s="5" t="s">
        <v>256</v>
      </c>
      <c r="F15" s="5" t="s">
        <v>257</v>
      </c>
      <c r="G15" s="5" t="s">
        <v>52</v>
      </c>
      <c r="H15" s="5" t="s">
        <v>53</v>
      </c>
      <c r="I15" s="5" t="s">
        <v>239</v>
      </c>
      <c r="J15" s="5" t="s">
        <v>47</v>
      </c>
      <c r="K15" s="5"/>
    </row>
    <row r="16" customFormat="false" ht="23.85" hidden="false" customHeight="false" outlineLevel="0" collapsed="false">
      <c r="A16" s="5" t="n">
        <v>15</v>
      </c>
      <c r="B16" s="5" t="s">
        <v>234</v>
      </c>
      <c r="C16" s="5" t="s">
        <v>252</v>
      </c>
      <c r="D16" s="5" t="s">
        <v>252</v>
      </c>
      <c r="E16" s="5" t="s">
        <v>258</v>
      </c>
      <c r="F16" s="5" t="s">
        <v>259</v>
      </c>
      <c r="G16" s="5" t="s">
        <v>52</v>
      </c>
      <c r="H16" s="5" t="s">
        <v>53</v>
      </c>
      <c r="I16" s="5" t="s">
        <v>239</v>
      </c>
      <c r="J16" s="5" t="s">
        <v>47</v>
      </c>
      <c r="K16" s="5"/>
    </row>
    <row r="17" customFormat="false" ht="23.85" hidden="false" customHeight="false" outlineLevel="0" collapsed="false">
      <c r="A17" s="5" t="n">
        <v>16</v>
      </c>
      <c r="B17" s="5" t="s">
        <v>234</v>
      </c>
      <c r="C17" s="5" t="s">
        <v>252</v>
      </c>
      <c r="D17" s="5" t="s">
        <v>252</v>
      </c>
      <c r="E17" s="5" t="s">
        <v>260</v>
      </c>
      <c r="F17" s="5" t="s">
        <v>261</v>
      </c>
      <c r="G17" s="5" t="s">
        <v>44</v>
      </c>
      <c r="H17" s="5" t="s">
        <v>45</v>
      </c>
      <c r="I17" s="5" t="s">
        <v>239</v>
      </c>
      <c r="J17" s="5" t="s">
        <v>47</v>
      </c>
      <c r="K17" s="5"/>
    </row>
    <row r="18" customFormat="false" ht="23.85" hidden="false" customHeight="false" outlineLevel="0" collapsed="false">
      <c r="A18" s="5" t="n">
        <v>17</v>
      </c>
      <c r="B18" s="5" t="s">
        <v>234</v>
      </c>
      <c r="C18" s="5" t="s">
        <v>252</v>
      </c>
      <c r="D18" s="5" t="s">
        <v>252</v>
      </c>
      <c r="E18" s="5" t="s">
        <v>262</v>
      </c>
      <c r="F18" s="5" t="s">
        <v>263</v>
      </c>
      <c r="G18" s="5" t="s">
        <v>44</v>
      </c>
      <c r="H18" s="5" t="s">
        <v>53</v>
      </c>
      <c r="I18" s="5" t="s">
        <v>239</v>
      </c>
      <c r="J18" s="5" t="s">
        <v>47</v>
      </c>
      <c r="K18" s="5"/>
    </row>
    <row r="19" customFormat="false" ht="23.85" hidden="false" customHeight="false" outlineLevel="0" collapsed="false">
      <c r="A19" s="5" t="n">
        <v>18</v>
      </c>
      <c r="B19" s="5" t="s">
        <v>234</v>
      </c>
      <c r="C19" s="5" t="s">
        <v>264</v>
      </c>
      <c r="D19" s="5" t="s">
        <v>264</v>
      </c>
      <c r="E19" s="5" t="s">
        <v>163</v>
      </c>
      <c r="F19" s="5" t="s">
        <v>265</v>
      </c>
      <c r="G19" s="5" t="s">
        <v>52</v>
      </c>
      <c r="H19" s="5" t="s">
        <v>53</v>
      </c>
      <c r="I19" s="5" t="s">
        <v>239</v>
      </c>
      <c r="J19" s="5" t="s">
        <v>47</v>
      </c>
      <c r="K19" s="5"/>
    </row>
    <row r="20" customFormat="false" ht="23.85" hidden="false" customHeight="false" outlineLevel="0" collapsed="false">
      <c r="A20" s="5" t="n">
        <v>19</v>
      </c>
      <c r="B20" s="5" t="s">
        <v>234</v>
      </c>
      <c r="C20" s="5" t="s">
        <v>264</v>
      </c>
      <c r="D20" s="5" t="s">
        <v>264</v>
      </c>
      <c r="E20" s="5" t="s">
        <v>266</v>
      </c>
      <c r="F20" s="5" t="s">
        <v>267</v>
      </c>
      <c r="G20" s="5" t="s">
        <v>44</v>
      </c>
      <c r="H20" s="5" t="s">
        <v>45</v>
      </c>
      <c r="I20" s="5" t="s">
        <v>239</v>
      </c>
      <c r="J20" s="5" t="s">
        <v>47</v>
      </c>
      <c r="K20" s="5"/>
    </row>
    <row r="21" customFormat="false" ht="23.85" hidden="false" customHeight="false" outlineLevel="0" collapsed="false">
      <c r="A21" s="5" t="n">
        <v>20</v>
      </c>
      <c r="B21" s="5" t="s">
        <v>234</v>
      </c>
      <c r="C21" s="5" t="s">
        <v>264</v>
      </c>
      <c r="D21" s="5" t="s">
        <v>264</v>
      </c>
      <c r="E21" s="5" t="s">
        <v>268</v>
      </c>
      <c r="F21" s="5" t="s">
        <v>269</v>
      </c>
      <c r="G21" s="5" t="s">
        <v>52</v>
      </c>
      <c r="H21" s="5" t="s">
        <v>53</v>
      </c>
      <c r="I21" s="5" t="s">
        <v>239</v>
      </c>
      <c r="J21" s="5" t="s">
        <v>47</v>
      </c>
      <c r="K21" s="5"/>
    </row>
    <row r="22" customFormat="false" ht="23.85" hidden="false" customHeight="false" outlineLevel="0" collapsed="false">
      <c r="A22" s="5" t="n">
        <v>21</v>
      </c>
      <c r="B22" s="5" t="s">
        <v>234</v>
      </c>
      <c r="C22" s="5" t="s">
        <v>264</v>
      </c>
      <c r="D22" s="5" t="s">
        <v>264</v>
      </c>
      <c r="E22" s="5" t="s">
        <v>270</v>
      </c>
      <c r="F22" s="5" t="s">
        <v>271</v>
      </c>
      <c r="G22" s="5" t="s">
        <v>52</v>
      </c>
      <c r="H22" s="5" t="s">
        <v>53</v>
      </c>
      <c r="I22" s="5" t="s">
        <v>239</v>
      </c>
      <c r="J22" s="5" t="s">
        <v>47</v>
      </c>
      <c r="K22" s="5"/>
    </row>
    <row r="23" customFormat="false" ht="23.85" hidden="false" customHeight="false" outlineLevel="0" collapsed="false">
      <c r="A23" s="5" t="n">
        <v>22</v>
      </c>
      <c r="B23" s="5" t="s">
        <v>234</v>
      </c>
      <c r="C23" s="5" t="s">
        <v>272</v>
      </c>
      <c r="D23" s="5" t="s">
        <v>272</v>
      </c>
      <c r="E23" s="5" t="s">
        <v>273</v>
      </c>
      <c r="F23" s="5" t="s">
        <v>274</v>
      </c>
      <c r="G23" s="5" t="s">
        <v>52</v>
      </c>
      <c r="H23" s="5" t="s">
        <v>53</v>
      </c>
      <c r="I23" s="5" t="s">
        <v>239</v>
      </c>
      <c r="J23" s="5" t="s">
        <v>47</v>
      </c>
      <c r="K23" s="5"/>
    </row>
    <row r="24" customFormat="false" ht="23.85" hidden="false" customHeight="false" outlineLevel="0" collapsed="false">
      <c r="A24" s="5" t="n">
        <v>23</v>
      </c>
      <c r="B24" s="5" t="s">
        <v>234</v>
      </c>
      <c r="C24" s="5" t="s">
        <v>272</v>
      </c>
      <c r="D24" s="5" t="s">
        <v>272</v>
      </c>
      <c r="E24" s="5" t="s">
        <v>275</v>
      </c>
      <c r="F24" s="5" t="s">
        <v>276</v>
      </c>
      <c r="G24" s="5" t="s">
        <v>44</v>
      </c>
      <c r="H24" s="5" t="s">
        <v>45</v>
      </c>
      <c r="I24" s="5" t="s">
        <v>239</v>
      </c>
      <c r="J24" s="5" t="s">
        <v>47</v>
      </c>
      <c r="K24" s="5"/>
    </row>
    <row r="25" customFormat="false" ht="23.85" hidden="false" customHeight="false" outlineLevel="0" collapsed="false">
      <c r="A25" s="5" t="n">
        <v>24</v>
      </c>
      <c r="B25" s="5" t="s">
        <v>234</v>
      </c>
      <c r="C25" s="5" t="s">
        <v>272</v>
      </c>
      <c r="D25" s="5" t="s">
        <v>272</v>
      </c>
      <c r="E25" s="5" t="s">
        <v>277</v>
      </c>
      <c r="F25" s="5" t="s">
        <v>278</v>
      </c>
      <c r="G25" s="5" t="s">
        <v>52</v>
      </c>
      <c r="H25" s="5" t="s">
        <v>45</v>
      </c>
      <c r="I25" s="5" t="s">
        <v>239</v>
      </c>
      <c r="J25" s="5" t="s">
        <v>47</v>
      </c>
      <c r="K25" s="5"/>
    </row>
    <row r="26" customFormat="false" ht="23.85" hidden="false" customHeight="false" outlineLevel="0" collapsed="false">
      <c r="A26" s="5" t="n">
        <v>25</v>
      </c>
      <c r="B26" s="5" t="s">
        <v>234</v>
      </c>
      <c r="C26" s="5" t="s">
        <v>272</v>
      </c>
      <c r="D26" s="5" t="s">
        <v>272</v>
      </c>
      <c r="E26" s="5" t="s">
        <v>279</v>
      </c>
      <c r="F26" s="5" t="s">
        <v>280</v>
      </c>
      <c r="G26" s="5" t="s">
        <v>52</v>
      </c>
      <c r="H26" s="5" t="s">
        <v>45</v>
      </c>
      <c r="I26" s="5" t="s">
        <v>239</v>
      </c>
      <c r="J26" s="5" t="s">
        <v>47</v>
      </c>
      <c r="K26" s="5"/>
    </row>
    <row r="27" customFormat="false" ht="23.85" hidden="false" customHeight="false" outlineLevel="0" collapsed="false">
      <c r="A27" s="5" t="n">
        <v>26</v>
      </c>
      <c r="B27" s="5" t="s">
        <v>234</v>
      </c>
      <c r="C27" s="5" t="s">
        <v>272</v>
      </c>
      <c r="D27" s="5" t="s">
        <v>272</v>
      </c>
      <c r="E27" s="5" t="s">
        <v>281</v>
      </c>
      <c r="F27" s="5" t="s">
        <v>282</v>
      </c>
      <c r="G27" s="5" t="s">
        <v>52</v>
      </c>
      <c r="H27" s="5" t="s">
        <v>45</v>
      </c>
      <c r="I27" s="5" t="s">
        <v>239</v>
      </c>
      <c r="J27" s="5" t="s">
        <v>47</v>
      </c>
      <c r="K27" s="5"/>
    </row>
    <row r="28" customFormat="false" ht="23.85" hidden="false" customHeight="false" outlineLevel="0" collapsed="false">
      <c r="A28" s="5" t="n">
        <v>27</v>
      </c>
      <c r="B28" s="5" t="s">
        <v>234</v>
      </c>
      <c r="C28" s="5" t="s">
        <v>272</v>
      </c>
      <c r="D28" s="5" t="s">
        <v>272</v>
      </c>
      <c r="E28" s="5" t="s">
        <v>283</v>
      </c>
      <c r="F28" s="5" t="s">
        <v>284</v>
      </c>
      <c r="G28" s="5" t="s">
        <v>52</v>
      </c>
      <c r="H28" s="5" t="s">
        <v>45</v>
      </c>
      <c r="I28" s="5" t="s">
        <v>239</v>
      </c>
      <c r="J28" s="5" t="s">
        <v>47</v>
      </c>
      <c r="K28" s="5"/>
    </row>
    <row r="29" customFormat="false" ht="23.85" hidden="false" customHeight="false" outlineLevel="0" collapsed="false">
      <c r="A29" s="5" t="n">
        <v>28</v>
      </c>
      <c r="B29" s="5" t="s">
        <v>234</v>
      </c>
      <c r="C29" s="5" t="s">
        <v>272</v>
      </c>
      <c r="D29" s="5" t="s">
        <v>272</v>
      </c>
      <c r="E29" s="5" t="s">
        <v>285</v>
      </c>
      <c r="F29" s="5" t="s">
        <v>286</v>
      </c>
      <c r="G29" s="5" t="s">
        <v>52</v>
      </c>
      <c r="H29" s="5" t="s">
        <v>53</v>
      </c>
      <c r="I29" s="5" t="s">
        <v>239</v>
      </c>
      <c r="J29" s="5" t="s">
        <v>47</v>
      </c>
      <c r="K29" s="5"/>
    </row>
    <row r="30" customFormat="false" ht="23.85" hidden="false" customHeight="false" outlineLevel="0" collapsed="false">
      <c r="A30" s="5" t="n">
        <v>29</v>
      </c>
      <c r="B30" s="5" t="s">
        <v>234</v>
      </c>
      <c r="C30" s="5" t="s">
        <v>272</v>
      </c>
      <c r="D30" s="5" t="s">
        <v>272</v>
      </c>
      <c r="E30" s="5" t="s">
        <v>287</v>
      </c>
      <c r="F30" s="5" t="s">
        <v>288</v>
      </c>
      <c r="G30" s="5" t="s">
        <v>44</v>
      </c>
      <c r="H30" s="5" t="s">
        <v>45</v>
      </c>
      <c r="I30" s="5" t="s">
        <v>239</v>
      </c>
      <c r="J30" s="5" t="s">
        <v>47</v>
      </c>
      <c r="K30" s="5"/>
    </row>
    <row r="31" customFormat="false" ht="23.85" hidden="false" customHeight="false" outlineLevel="0" collapsed="false">
      <c r="A31" s="5" t="n">
        <v>30</v>
      </c>
      <c r="B31" s="5" t="s">
        <v>234</v>
      </c>
      <c r="C31" s="5" t="s">
        <v>272</v>
      </c>
      <c r="D31" s="5" t="s">
        <v>272</v>
      </c>
      <c r="E31" s="5" t="s">
        <v>289</v>
      </c>
      <c r="F31" s="5" t="s">
        <v>290</v>
      </c>
      <c r="G31" s="5" t="s">
        <v>44</v>
      </c>
      <c r="H31" s="5" t="s">
        <v>45</v>
      </c>
      <c r="I31" s="5" t="s">
        <v>239</v>
      </c>
      <c r="J31" s="5" t="s">
        <v>47</v>
      </c>
      <c r="K31" s="5"/>
    </row>
    <row r="32" customFormat="false" ht="23.85" hidden="false" customHeight="false" outlineLevel="0" collapsed="false">
      <c r="A32" s="5" t="n">
        <v>31</v>
      </c>
      <c r="B32" s="5" t="s">
        <v>234</v>
      </c>
      <c r="C32" s="5" t="s">
        <v>291</v>
      </c>
      <c r="D32" s="5" t="s">
        <v>291</v>
      </c>
      <c r="E32" s="5" t="s">
        <v>292</v>
      </c>
      <c r="F32" s="5" t="s">
        <v>293</v>
      </c>
      <c r="G32" s="5" t="s">
        <v>52</v>
      </c>
      <c r="H32" s="5" t="s">
        <v>53</v>
      </c>
      <c r="I32" s="5" t="s">
        <v>239</v>
      </c>
      <c r="J32" s="5" t="s">
        <v>47</v>
      </c>
      <c r="K32" s="5"/>
    </row>
    <row r="33" customFormat="false" ht="23.85" hidden="false" customHeight="false" outlineLevel="0" collapsed="false">
      <c r="A33" s="5" t="n">
        <v>32</v>
      </c>
      <c r="B33" s="5" t="s">
        <v>234</v>
      </c>
      <c r="C33" s="5" t="s">
        <v>291</v>
      </c>
      <c r="D33" s="5" t="s">
        <v>291</v>
      </c>
      <c r="E33" s="5" t="s">
        <v>294</v>
      </c>
      <c r="F33" s="5" t="s">
        <v>295</v>
      </c>
      <c r="G33" s="5" t="s">
        <v>44</v>
      </c>
      <c r="H33" s="5" t="s">
        <v>53</v>
      </c>
      <c r="I33" s="5" t="s">
        <v>239</v>
      </c>
      <c r="J33" s="5" t="s">
        <v>47</v>
      </c>
      <c r="K33" s="5"/>
    </row>
    <row r="34" customFormat="false" ht="23.85" hidden="false" customHeight="false" outlineLevel="0" collapsed="false">
      <c r="A34" s="5" t="n">
        <v>33</v>
      </c>
      <c r="B34" s="5" t="s">
        <v>234</v>
      </c>
      <c r="C34" s="5" t="s">
        <v>291</v>
      </c>
      <c r="D34" s="5" t="s">
        <v>291</v>
      </c>
      <c r="E34" s="5" t="s">
        <v>296</v>
      </c>
      <c r="F34" s="5" t="s">
        <v>297</v>
      </c>
      <c r="G34" s="5" t="s">
        <v>52</v>
      </c>
      <c r="H34" s="5" t="s">
        <v>45</v>
      </c>
      <c r="I34" s="5" t="s">
        <v>239</v>
      </c>
      <c r="J34" s="5" t="s">
        <v>47</v>
      </c>
      <c r="K34" s="5"/>
    </row>
    <row r="35" customFormat="false" ht="23.85" hidden="false" customHeight="false" outlineLevel="0" collapsed="false">
      <c r="A35" s="5" t="n">
        <v>34</v>
      </c>
      <c r="B35" s="5" t="s">
        <v>234</v>
      </c>
      <c r="C35" s="5" t="s">
        <v>291</v>
      </c>
      <c r="D35" s="5" t="s">
        <v>291</v>
      </c>
      <c r="E35" s="5" t="s">
        <v>298</v>
      </c>
      <c r="F35" s="5" t="s">
        <v>299</v>
      </c>
      <c r="G35" s="5" t="s">
        <v>52</v>
      </c>
      <c r="H35" s="5" t="s">
        <v>45</v>
      </c>
      <c r="I35" s="5" t="s">
        <v>239</v>
      </c>
      <c r="J35" s="5" t="s">
        <v>47</v>
      </c>
      <c r="K35" s="5"/>
    </row>
    <row r="36" customFormat="false" ht="23.85" hidden="false" customHeight="false" outlineLevel="0" collapsed="false">
      <c r="A36" s="5" t="n">
        <v>35</v>
      </c>
      <c r="B36" s="5" t="s">
        <v>234</v>
      </c>
      <c r="C36" s="5" t="s">
        <v>291</v>
      </c>
      <c r="D36" s="5" t="s">
        <v>291</v>
      </c>
      <c r="E36" s="5" t="s">
        <v>300</v>
      </c>
      <c r="F36" s="5" t="s">
        <v>301</v>
      </c>
      <c r="G36" s="5" t="s">
        <v>44</v>
      </c>
      <c r="H36" s="5" t="s">
        <v>45</v>
      </c>
      <c r="I36" s="5" t="s">
        <v>239</v>
      </c>
      <c r="J36" s="5" t="s">
        <v>47</v>
      </c>
      <c r="K36" s="5"/>
    </row>
    <row r="37" customFormat="false" ht="23.85" hidden="false" customHeight="false" outlineLevel="0" collapsed="false">
      <c r="A37" s="5" t="n">
        <v>36</v>
      </c>
      <c r="B37" s="5" t="s">
        <v>234</v>
      </c>
      <c r="C37" s="5" t="s">
        <v>291</v>
      </c>
      <c r="D37" s="5" t="s">
        <v>291</v>
      </c>
      <c r="E37" s="5" t="s">
        <v>302</v>
      </c>
      <c r="F37" s="5" t="s">
        <v>303</v>
      </c>
      <c r="G37" s="5" t="s">
        <v>44</v>
      </c>
      <c r="H37" s="5" t="s">
        <v>45</v>
      </c>
      <c r="I37" s="5" t="s">
        <v>239</v>
      </c>
      <c r="J37" s="5" t="s">
        <v>47</v>
      </c>
      <c r="K37" s="5"/>
    </row>
    <row r="38" customFormat="false" ht="23.85" hidden="false" customHeight="false" outlineLevel="0" collapsed="false">
      <c r="A38" s="5" t="n">
        <v>37</v>
      </c>
      <c r="B38" s="5" t="s">
        <v>234</v>
      </c>
      <c r="C38" s="5" t="s">
        <v>291</v>
      </c>
      <c r="D38" s="5" t="s">
        <v>291</v>
      </c>
      <c r="E38" s="5" t="s">
        <v>304</v>
      </c>
      <c r="F38" s="5" t="s">
        <v>305</v>
      </c>
      <c r="G38" s="5" t="s">
        <v>44</v>
      </c>
      <c r="H38" s="5" t="s">
        <v>45</v>
      </c>
      <c r="I38" s="5" t="s">
        <v>239</v>
      </c>
      <c r="J38" s="5" t="s">
        <v>47</v>
      </c>
      <c r="K38" s="5"/>
    </row>
    <row r="39" customFormat="false" ht="23.85" hidden="false" customHeight="false" outlineLevel="0" collapsed="false">
      <c r="A39" s="5" t="n">
        <v>38</v>
      </c>
      <c r="B39" s="5" t="s">
        <v>234</v>
      </c>
      <c r="C39" s="5" t="s">
        <v>291</v>
      </c>
      <c r="D39" s="5" t="s">
        <v>291</v>
      </c>
      <c r="E39" s="5" t="s">
        <v>306</v>
      </c>
      <c r="F39" s="5" t="s">
        <v>307</v>
      </c>
      <c r="G39" s="5" t="s">
        <v>44</v>
      </c>
      <c r="H39" s="5" t="s">
        <v>45</v>
      </c>
      <c r="I39" s="5" t="s">
        <v>239</v>
      </c>
      <c r="J39" s="5" t="s">
        <v>47</v>
      </c>
      <c r="K39" s="5"/>
    </row>
    <row r="40" customFormat="false" ht="23.85" hidden="false" customHeight="false" outlineLevel="0" collapsed="false">
      <c r="A40" s="5" t="n">
        <v>39</v>
      </c>
      <c r="B40" s="5" t="s">
        <v>234</v>
      </c>
      <c r="C40" s="5" t="s">
        <v>291</v>
      </c>
      <c r="D40" s="5" t="s">
        <v>291</v>
      </c>
      <c r="E40" s="5" t="s">
        <v>308</v>
      </c>
      <c r="F40" s="5" t="s">
        <v>309</v>
      </c>
      <c r="G40" s="5" t="s">
        <v>44</v>
      </c>
      <c r="H40" s="5" t="s">
        <v>45</v>
      </c>
      <c r="I40" s="5" t="s">
        <v>239</v>
      </c>
      <c r="J40" s="5" t="s">
        <v>47</v>
      </c>
      <c r="K40" s="5"/>
    </row>
    <row r="41" customFormat="false" ht="23.85" hidden="false" customHeight="false" outlineLevel="0" collapsed="false">
      <c r="A41" s="5" t="n">
        <v>40</v>
      </c>
      <c r="B41" s="5" t="s">
        <v>234</v>
      </c>
      <c r="C41" s="5" t="s">
        <v>291</v>
      </c>
      <c r="D41" s="5" t="s">
        <v>291</v>
      </c>
      <c r="E41" s="5" t="s">
        <v>310</v>
      </c>
      <c r="F41" s="5" t="s">
        <v>311</v>
      </c>
      <c r="G41" s="5" t="s">
        <v>44</v>
      </c>
      <c r="H41" s="5" t="s">
        <v>45</v>
      </c>
      <c r="I41" s="5" t="s">
        <v>239</v>
      </c>
      <c r="J41" s="5" t="s">
        <v>47</v>
      </c>
      <c r="K41" s="5"/>
    </row>
    <row r="42" customFormat="false" ht="23.85" hidden="false" customHeight="false" outlineLevel="0" collapsed="false">
      <c r="A42" s="5" t="n">
        <v>41</v>
      </c>
      <c r="B42" s="5" t="s">
        <v>234</v>
      </c>
      <c r="C42" s="5" t="s">
        <v>291</v>
      </c>
      <c r="D42" s="5" t="s">
        <v>291</v>
      </c>
      <c r="E42" s="5" t="s">
        <v>312</v>
      </c>
      <c r="F42" s="5" t="s">
        <v>313</v>
      </c>
      <c r="G42" s="5" t="s">
        <v>44</v>
      </c>
      <c r="H42" s="5" t="s">
        <v>45</v>
      </c>
      <c r="I42" s="5" t="s">
        <v>239</v>
      </c>
      <c r="J42" s="5" t="s">
        <v>47</v>
      </c>
      <c r="K42" s="5"/>
    </row>
    <row r="43" customFormat="false" ht="23.85" hidden="false" customHeight="false" outlineLevel="0" collapsed="false">
      <c r="A43" s="5" t="n">
        <v>42</v>
      </c>
      <c r="B43" s="5" t="s">
        <v>234</v>
      </c>
      <c r="C43" s="5" t="s">
        <v>314</v>
      </c>
      <c r="D43" s="5" t="s">
        <v>314</v>
      </c>
      <c r="E43" s="5" t="s">
        <v>315</v>
      </c>
      <c r="F43" s="5" t="s">
        <v>316</v>
      </c>
      <c r="G43" s="5" t="s">
        <v>44</v>
      </c>
      <c r="H43" s="5" t="s">
        <v>45</v>
      </c>
      <c r="I43" s="5" t="s">
        <v>239</v>
      </c>
      <c r="J43" s="5" t="s">
        <v>47</v>
      </c>
      <c r="K43" s="5"/>
    </row>
    <row r="44" customFormat="false" ht="23.85" hidden="false" customHeight="false" outlineLevel="0" collapsed="false">
      <c r="A44" s="5" t="n">
        <v>43</v>
      </c>
      <c r="B44" s="5" t="s">
        <v>234</v>
      </c>
      <c r="C44" s="5" t="s">
        <v>314</v>
      </c>
      <c r="D44" s="5" t="s">
        <v>314</v>
      </c>
      <c r="E44" s="5" t="s">
        <v>317</v>
      </c>
      <c r="F44" s="5" t="s">
        <v>318</v>
      </c>
      <c r="G44" s="5" t="s">
        <v>52</v>
      </c>
      <c r="H44" s="5" t="s">
        <v>45</v>
      </c>
      <c r="I44" s="5" t="s">
        <v>239</v>
      </c>
      <c r="J44" s="5" t="s">
        <v>47</v>
      </c>
      <c r="K44" s="5"/>
    </row>
    <row r="45" customFormat="false" ht="23.85" hidden="false" customHeight="false" outlineLevel="0" collapsed="false">
      <c r="A45" s="5" t="n">
        <v>44</v>
      </c>
      <c r="B45" s="5" t="s">
        <v>234</v>
      </c>
      <c r="C45" s="5" t="s">
        <v>314</v>
      </c>
      <c r="D45" s="5" t="s">
        <v>314</v>
      </c>
      <c r="E45" s="5" t="s">
        <v>319</v>
      </c>
      <c r="F45" s="5" t="s">
        <v>320</v>
      </c>
      <c r="G45" s="5" t="s">
        <v>44</v>
      </c>
      <c r="H45" s="5" t="s">
        <v>45</v>
      </c>
      <c r="I45" s="5" t="s">
        <v>239</v>
      </c>
      <c r="J45" s="5" t="s">
        <v>47</v>
      </c>
      <c r="K45" s="5"/>
    </row>
    <row r="46" customFormat="false" ht="23.85" hidden="false" customHeight="false" outlineLevel="0" collapsed="false">
      <c r="A46" s="5" t="n">
        <v>45</v>
      </c>
      <c r="B46" s="5" t="s">
        <v>234</v>
      </c>
      <c r="C46" s="5" t="s">
        <v>314</v>
      </c>
      <c r="D46" s="5" t="s">
        <v>314</v>
      </c>
      <c r="E46" s="5" t="s">
        <v>321</v>
      </c>
      <c r="F46" s="5" t="s">
        <v>322</v>
      </c>
      <c r="G46" s="5" t="s">
        <v>52</v>
      </c>
      <c r="H46" s="5" t="s">
        <v>45</v>
      </c>
      <c r="I46" s="5" t="s">
        <v>239</v>
      </c>
      <c r="J46" s="5" t="s">
        <v>47</v>
      </c>
      <c r="K46" s="5"/>
    </row>
    <row r="47" customFormat="false" ht="23.85" hidden="false" customHeight="false" outlineLevel="0" collapsed="false">
      <c r="A47" s="5" t="n">
        <v>46</v>
      </c>
      <c r="B47" s="5" t="s">
        <v>234</v>
      </c>
      <c r="C47" s="5" t="s">
        <v>314</v>
      </c>
      <c r="D47" s="5" t="s">
        <v>314</v>
      </c>
      <c r="E47" s="5" t="s">
        <v>323</v>
      </c>
      <c r="F47" s="5" t="s">
        <v>324</v>
      </c>
      <c r="G47" s="5" t="s">
        <v>44</v>
      </c>
      <c r="H47" s="5" t="s">
        <v>45</v>
      </c>
      <c r="I47" s="5" t="s">
        <v>239</v>
      </c>
      <c r="J47" s="5" t="s">
        <v>47</v>
      </c>
      <c r="K47" s="5"/>
    </row>
    <row r="48" customFormat="false" ht="23.85" hidden="false" customHeight="false" outlineLevel="0" collapsed="false">
      <c r="A48" s="5" t="n">
        <v>47</v>
      </c>
      <c r="B48" s="5" t="s">
        <v>234</v>
      </c>
      <c r="C48" s="5" t="s">
        <v>314</v>
      </c>
      <c r="D48" s="5" t="s">
        <v>314</v>
      </c>
      <c r="E48" s="5" t="s">
        <v>325</v>
      </c>
      <c r="F48" s="5" t="s">
        <v>326</v>
      </c>
      <c r="G48" s="5" t="s">
        <v>44</v>
      </c>
      <c r="H48" s="5" t="s">
        <v>45</v>
      </c>
      <c r="I48" s="5" t="s">
        <v>239</v>
      </c>
      <c r="J48" s="5" t="s">
        <v>47</v>
      </c>
      <c r="K48" s="5"/>
    </row>
    <row r="49" customFormat="false" ht="23.85" hidden="false" customHeight="false" outlineLevel="0" collapsed="false">
      <c r="A49" s="5" t="n">
        <v>48</v>
      </c>
      <c r="B49" s="5" t="s">
        <v>234</v>
      </c>
      <c r="C49" s="5" t="s">
        <v>314</v>
      </c>
      <c r="D49" s="5" t="s">
        <v>314</v>
      </c>
      <c r="E49" s="5" t="s">
        <v>327</v>
      </c>
      <c r="F49" s="5" t="s">
        <v>328</v>
      </c>
      <c r="G49" s="5" t="s">
        <v>44</v>
      </c>
      <c r="H49" s="5" t="s">
        <v>45</v>
      </c>
      <c r="I49" s="5" t="s">
        <v>239</v>
      </c>
      <c r="J49" s="5" t="s">
        <v>47</v>
      </c>
      <c r="K49" s="5"/>
    </row>
    <row r="50" customFormat="false" ht="23.85" hidden="false" customHeight="false" outlineLevel="0" collapsed="false">
      <c r="A50" s="5" t="n">
        <v>49</v>
      </c>
      <c r="B50" s="5" t="s">
        <v>234</v>
      </c>
      <c r="C50" s="5" t="s">
        <v>314</v>
      </c>
      <c r="D50" s="5" t="s">
        <v>314</v>
      </c>
      <c r="E50" s="5" t="s">
        <v>329</v>
      </c>
      <c r="F50" s="5" t="s">
        <v>330</v>
      </c>
      <c r="G50" s="5" t="s">
        <v>44</v>
      </c>
      <c r="H50" s="5" t="s">
        <v>45</v>
      </c>
      <c r="I50" s="5" t="s">
        <v>239</v>
      </c>
      <c r="J50" s="5" t="s">
        <v>47</v>
      </c>
      <c r="K5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26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customFormat="false" ht="15" hidden="false" customHeight="false" outlineLevel="0" collapsed="false">
      <c r="A2" s="5" t="n">
        <v>1</v>
      </c>
      <c r="B2" s="5" t="s">
        <v>555</v>
      </c>
      <c r="C2" s="5" t="s">
        <v>556</v>
      </c>
      <c r="D2" s="5" t="s">
        <v>557</v>
      </c>
      <c r="E2" s="5" t="s">
        <v>204</v>
      </c>
      <c r="F2" s="5" t="s">
        <v>558</v>
      </c>
      <c r="G2" s="5" t="s">
        <v>44</v>
      </c>
      <c r="H2" s="5" t="s">
        <v>45</v>
      </c>
      <c r="I2" s="5" t="s">
        <v>559</v>
      </c>
      <c r="J2" s="5" t="s">
        <v>47</v>
      </c>
      <c r="K2" s="5"/>
    </row>
    <row r="3" customFormat="false" ht="15" hidden="false" customHeight="false" outlineLevel="0" collapsed="false">
      <c r="A3" s="5" t="n">
        <v>2</v>
      </c>
      <c r="B3" s="5" t="s">
        <v>555</v>
      </c>
      <c r="C3" s="5" t="s">
        <v>556</v>
      </c>
      <c r="D3" s="5" t="s">
        <v>557</v>
      </c>
      <c r="E3" s="5" t="s">
        <v>560</v>
      </c>
      <c r="F3" s="5" t="s">
        <v>561</v>
      </c>
      <c r="G3" s="5" t="s">
        <v>44</v>
      </c>
      <c r="H3" s="5" t="s">
        <v>45</v>
      </c>
      <c r="I3" s="5" t="s">
        <v>559</v>
      </c>
      <c r="J3" s="5" t="s">
        <v>47</v>
      </c>
      <c r="K3" s="5"/>
    </row>
    <row r="4" customFormat="false" ht="15" hidden="false" customHeight="false" outlineLevel="0" collapsed="false">
      <c r="A4" s="5" t="n">
        <v>3</v>
      </c>
      <c r="B4" s="5" t="s">
        <v>555</v>
      </c>
      <c r="C4" s="5" t="s">
        <v>556</v>
      </c>
      <c r="D4" s="5" t="s">
        <v>557</v>
      </c>
      <c r="E4" s="5" t="s">
        <v>562</v>
      </c>
      <c r="F4" s="5" t="s">
        <v>563</v>
      </c>
      <c r="G4" s="5" t="s">
        <v>52</v>
      </c>
      <c r="H4" s="5" t="s">
        <v>45</v>
      </c>
      <c r="I4" s="5" t="s">
        <v>559</v>
      </c>
      <c r="J4" s="5" t="s">
        <v>47</v>
      </c>
      <c r="K4" s="5"/>
    </row>
    <row r="5" customFormat="false" ht="15" hidden="false" customHeight="false" outlineLevel="0" collapsed="false">
      <c r="A5" s="5" t="n">
        <v>4</v>
      </c>
      <c r="B5" s="5" t="s">
        <v>555</v>
      </c>
      <c r="C5" s="5" t="s">
        <v>556</v>
      </c>
      <c r="D5" s="5" t="s">
        <v>557</v>
      </c>
      <c r="E5" s="5" t="s">
        <v>564</v>
      </c>
      <c r="F5" s="5" t="s">
        <v>565</v>
      </c>
      <c r="G5" s="5" t="s">
        <v>52</v>
      </c>
      <c r="H5" s="5" t="s">
        <v>45</v>
      </c>
      <c r="I5" s="5" t="s">
        <v>559</v>
      </c>
      <c r="J5" s="5" t="s">
        <v>47</v>
      </c>
      <c r="K5" s="5"/>
    </row>
    <row r="6" customFormat="false" ht="15" hidden="false" customHeight="false" outlineLevel="0" collapsed="false">
      <c r="A6" s="5" t="n">
        <v>5</v>
      </c>
      <c r="B6" s="5" t="s">
        <v>555</v>
      </c>
      <c r="C6" s="5" t="s">
        <v>556</v>
      </c>
      <c r="D6" s="5" t="s">
        <v>557</v>
      </c>
      <c r="E6" s="5" t="s">
        <v>566</v>
      </c>
      <c r="F6" s="5" t="s">
        <v>567</v>
      </c>
      <c r="G6" s="5" t="s">
        <v>52</v>
      </c>
      <c r="H6" s="5" t="s">
        <v>45</v>
      </c>
      <c r="I6" s="5" t="s">
        <v>559</v>
      </c>
      <c r="J6" s="5" t="s">
        <v>47</v>
      </c>
      <c r="K6" s="5"/>
    </row>
    <row r="7" customFormat="false" ht="15" hidden="false" customHeight="false" outlineLevel="0" collapsed="false">
      <c r="A7" s="5" t="n">
        <v>6</v>
      </c>
      <c r="B7" s="5" t="s">
        <v>555</v>
      </c>
      <c r="C7" s="5" t="s">
        <v>556</v>
      </c>
      <c r="D7" s="5" t="s">
        <v>557</v>
      </c>
      <c r="E7" s="5" t="s">
        <v>568</v>
      </c>
      <c r="F7" s="5" t="s">
        <v>569</v>
      </c>
      <c r="G7" s="5" t="s">
        <v>44</v>
      </c>
      <c r="H7" s="5" t="s">
        <v>45</v>
      </c>
      <c r="I7" s="5" t="s">
        <v>559</v>
      </c>
      <c r="J7" s="5" t="s">
        <v>47</v>
      </c>
      <c r="K7" s="5"/>
    </row>
    <row r="8" customFormat="false" ht="15" hidden="false" customHeight="false" outlineLevel="0" collapsed="false">
      <c r="A8" s="5" t="n">
        <v>7</v>
      </c>
      <c r="B8" s="5" t="s">
        <v>555</v>
      </c>
      <c r="C8" s="5" t="s">
        <v>556</v>
      </c>
      <c r="D8" s="5" t="s">
        <v>570</v>
      </c>
      <c r="E8" s="5" t="s">
        <v>571</v>
      </c>
      <c r="F8" s="5" t="s">
        <v>572</v>
      </c>
      <c r="G8" s="5" t="s">
        <v>44</v>
      </c>
      <c r="H8" s="5" t="s">
        <v>45</v>
      </c>
      <c r="I8" s="5" t="s">
        <v>559</v>
      </c>
      <c r="J8" s="5" t="s">
        <v>47</v>
      </c>
      <c r="K8" s="5"/>
    </row>
    <row r="9" customFormat="false" ht="15" hidden="false" customHeight="false" outlineLevel="0" collapsed="false">
      <c r="A9" s="5" t="n">
        <v>8</v>
      </c>
      <c r="B9" s="5" t="s">
        <v>555</v>
      </c>
      <c r="C9" s="5" t="s">
        <v>556</v>
      </c>
      <c r="D9" s="5" t="s">
        <v>570</v>
      </c>
      <c r="E9" s="5" t="s">
        <v>573</v>
      </c>
      <c r="F9" s="5" t="s">
        <v>574</v>
      </c>
      <c r="G9" s="5" t="s">
        <v>44</v>
      </c>
      <c r="H9" s="5" t="s">
        <v>45</v>
      </c>
      <c r="I9" s="5" t="s">
        <v>559</v>
      </c>
      <c r="J9" s="5" t="s">
        <v>47</v>
      </c>
      <c r="K9" s="5"/>
    </row>
    <row r="10" customFormat="false" ht="23.85" hidden="false" customHeight="false" outlineLevel="0" collapsed="false">
      <c r="A10" s="5" t="n">
        <v>9</v>
      </c>
      <c r="B10" s="5" t="s">
        <v>555</v>
      </c>
      <c r="C10" s="5" t="s">
        <v>556</v>
      </c>
      <c r="D10" s="5" t="s">
        <v>570</v>
      </c>
      <c r="E10" s="5" t="s">
        <v>575</v>
      </c>
      <c r="F10" s="5" t="s">
        <v>576</v>
      </c>
      <c r="G10" s="5" t="s">
        <v>52</v>
      </c>
      <c r="H10" s="5" t="s">
        <v>45</v>
      </c>
      <c r="I10" s="5" t="s">
        <v>559</v>
      </c>
      <c r="J10" s="5" t="s">
        <v>47</v>
      </c>
      <c r="K10" s="5"/>
    </row>
    <row r="11" customFormat="false" ht="15" hidden="false" customHeight="false" outlineLevel="0" collapsed="false">
      <c r="A11" s="5" t="n">
        <v>10</v>
      </c>
      <c r="B11" s="5" t="s">
        <v>555</v>
      </c>
      <c r="C11" s="5" t="s">
        <v>556</v>
      </c>
      <c r="D11" s="5" t="s">
        <v>570</v>
      </c>
      <c r="E11" s="5" t="s">
        <v>577</v>
      </c>
      <c r="F11" s="5" t="s">
        <v>578</v>
      </c>
      <c r="G11" s="5" t="s">
        <v>52</v>
      </c>
      <c r="H11" s="5" t="s">
        <v>45</v>
      </c>
      <c r="I11" s="5" t="s">
        <v>559</v>
      </c>
      <c r="J11" s="5" t="s">
        <v>47</v>
      </c>
      <c r="K11" s="5"/>
    </row>
    <row r="12" customFormat="false" ht="15" hidden="false" customHeight="false" outlineLevel="0" collapsed="false">
      <c r="A12" s="5" t="n">
        <v>11</v>
      </c>
      <c r="B12" s="5" t="s">
        <v>555</v>
      </c>
      <c r="C12" s="5" t="s">
        <v>556</v>
      </c>
      <c r="D12" s="5" t="s">
        <v>570</v>
      </c>
      <c r="E12" s="5" t="s">
        <v>579</v>
      </c>
      <c r="F12" s="5" t="s">
        <v>580</v>
      </c>
      <c r="G12" s="5" t="s">
        <v>44</v>
      </c>
      <c r="H12" s="5" t="s">
        <v>45</v>
      </c>
      <c r="I12" s="5" t="s">
        <v>559</v>
      </c>
      <c r="J12" s="5" t="s">
        <v>47</v>
      </c>
      <c r="K12" s="5"/>
    </row>
    <row r="13" customFormat="false" ht="15" hidden="false" customHeight="false" outlineLevel="0" collapsed="false">
      <c r="A13" s="5" t="n">
        <v>12</v>
      </c>
      <c r="B13" s="5" t="s">
        <v>555</v>
      </c>
      <c r="C13" s="5" t="s">
        <v>556</v>
      </c>
      <c r="D13" s="5" t="s">
        <v>570</v>
      </c>
      <c r="E13" s="5" t="s">
        <v>581</v>
      </c>
      <c r="F13" s="5" t="s">
        <v>582</v>
      </c>
      <c r="G13" s="5" t="s">
        <v>52</v>
      </c>
      <c r="H13" s="5" t="s">
        <v>45</v>
      </c>
      <c r="I13" s="5" t="s">
        <v>559</v>
      </c>
      <c r="J13" s="5" t="s">
        <v>47</v>
      </c>
      <c r="K13" s="5"/>
    </row>
    <row r="14" customFormat="false" ht="23.85" hidden="false" customHeight="false" outlineLevel="0" collapsed="false">
      <c r="A14" s="5" t="n">
        <v>13</v>
      </c>
      <c r="B14" s="5" t="s">
        <v>555</v>
      </c>
      <c r="C14" s="5" t="s">
        <v>556</v>
      </c>
      <c r="D14" s="5" t="s">
        <v>570</v>
      </c>
      <c r="E14" s="5" t="s">
        <v>583</v>
      </c>
      <c r="F14" s="5" t="s">
        <v>584</v>
      </c>
      <c r="G14" s="5" t="s">
        <v>44</v>
      </c>
      <c r="H14" s="5" t="s">
        <v>45</v>
      </c>
      <c r="I14" s="5" t="s">
        <v>559</v>
      </c>
      <c r="J14" s="5" t="s">
        <v>47</v>
      </c>
      <c r="K14" s="5"/>
    </row>
    <row r="15" customFormat="false" ht="15" hidden="false" customHeight="false" outlineLevel="0" collapsed="false">
      <c r="A15" s="5" t="n">
        <v>14</v>
      </c>
      <c r="B15" s="5" t="s">
        <v>555</v>
      </c>
      <c r="C15" s="5" t="s">
        <v>556</v>
      </c>
      <c r="D15" s="5" t="s">
        <v>570</v>
      </c>
      <c r="E15" s="5" t="s">
        <v>585</v>
      </c>
      <c r="F15" s="5" t="s">
        <v>586</v>
      </c>
      <c r="G15" s="5" t="s">
        <v>52</v>
      </c>
      <c r="H15" s="5" t="s">
        <v>45</v>
      </c>
      <c r="I15" s="5" t="s">
        <v>559</v>
      </c>
      <c r="J15" s="5" t="s">
        <v>47</v>
      </c>
      <c r="K15" s="5"/>
    </row>
    <row r="16" customFormat="false" ht="23.85" hidden="false" customHeight="false" outlineLevel="0" collapsed="false">
      <c r="A16" s="5" t="n">
        <v>15</v>
      </c>
      <c r="B16" s="5" t="s">
        <v>555</v>
      </c>
      <c r="C16" s="5" t="s">
        <v>659</v>
      </c>
      <c r="D16" s="5" t="s">
        <v>659</v>
      </c>
      <c r="E16" s="5" t="s">
        <v>163</v>
      </c>
      <c r="F16" s="5" t="s">
        <v>660</v>
      </c>
      <c r="G16" s="5" t="s">
        <v>52</v>
      </c>
      <c r="H16" s="5" t="s">
        <v>45</v>
      </c>
      <c r="I16" s="5" t="s">
        <v>559</v>
      </c>
      <c r="J16" s="5" t="s">
        <v>47</v>
      </c>
      <c r="K16" s="5"/>
    </row>
    <row r="17" customFormat="false" ht="15" hidden="false" customHeight="false" outlineLevel="0" collapsed="false">
      <c r="A17" s="5" t="n">
        <v>16</v>
      </c>
      <c r="B17" s="5" t="s">
        <v>555</v>
      </c>
      <c r="C17" s="5" t="s">
        <v>625</v>
      </c>
      <c r="D17" s="5" t="s">
        <v>636</v>
      </c>
      <c r="E17" s="5" t="s">
        <v>637</v>
      </c>
      <c r="F17" s="5" t="s">
        <v>638</v>
      </c>
      <c r="G17" s="5" t="s">
        <v>44</v>
      </c>
      <c r="H17" s="5" t="s">
        <v>45</v>
      </c>
      <c r="I17" s="5" t="s">
        <v>559</v>
      </c>
      <c r="J17" s="5" t="s">
        <v>47</v>
      </c>
      <c r="K17" s="5"/>
    </row>
    <row r="18" customFormat="false" ht="15" hidden="false" customHeight="false" outlineLevel="0" collapsed="false">
      <c r="A18" s="5" t="n">
        <v>17</v>
      </c>
      <c r="B18" s="5" t="s">
        <v>555</v>
      </c>
      <c r="C18" s="5" t="s">
        <v>625</v>
      </c>
      <c r="D18" s="5" t="s">
        <v>636</v>
      </c>
      <c r="E18" s="5" t="s">
        <v>639</v>
      </c>
      <c r="F18" s="5" t="s">
        <v>640</v>
      </c>
      <c r="G18" s="5" t="s">
        <v>44</v>
      </c>
      <c r="H18" s="5" t="s">
        <v>45</v>
      </c>
      <c r="I18" s="5" t="s">
        <v>559</v>
      </c>
      <c r="J18" s="5" t="s">
        <v>47</v>
      </c>
      <c r="K18" s="5"/>
    </row>
    <row r="19" customFormat="false" ht="23.85" hidden="false" customHeight="false" outlineLevel="0" collapsed="false">
      <c r="A19" s="5" t="n">
        <v>18</v>
      </c>
      <c r="B19" s="5" t="s">
        <v>555</v>
      </c>
      <c r="C19" s="5" t="s">
        <v>625</v>
      </c>
      <c r="D19" s="5" t="s">
        <v>636</v>
      </c>
      <c r="E19" s="5" t="s">
        <v>641</v>
      </c>
      <c r="F19" s="5" t="s">
        <v>642</v>
      </c>
      <c r="G19" s="5" t="s">
        <v>44</v>
      </c>
      <c r="H19" s="5" t="s">
        <v>45</v>
      </c>
      <c r="I19" s="5" t="s">
        <v>559</v>
      </c>
      <c r="J19" s="5" t="s">
        <v>47</v>
      </c>
      <c r="K19" s="5"/>
    </row>
    <row r="20" customFormat="false" ht="15" hidden="false" customHeight="false" outlineLevel="0" collapsed="false">
      <c r="A20" s="5" t="n">
        <v>19</v>
      </c>
      <c r="B20" s="5" t="s">
        <v>555</v>
      </c>
      <c r="C20" s="5" t="s">
        <v>625</v>
      </c>
      <c r="D20" s="5" t="s">
        <v>636</v>
      </c>
      <c r="E20" s="5" t="s">
        <v>643</v>
      </c>
      <c r="F20" s="5" t="s">
        <v>644</v>
      </c>
      <c r="G20" s="5" t="s">
        <v>52</v>
      </c>
      <c r="H20" s="5" t="s">
        <v>45</v>
      </c>
      <c r="I20" s="5" t="s">
        <v>559</v>
      </c>
      <c r="J20" s="5" t="s">
        <v>47</v>
      </c>
      <c r="K20" s="5"/>
    </row>
    <row r="21" customFormat="false" ht="15" hidden="false" customHeight="false" outlineLevel="0" collapsed="false">
      <c r="A21" s="5" t="n">
        <v>20</v>
      </c>
      <c r="B21" s="5" t="s">
        <v>555</v>
      </c>
      <c r="C21" s="5" t="s">
        <v>625</v>
      </c>
      <c r="D21" s="5" t="s">
        <v>636</v>
      </c>
      <c r="E21" s="5" t="s">
        <v>645</v>
      </c>
      <c r="F21" s="5" t="s">
        <v>646</v>
      </c>
      <c r="G21" s="5" t="s">
        <v>52</v>
      </c>
      <c r="H21" s="5" t="s">
        <v>45</v>
      </c>
      <c r="I21" s="5" t="s">
        <v>559</v>
      </c>
      <c r="J21" s="5" t="s">
        <v>47</v>
      </c>
      <c r="K21" s="5"/>
    </row>
    <row r="22" customFormat="false" ht="23.85" hidden="false" customHeight="false" outlineLevel="0" collapsed="false">
      <c r="A22" s="5" t="n">
        <v>21</v>
      </c>
      <c r="B22" s="5" t="s">
        <v>555</v>
      </c>
      <c r="C22" s="5" t="s">
        <v>625</v>
      </c>
      <c r="D22" s="5" t="s">
        <v>647</v>
      </c>
      <c r="E22" s="5" t="s">
        <v>648</v>
      </c>
      <c r="F22" s="5" t="s">
        <v>649</v>
      </c>
      <c r="G22" s="5" t="s">
        <v>44</v>
      </c>
      <c r="H22" s="5" t="s">
        <v>45</v>
      </c>
      <c r="I22" s="5" t="s">
        <v>559</v>
      </c>
      <c r="J22" s="6" t="s">
        <v>206</v>
      </c>
      <c r="K22" s="5" t="s">
        <v>650</v>
      </c>
    </row>
    <row r="23" customFormat="false" ht="23.85" hidden="false" customHeight="false" outlineLevel="0" collapsed="false">
      <c r="A23" s="5" t="n">
        <v>22</v>
      </c>
      <c r="B23" s="5" t="s">
        <v>555</v>
      </c>
      <c r="C23" s="5" t="s">
        <v>625</v>
      </c>
      <c r="D23" s="5" t="s">
        <v>647</v>
      </c>
      <c r="E23" s="5" t="s">
        <v>651</v>
      </c>
      <c r="F23" s="5" t="s">
        <v>652</v>
      </c>
      <c r="G23" s="5" t="s">
        <v>44</v>
      </c>
      <c r="H23" s="5" t="s">
        <v>45</v>
      </c>
      <c r="I23" s="5" t="s">
        <v>559</v>
      </c>
      <c r="J23" s="6" t="s">
        <v>206</v>
      </c>
      <c r="K23" s="5" t="s">
        <v>653</v>
      </c>
    </row>
    <row r="24" customFormat="false" ht="23.85" hidden="false" customHeight="false" outlineLevel="0" collapsed="false">
      <c r="A24" s="5" t="n">
        <v>23</v>
      </c>
      <c r="B24" s="5" t="s">
        <v>555</v>
      </c>
      <c r="C24" s="5" t="s">
        <v>625</v>
      </c>
      <c r="D24" s="5" t="s">
        <v>647</v>
      </c>
      <c r="E24" s="5" t="s">
        <v>654</v>
      </c>
      <c r="F24" s="5" t="s">
        <v>655</v>
      </c>
      <c r="G24" s="5" t="s">
        <v>44</v>
      </c>
      <c r="H24" s="5" t="s">
        <v>45</v>
      </c>
      <c r="I24" s="5" t="s">
        <v>559</v>
      </c>
      <c r="J24" s="6" t="s">
        <v>206</v>
      </c>
      <c r="K24" s="5" t="s">
        <v>656</v>
      </c>
    </row>
    <row r="25" customFormat="false" ht="23.85" hidden="false" customHeight="false" outlineLevel="0" collapsed="false">
      <c r="A25" s="5" t="n">
        <v>24</v>
      </c>
      <c r="B25" s="5" t="s">
        <v>555</v>
      </c>
      <c r="C25" s="5" t="s">
        <v>625</v>
      </c>
      <c r="D25" s="5" t="s">
        <v>647</v>
      </c>
      <c r="E25" s="5" t="s">
        <v>657</v>
      </c>
      <c r="F25" s="5" t="s">
        <v>658</v>
      </c>
      <c r="G25" s="5" t="s">
        <v>44</v>
      </c>
      <c r="H25" s="5" t="s">
        <v>45</v>
      </c>
      <c r="I25" s="5" t="s">
        <v>559</v>
      </c>
      <c r="J25" s="5" t="s">
        <v>47</v>
      </c>
      <c r="K25" s="5"/>
    </row>
    <row r="26" customFormat="false" ht="15" hidden="false" customHeight="false" outlineLevel="0" collapsed="false">
      <c r="A26" s="5" t="n">
        <v>25</v>
      </c>
      <c r="B26" s="5" t="s">
        <v>555</v>
      </c>
      <c r="C26" s="5" t="s">
        <v>661</v>
      </c>
      <c r="D26" s="5" t="s">
        <v>661</v>
      </c>
      <c r="E26" s="5" t="s">
        <v>315</v>
      </c>
      <c r="F26" s="5" t="s">
        <v>662</v>
      </c>
      <c r="G26" s="5" t="s">
        <v>52</v>
      </c>
      <c r="H26" s="5" t="s">
        <v>45</v>
      </c>
      <c r="I26" s="5" t="s">
        <v>559</v>
      </c>
      <c r="J26" s="5" t="s">
        <v>47</v>
      </c>
      <c r="K26" s="5"/>
    </row>
    <row r="27" customFormat="false" ht="23.85" hidden="false" customHeight="false" outlineLevel="0" collapsed="false">
      <c r="A27" s="5" t="n">
        <v>26</v>
      </c>
      <c r="B27" s="5" t="s">
        <v>555</v>
      </c>
      <c r="C27" s="5" t="s">
        <v>587</v>
      </c>
      <c r="D27" s="5" t="s">
        <v>587</v>
      </c>
      <c r="E27" s="5" t="s">
        <v>599</v>
      </c>
      <c r="F27" s="5" t="s">
        <v>600</v>
      </c>
      <c r="G27" s="5" t="s">
        <v>44</v>
      </c>
      <c r="H27" s="5" t="s">
        <v>53</v>
      </c>
      <c r="I27" s="5" t="s">
        <v>559</v>
      </c>
      <c r="J27" s="9" t="s">
        <v>601</v>
      </c>
      <c r="K27" s="5" t="s">
        <v>602</v>
      </c>
    </row>
    <row r="28" customFormat="false" ht="23.85" hidden="false" customHeight="false" outlineLevel="0" collapsed="false">
      <c r="A28" s="5" t="n">
        <v>27</v>
      </c>
      <c r="B28" s="5" t="s">
        <v>555</v>
      </c>
      <c r="C28" s="5" t="s">
        <v>587</v>
      </c>
      <c r="D28" s="5" t="s">
        <v>587</v>
      </c>
      <c r="E28" s="5" t="s">
        <v>603</v>
      </c>
      <c r="F28" s="5" t="s">
        <v>604</v>
      </c>
      <c r="G28" s="5" t="s">
        <v>52</v>
      </c>
      <c r="H28" s="5" t="s">
        <v>53</v>
      </c>
      <c r="I28" s="5" t="s">
        <v>559</v>
      </c>
      <c r="J28" s="9" t="s">
        <v>601</v>
      </c>
      <c r="K28" s="5" t="s">
        <v>605</v>
      </c>
    </row>
    <row r="29" customFormat="false" ht="23.85" hidden="false" customHeight="false" outlineLevel="0" collapsed="false">
      <c r="A29" s="5" t="n">
        <v>28</v>
      </c>
      <c r="B29" s="5" t="s">
        <v>555</v>
      </c>
      <c r="C29" s="5" t="s">
        <v>587</v>
      </c>
      <c r="D29" s="5" t="s">
        <v>587</v>
      </c>
      <c r="E29" s="5" t="s">
        <v>606</v>
      </c>
      <c r="F29" s="5" t="s">
        <v>607</v>
      </c>
      <c r="G29" s="5" t="s">
        <v>44</v>
      </c>
      <c r="H29" s="5" t="s">
        <v>45</v>
      </c>
      <c r="I29" s="5" t="s">
        <v>559</v>
      </c>
      <c r="J29" s="6" t="s">
        <v>206</v>
      </c>
      <c r="K29" s="5" t="s">
        <v>608</v>
      </c>
    </row>
    <row r="30" customFormat="false" ht="23.85" hidden="false" customHeight="false" outlineLevel="0" collapsed="false">
      <c r="A30" s="5" t="n">
        <v>29</v>
      </c>
      <c r="B30" s="5" t="s">
        <v>555</v>
      </c>
      <c r="C30" s="5" t="s">
        <v>587</v>
      </c>
      <c r="D30" s="5" t="s">
        <v>587</v>
      </c>
      <c r="E30" s="5" t="s">
        <v>609</v>
      </c>
      <c r="F30" s="5" t="s">
        <v>610</v>
      </c>
      <c r="G30" s="5" t="s">
        <v>44</v>
      </c>
      <c r="H30" s="5" t="s">
        <v>53</v>
      </c>
      <c r="I30" s="5" t="s">
        <v>559</v>
      </c>
      <c r="J30" s="9" t="s">
        <v>601</v>
      </c>
      <c r="K30" s="5" t="s">
        <v>611</v>
      </c>
    </row>
    <row r="31" customFormat="false" ht="15" hidden="false" customHeight="false" outlineLevel="0" collapsed="false">
      <c r="A31" s="5" t="n">
        <v>30</v>
      </c>
      <c r="B31" s="5" t="s">
        <v>555</v>
      </c>
      <c r="C31" s="5" t="s">
        <v>587</v>
      </c>
      <c r="D31" s="5" t="s">
        <v>587</v>
      </c>
      <c r="E31" s="5" t="s">
        <v>612</v>
      </c>
      <c r="F31" s="5" t="s">
        <v>613</v>
      </c>
      <c r="G31" s="5" t="s">
        <v>52</v>
      </c>
      <c r="H31" s="5" t="s">
        <v>45</v>
      </c>
      <c r="I31" s="5" t="s">
        <v>559</v>
      </c>
      <c r="J31" s="6" t="s">
        <v>206</v>
      </c>
      <c r="K31" s="5" t="s">
        <v>614</v>
      </c>
    </row>
    <row r="32" customFormat="false" ht="15" hidden="false" customHeight="false" outlineLevel="0" collapsed="false">
      <c r="A32" s="5" t="n">
        <v>31</v>
      </c>
      <c r="B32" s="5" t="s">
        <v>555</v>
      </c>
      <c r="C32" s="5" t="s">
        <v>587</v>
      </c>
      <c r="D32" s="5" t="s">
        <v>587</v>
      </c>
      <c r="E32" s="5" t="s">
        <v>615</v>
      </c>
      <c r="F32" s="5" t="s">
        <v>616</v>
      </c>
      <c r="G32" s="5" t="s">
        <v>52</v>
      </c>
      <c r="H32" s="5" t="s">
        <v>45</v>
      </c>
      <c r="I32" s="5" t="s">
        <v>559</v>
      </c>
      <c r="J32" s="5" t="s">
        <v>47</v>
      </c>
      <c r="K32" s="5"/>
    </row>
    <row r="33" customFormat="false" ht="15" hidden="false" customHeight="false" outlineLevel="0" collapsed="false">
      <c r="A33" s="5" t="n">
        <v>32</v>
      </c>
      <c r="B33" s="5" t="s">
        <v>555</v>
      </c>
      <c r="C33" s="5" t="s">
        <v>617</v>
      </c>
      <c r="D33" s="5" t="s">
        <v>617</v>
      </c>
      <c r="E33" s="5" t="s">
        <v>618</v>
      </c>
      <c r="F33" s="5" t="s">
        <v>619</v>
      </c>
      <c r="G33" s="5" t="s">
        <v>52</v>
      </c>
      <c r="H33" s="5" t="s">
        <v>53</v>
      </c>
      <c r="I33" s="5" t="s">
        <v>559</v>
      </c>
      <c r="J33" s="5" t="s">
        <v>47</v>
      </c>
      <c r="K33" s="5"/>
    </row>
    <row r="34" customFormat="false" ht="15" hidden="false" customHeight="false" outlineLevel="0" collapsed="false">
      <c r="A34" s="5" t="n">
        <v>33</v>
      </c>
      <c r="B34" s="5" t="s">
        <v>555</v>
      </c>
      <c r="C34" s="5" t="s">
        <v>620</v>
      </c>
      <c r="D34" s="5" t="s">
        <v>620</v>
      </c>
      <c r="E34" s="5" t="s">
        <v>621</v>
      </c>
      <c r="F34" s="5" t="s">
        <v>622</v>
      </c>
      <c r="G34" s="5" t="s">
        <v>52</v>
      </c>
      <c r="H34" s="5" t="s">
        <v>45</v>
      </c>
      <c r="I34" s="5" t="s">
        <v>559</v>
      </c>
      <c r="J34" s="5" t="s">
        <v>47</v>
      </c>
      <c r="K34" s="5"/>
    </row>
    <row r="35" customFormat="false" ht="23.85" hidden="false" customHeight="false" outlineLevel="0" collapsed="false">
      <c r="A35" s="5" t="n">
        <v>34</v>
      </c>
      <c r="B35" s="5" t="s">
        <v>555</v>
      </c>
      <c r="C35" s="5" t="s">
        <v>620</v>
      </c>
      <c r="D35" s="5" t="s">
        <v>620</v>
      </c>
      <c r="E35" s="5" t="s">
        <v>623</v>
      </c>
      <c r="F35" s="5" t="s">
        <v>624</v>
      </c>
      <c r="G35" s="5" t="s">
        <v>52</v>
      </c>
      <c r="H35" s="5" t="s">
        <v>45</v>
      </c>
      <c r="I35" s="5" t="s">
        <v>559</v>
      </c>
      <c r="J35" s="5" t="s">
        <v>47</v>
      </c>
      <c r="K35" s="5"/>
    </row>
    <row r="36" customFormat="false" ht="23.85" hidden="false" customHeight="false" outlineLevel="0" collapsed="false">
      <c r="A36" s="5" t="n">
        <v>35</v>
      </c>
      <c r="B36" s="5" t="s">
        <v>555</v>
      </c>
      <c r="C36" s="5" t="s">
        <v>663</v>
      </c>
      <c r="D36" s="5" t="s">
        <v>664</v>
      </c>
      <c r="E36" s="5" t="s">
        <v>141</v>
      </c>
      <c r="F36" s="5" t="s">
        <v>600</v>
      </c>
      <c r="G36" s="5" t="s">
        <v>44</v>
      </c>
      <c r="H36" s="5" t="s">
        <v>53</v>
      </c>
      <c r="I36" s="5" t="s">
        <v>559</v>
      </c>
      <c r="J36" s="9" t="s">
        <v>601</v>
      </c>
      <c r="K36" s="5" t="s">
        <v>665</v>
      </c>
    </row>
    <row r="37" customFormat="false" ht="23.85" hidden="false" customHeight="false" outlineLevel="0" collapsed="false">
      <c r="A37" s="5" t="n">
        <v>36</v>
      </c>
      <c r="B37" s="5" t="s">
        <v>555</v>
      </c>
      <c r="C37" s="5" t="s">
        <v>663</v>
      </c>
      <c r="D37" s="5" t="s">
        <v>664</v>
      </c>
      <c r="E37" s="5" t="s">
        <v>143</v>
      </c>
      <c r="F37" s="5" t="s">
        <v>604</v>
      </c>
      <c r="G37" s="5" t="s">
        <v>52</v>
      </c>
      <c r="H37" s="5" t="s">
        <v>53</v>
      </c>
      <c r="I37" s="5" t="s">
        <v>559</v>
      </c>
      <c r="J37" s="9" t="s">
        <v>601</v>
      </c>
      <c r="K37" s="5" t="s">
        <v>666</v>
      </c>
    </row>
    <row r="38" customFormat="false" ht="23.85" hidden="false" customHeight="false" outlineLevel="0" collapsed="false">
      <c r="A38" s="5" t="n">
        <v>37</v>
      </c>
      <c r="B38" s="5" t="s">
        <v>555</v>
      </c>
      <c r="C38" s="5" t="s">
        <v>663</v>
      </c>
      <c r="D38" s="5" t="s">
        <v>664</v>
      </c>
      <c r="E38" s="5" t="s">
        <v>145</v>
      </c>
      <c r="F38" s="5" t="s">
        <v>610</v>
      </c>
      <c r="G38" s="5" t="s">
        <v>44</v>
      </c>
      <c r="H38" s="5" t="s">
        <v>53</v>
      </c>
      <c r="I38" s="5" t="s">
        <v>559</v>
      </c>
      <c r="J38" s="9" t="s">
        <v>601</v>
      </c>
      <c r="K38" s="5" t="s">
        <v>667</v>
      </c>
    </row>
    <row r="39" customFormat="false" ht="15" hidden="false" customHeight="false" outlineLevel="0" collapsed="false">
      <c r="A39" s="5" t="n">
        <v>38</v>
      </c>
      <c r="B39" s="5" t="s">
        <v>555</v>
      </c>
      <c r="C39" s="5" t="s">
        <v>668</v>
      </c>
      <c r="D39" s="5" t="s">
        <v>717</v>
      </c>
      <c r="E39" s="5" t="s">
        <v>718</v>
      </c>
      <c r="F39" s="5" t="s">
        <v>719</v>
      </c>
      <c r="G39" s="5" t="s">
        <v>44</v>
      </c>
      <c r="H39" s="5" t="s">
        <v>53</v>
      </c>
      <c r="I39" s="5" t="s">
        <v>559</v>
      </c>
      <c r="J39" s="6" t="s">
        <v>206</v>
      </c>
      <c r="K39" s="5" t="s">
        <v>720</v>
      </c>
    </row>
    <row r="40" customFormat="false" ht="23.85" hidden="false" customHeight="false" outlineLevel="0" collapsed="false">
      <c r="A40" s="5" t="n">
        <v>39</v>
      </c>
      <c r="B40" s="5" t="s">
        <v>555</v>
      </c>
      <c r="C40" s="5" t="s">
        <v>668</v>
      </c>
      <c r="D40" s="5" t="s">
        <v>717</v>
      </c>
      <c r="E40" s="5" t="s">
        <v>721</v>
      </c>
      <c r="F40" s="5" t="s">
        <v>600</v>
      </c>
      <c r="G40" s="5" t="s">
        <v>44</v>
      </c>
      <c r="H40" s="5" t="s">
        <v>53</v>
      </c>
      <c r="I40" s="5" t="s">
        <v>559</v>
      </c>
      <c r="J40" s="9" t="s">
        <v>601</v>
      </c>
      <c r="K40" s="5" t="s">
        <v>722</v>
      </c>
    </row>
    <row r="41" customFormat="false" ht="15" hidden="false" customHeight="false" outlineLevel="0" collapsed="false">
      <c r="A41" s="5" t="n">
        <v>40</v>
      </c>
      <c r="B41" s="5" t="s">
        <v>555</v>
      </c>
      <c r="C41" s="5" t="s">
        <v>668</v>
      </c>
      <c r="D41" s="5" t="s">
        <v>717</v>
      </c>
      <c r="E41" s="5" t="s">
        <v>723</v>
      </c>
      <c r="F41" s="5" t="s">
        <v>724</v>
      </c>
      <c r="G41" s="5" t="s">
        <v>44</v>
      </c>
      <c r="H41" s="5" t="s">
        <v>53</v>
      </c>
      <c r="I41" s="5" t="s">
        <v>559</v>
      </c>
      <c r="J41" s="6" t="s">
        <v>206</v>
      </c>
      <c r="K41" s="5" t="s">
        <v>725</v>
      </c>
    </row>
    <row r="42" customFormat="false" ht="15" hidden="false" customHeight="false" outlineLevel="0" collapsed="false">
      <c r="A42" s="5" t="n">
        <v>41</v>
      </c>
      <c r="B42" s="5" t="s">
        <v>555</v>
      </c>
      <c r="C42" s="5" t="s">
        <v>668</v>
      </c>
      <c r="D42" s="5" t="s">
        <v>717</v>
      </c>
      <c r="E42" s="5" t="s">
        <v>726</v>
      </c>
      <c r="F42" s="5" t="s">
        <v>727</v>
      </c>
      <c r="G42" s="5" t="s">
        <v>44</v>
      </c>
      <c r="H42" s="5" t="s">
        <v>45</v>
      </c>
      <c r="I42" s="5" t="s">
        <v>559</v>
      </c>
      <c r="J42" s="5" t="s">
        <v>47</v>
      </c>
      <c r="K42" s="5"/>
    </row>
    <row r="43" customFormat="false" ht="15" hidden="false" customHeight="false" outlineLevel="0" collapsed="false">
      <c r="A43" s="5" t="n">
        <v>42</v>
      </c>
      <c r="B43" s="5" t="s">
        <v>555</v>
      </c>
      <c r="C43" s="5" t="s">
        <v>668</v>
      </c>
      <c r="D43" s="5" t="s">
        <v>717</v>
      </c>
      <c r="E43" s="5" t="s">
        <v>728</v>
      </c>
      <c r="F43" s="5" t="s">
        <v>729</v>
      </c>
      <c r="G43" s="5" t="s">
        <v>52</v>
      </c>
      <c r="H43" s="5" t="s">
        <v>45</v>
      </c>
      <c r="I43" s="5" t="s">
        <v>559</v>
      </c>
      <c r="J43" s="5" t="s">
        <v>47</v>
      </c>
      <c r="K43" s="5"/>
    </row>
    <row r="44" customFormat="false" ht="23.85" hidden="false" customHeight="false" outlineLevel="0" collapsed="false">
      <c r="A44" s="5" t="n">
        <v>43</v>
      </c>
      <c r="B44" s="5" t="s">
        <v>555</v>
      </c>
      <c r="C44" s="5" t="s">
        <v>668</v>
      </c>
      <c r="D44" s="5" t="s">
        <v>717</v>
      </c>
      <c r="E44" s="5" t="s">
        <v>730</v>
      </c>
      <c r="F44" s="5" t="s">
        <v>604</v>
      </c>
      <c r="G44" s="5" t="s">
        <v>52</v>
      </c>
      <c r="H44" s="5" t="s">
        <v>53</v>
      </c>
      <c r="I44" s="5" t="s">
        <v>559</v>
      </c>
      <c r="J44" s="9" t="s">
        <v>601</v>
      </c>
      <c r="K44" s="5" t="s">
        <v>731</v>
      </c>
    </row>
    <row r="45" customFormat="false" ht="15" hidden="false" customHeight="false" outlineLevel="0" collapsed="false">
      <c r="A45" s="5" t="n">
        <v>44</v>
      </c>
      <c r="B45" s="5" t="s">
        <v>555</v>
      </c>
      <c r="C45" s="5" t="s">
        <v>668</v>
      </c>
      <c r="D45" s="5" t="s">
        <v>717</v>
      </c>
      <c r="E45" s="5" t="s">
        <v>732</v>
      </c>
      <c r="F45" s="5" t="s">
        <v>677</v>
      </c>
      <c r="G45" s="5" t="s">
        <v>44</v>
      </c>
      <c r="H45" s="5" t="s">
        <v>45</v>
      </c>
      <c r="I45" s="5" t="s">
        <v>559</v>
      </c>
      <c r="J45" s="6" t="s">
        <v>206</v>
      </c>
      <c r="K45" s="5" t="s">
        <v>733</v>
      </c>
    </row>
    <row r="46" customFormat="false" ht="15" hidden="false" customHeight="false" outlineLevel="0" collapsed="false">
      <c r="A46" s="5" t="n">
        <v>45</v>
      </c>
      <c r="B46" s="5" t="s">
        <v>555</v>
      </c>
      <c r="C46" s="5" t="s">
        <v>668</v>
      </c>
      <c r="D46" s="5" t="s">
        <v>717</v>
      </c>
      <c r="E46" s="5" t="s">
        <v>734</v>
      </c>
      <c r="F46" s="5" t="s">
        <v>735</v>
      </c>
      <c r="G46" s="5" t="s">
        <v>52</v>
      </c>
      <c r="H46" s="5" t="s">
        <v>53</v>
      </c>
      <c r="I46" s="5" t="s">
        <v>559</v>
      </c>
      <c r="J46" s="7" t="s">
        <v>223</v>
      </c>
      <c r="K46" s="5" t="s">
        <v>736</v>
      </c>
    </row>
    <row r="47" customFormat="false" ht="15" hidden="false" customHeight="false" outlineLevel="0" collapsed="false">
      <c r="A47" s="5" t="n">
        <v>46</v>
      </c>
      <c r="B47" s="5" t="s">
        <v>555</v>
      </c>
      <c r="C47" s="5" t="s">
        <v>668</v>
      </c>
      <c r="D47" s="5" t="s">
        <v>737</v>
      </c>
      <c r="E47" s="5" t="s">
        <v>738</v>
      </c>
      <c r="F47" s="5" t="s">
        <v>739</v>
      </c>
      <c r="G47" s="5" t="s">
        <v>52</v>
      </c>
      <c r="H47" s="5" t="s">
        <v>45</v>
      </c>
      <c r="I47" s="5" t="s">
        <v>559</v>
      </c>
      <c r="J47" s="6" t="s">
        <v>206</v>
      </c>
      <c r="K47" s="5" t="s">
        <v>740</v>
      </c>
    </row>
    <row r="48" customFormat="false" ht="15" hidden="false" customHeight="false" outlineLevel="0" collapsed="false">
      <c r="A48" s="5" t="n">
        <v>47</v>
      </c>
      <c r="B48" s="5" t="s">
        <v>555</v>
      </c>
      <c r="C48" s="5" t="s">
        <v>668</v>
      </c>
      <c r="D48" s="5" t="s">
        <v>737</v>
      </c>
      <c r="E48" s="5" t="s">
        <v>741</v>
      </c>
      <c r="F48" s="5" t="s">
        <v>742</v>
      </c>
      <c r="G48" s="5" t="s">
        <v>52</v>
      </c>
      <c r="H48" s="5" t="s">
        <v>45</v>
      </c>
      <c r="I48" s="5" t="s">
        <v>559</v>
      </c>
      <c r="J48" s="6" t="s">
        <v>206</v>
      </c>
      <c r="K48" s="5" t="s">
        <v>743</v>
      </c>
    </row>
    <row r="49" customFormat="false" ht="15" hidden="false" customHeight="false" outlineLevel="0" collapsed="false">
      <c r="A49" s="5" t="n">
        <v>48</v>
      </c>
      <c r="B49" s="5" t="s">
        <v>555</v>
      </c>
      <c r="C49" s="5" t="s">
        <v>668</v>
      </c>
      <c r="D49" s="5" t="s">
        <v>737</v>
      </c>
      <c r="E49" s="5" t="s">
        <v>744</v>
      </c>
      <c r="F49" s="5" t="s">
        <v>687</v>
      </c>
      <c r="G49" s="5" t="s">
        <v>44</v>
      </c>
      <c r="H49" s="5" t="s">
        <v>45</v>
      </c>
      <c r="I49" s="5" t="s">
        <v>559</v>
      </c>
      <c r="J49" s="6" t="s">
        <v>206</v>
      </c>
      <c r="K49" s="5" t="s">
        <v>745</v>
      </c>
    </row>
    <row r="50" customFormat="false" ht="15" hidden="false" customHeight="false" outlineLevel="0" collapsed="false">
      <c r="A50" s="5" t="n">
        <v>49</v>
      </c>
      <c r="B50" s="5" t="s">
        <v>555</v>
      </c>
      <c r="C50" s="5" t="s">
        <v>668</v>
      </c>
      <c r="D50" s="5" t="s">
        <v>746</v>
      </c>
      <c r="E50" s="5" t="s">
        <v>747</v>
      </c>
      <c r="F50" s="5" t="s">
        <v>748</v>
      </c>
      <c r="G50" s="5" t="s">
        <v>44</v>
      </c>
      <c r="H50" s="5" t="s">
        <v>45</v>
      </c>
      <c r="I50" s="5" t="s">
        <v>559</v>
      </c>
      <c r="J50" s="6" t="s">
        <v>206</v>
      </c>
      <c r="K50" s="5" t="s">
        <v>749</v>
      </c>
    </row>
    <row r="51" customFormat="false" ht="23.85" hidden="false" customHeight="false" outlineLevel="0" collapsed="false">
      <c r="A51" s="5" t="n">
        <v>50</v>
      </c>
      <c r="B51" s="5" t="s">
        <v>555</v>
      </c>
      <c r="C51" s="5" t="s">
        <v>668</v>
      </c>
      <c r="D51" s="5" t="s">
        <v>746</v>
      </c>
      <c r="E51" s="5" t="s">
        <v>750</v>
      </c>
      <c r="F51" s="5" t="s">
        <v>751</v>
      </c>
      <c r="G51" s="5" t="s">
        <v>52</v>
      </c>
      <c r="H51" s="5" t="s">
        <v>45</v>
      </c>
      <c r="I51" s="5" t="s">
        <v>559</v>
      </c>
      <c r="J51" s="5" t="s">
        <v>47</v>
      </c>
      <c r="K51" s="5"/>
    </row>
    <row r="52" customFormat="false" ht="23.85" hidden="false" customHeight="false" outlineLevel="0" collapsed="false">
      <c r="A52" s="5" t="n">
        <v>51</v>
      </c>
      <c r="B52" s="5" t="s">
        <v>555</v>
      </c>
      <c r="C52" s="5" t="s">
        <v>668</v>
      </c>
      <c r="D52" s="5" t="s">
        <v>746</v>
      </c>
      <c r="E52" s="5" t="s">
        <v>752</v>
      </c>
      <c r="F52" s="5" t="s">
        <v>753</v>
      </c>
      <c r="G52" s="5" t="s">
        <v>52</v>
      </c>
      <c r="H52" s="5" t="s">
        <v>45</v>
      </c>
      <c r="I52" s="5" t="s">
        <v>559</v>
      </c>
      <c r="J52" s="8" t="s">
        <v>594</v>
      </c>
      <c r="K52" s="5" t="s">
        <v>754</v>
      </c>
    </row>
    <row r="53" customFormat="false" ht="23.85" hidden="false" customHeight="false" outlineLevel="0" collapsed="false">
      <c r="A53" s="5" t="n">
        <v>52</v>
      </c>
      <c r="B53" s="5" t="s">
        <v>555</v>
      </c>
      <c r="C53" s="5" t="s">
        <v>668</v>
      </c>
      <c r="D53" s="5" t="s">
        <v>746</v>
      </c>
      <c r="E53" s="5" t="s">
        <v>755</v>
      </c>
      <c r="F53" s="5" t="s">
        <v>756</v>
      </c>
      <c r="G53" s="5" t="s">
        <v>44</v>
      </c>
      <c r="H53" s="5" t="s">
        <v>45</v>
      </c>
      <c r="I53" s="5" t="s">
        <v>559</v>
      </c>
      <c r="J53" s="8" t="s">
        <v>594</v>
      </c>
      <c r="K53" s="5" t="s">
        <v>757</v>
      </c>
    </row>
    <row r="54" customFormat="false" ht="15" hidden="false" customHeight="false" outlineLevel="0" collapsed="false">
      <c r="A54" s="5" t="n">
        <v>53</v>
      </c>
      <c r="B54" s="5" t="s">
        <v>555</v>
      </c>
      <c r="C54" s="5" t="s">
        <v>668</v>
      </c>
      <c r="D54" s="5" t="s">
        <v>746</v>
      </c>
      <c r="E54" s="5" t="s">
        <v>758</v>
      </c>
      <c r="F54" s="5" t="s">
        <v>759</v>
      </c>
      <c r="G54" s="5" t="s">
        <v>52</v>
      </c>
      <c r="H54" s="5" t="s">
        <v>45</v>
      </c>
      <c r="I54" s="5" t="s">
        <v>559</v>
      </c>
      <c r="J54" s="5" t="s">
        <v>47</v>
      </c>
      <c r="K54" s="5"/>
    </row>
    <row r="55" customFormat="false" ht="15" hidden="false" customHeight="false" outlineLevel="0" collapsed="false">
      <c r="A55" s="5" t="n">
        <v>54</v>
      </c>
      <c r="B55" s="5" t="s">
        <v>555</v>
      </c>
      <c r="C55" s="5" t="s">
        <v>668</v>
      </c>
      <c r="D55" s="5" t="s">
        <v>746</v>
      </c>
      <c r="E55" s="5" t="s">
        <v>760</v>
      </c>
      <c r="F55" s="5" t="s">
        <v>761</v>
      </c>
      <c r="G55" s="5" t="s">
        <v>52</v>
      </c>
      <c r="H55" s="5" t="s">
        <v>45</v>
      </c>
      <c r="I55" s="5" t="s">
        <v>559</v>
      </c>
      <c r="J55" s="5" t="s">
        <v>47</v>
      </c>
      <c r="K55" s="5"/>
    </row>
    <row r="56" customFormat="false" ht="15" hidden="false" customHeight="false" outlineLevel="0" collapsed="false">
      <c r="A56" s="5" t="n">
        <v>55</v>
      </c>
      <c r="B56" s="5" t="s">
        <v>555</v>
      </c>
      <c r="C56" s="5" t="s">
        <v>668</v>
      </c>
      <c r="D56" s="5" t="s">
        <v>746</v>
      </c>
      <c r="E56" s="5" t="s">
        <v>762</v>
      </c>
      <c r="F56" s="5" t="s">
        <v>763</v>
      </c>
      <c r="G56" s="5" t="s">
        <v>52</v>
      </c>
      <c r="H56" s="5" t="s">
        <v>45</v>
      </c>
      <c r="I56" s="5" t="s">
        <v>559</v>
      </c>
      <c r="J56" s="5" t="s">
        <v>47</v>
      </c>
      <c r="K56" s="5"/>
    </row>
    <row r="57" customFormat="false" ht="15" hidden="false" customHeight="false" outlineLevel="0" collapsed="false">
      <c r="A57" s="5" t="n">
        <v>56</v>
      </c>
      <c r="B57" s="5" t="s">
        <v>555</v>
      </c>
      <c r="C57" s="5" t="s">
        <v>668</v>
      </c>
      <c r="D57" s="5" t="s">
        <v>746</v>
      </c>
      <c r="E57" s="5" t="s">
        <v>764</v>
      </c>
      <c r="F57" s="5" t="s">
        <v>765</v>
      </c>
      <c r="G57" s="5" t="s">
        <v>44</v>
      </c>
      <c r="H57" s="5" t="s">
        <v>45</v>
      </c>
      <c r="I57" s="5" t="s">
        <v>559</v>
      </c>
      <c r="J57" s="6" t="s">
        <v>206</v>
      </c>
      <c r="K57" s="5" t="s">
        <v>766</v>
      </c>
    </row>
    <row r="58" customFormat="false" ht="15" hidden="false" customHeight="false" outlineLevel="0" collapsed="false">
      <c r="A58" s="5" t="n">
        <v>57</v>
      </c>
      <c r="B58" s="5" t="s">
        <v>555</v>
      </c>
      <c r="C58" s="5" t="s">
        <v>668</v>
      </c>
      <c r="D58" s="5" t="s">
        <v>746</v>
      </c>
      <c r="E58" s="5" t="s">
        <v>767</v>
      </c>
      <c r="F58" s="5" t="s">
        <v>768</v>
      </c>
      <c r="G58" s="5" t="s">
        <v>44</v>
      </c>
      <c r="H58" s="5" t="s">
        <v>45</v>
      </c>
      <c r="I58" s="5" t="s">
        <v>559</v>
      </c>
      <c r="J58" s="6" t="s">
        <v>206</v>
      </c>
      <c r="K58" s="5" t="s">
        <v>769</v>
      </c>
    </row>
    <row r="59" customFormat="false" ht="15" hidden="false" customHeight="false" outlineLevel="0" collapsed="false">
      <c r="A59" s="5" t="n">
        <v>58</v>
      </c>
      <c r="B59" s="5" t="s">
        <v>555</v>
      </c>
      <c r="C59" s="5" t="s">
        <v>668</v>
      </c>
      <c r="D59" s="5" t="s">
        <v>746</v>
      </c>
      <c r="E59" s="5" t="s">
        <v>770</v>
      </c>
      <c r="F59" s="5" t="s">
        <v>771</v>
      </c>
      <c r="G59" s="5" t="s">
        <v>44</v>
      </c>
      <c r="H59" s="5" t="s">
        <v>45</v>
      </c>
      <c r="I59" s="5" t="s">
        <v>559</v>
      </c>
      <c r="J59" s="6" t="s">
        <v>206</v>
      </c>
      <c r="K59" s="5" t="s">
        <v>772</v>
      </c>
    </row>
    <row r="60" customFormat="false" ht="15" hidden="false" customHeight="false" outlineLevel="0" collapsed="false">
      <c r="A60" s="5" t="n">
        <v>59</v>
      </c>
      <c r="B60" s="5" t="s">
        <v>555</v>
      </c>
      <c r="C60" s="5" t="s">
        <v>668</v>
      </c>
      <c r="D60" s="5" t="s">
        <v>746</v>
      </c>
      <c r="E60" s="5" t="s">
        <v>773</v>
      </c>
      <c r="F60" s="5" t="s">
        <v>774</v>
      </c>
      <c r="G60" s="5" t="s">
        <v>44</v>
      </c>
      <c r="H60" s="5" t="s">
        <v>53</v>
      </c>
      <c r="I60" s="5" t="s">
        <v>559</v>
      </c>
      <c r="J60" s="6" t="s">
        <v>206</v>
      </c>
      <c r="K60" s="5" t="s">
        <v>775</v>
      </c>
    </row>
    <row r="61" customFormat="false" ht="15" hidden="false" customHeight="false" outlineLevel="0" collapsed="false">
      <c r="A61" s="5" t="n">
        <v>60</v>
      </c>
      <c r="B61" s="5" t="s">
        <v>555</v>
      </c>
      <c r="C61" s="5" t="s">
        <v>668</v>
      </c>
      <c r="D61" s="5" t="s">
        <v>746</v>
      </c>
      <c r="E61" s="5" t="s">
        <v>776</v>
      </c>
      <c r="F61" s="5" t="s">
        <v>777</v>
      </c>
      <c r="G61" s="5" t="s">
        <v>52</v>
      </c>
      <c r="H61" s="5" t="s">
        <v>53</v>
      </c>
      <c r="I61" s="5" t="s">
        <v>559</v>
      </c>
      <c r="J61" s="6" t="s">
        <v>206</v>
      </c>
      <c r="K61" s="5" t="s">
        <v>778</v>
      </c>
    </row>
    <row r="62" customFormat="false" ht="15" hidden="false" customHeight="false" outlineLevel="0" collapsed="false">
      <c r="A62" s="5" t="n">
        <v>61</v>
      </c>
      <c r="B62" s="5" t="s">
        <v>555</v>
      </c>
      <c r="C62" s="5" t="s">
        <v>668</v>
      </c>
      <c r="D62" s="5" t="s">
        <v>746</v>
      </c>
      <c r="E62" s="5" t="s">
        <v>779</v>
      </c>
      <c r="F62" s="5" t="s">
        <v>780</v>
      </c>
      <c r="G62" s="5" t="s">
        <v>52</v>
      </c>
      <c r="H62" s="5" t="s">
        <v>45</v>
      </c>
      <c r="I62" s="5" t="s">
        <v>559</v>
      </c>
      <c r="J62" s="8" t="s">
        <v>594</v>
      </c>
      <c r="K62" s="5" t="s">
        <v>781</v>
      </c>
    </row>
    <row r="63" customFormat="false" ht="23.85" hidden="false" customHeight="false" outlineLevel="0" collapsed="false">
      <c r="A63" s="5" t="n">
        <v>62</v>
      </c>
      <c r="B63" s="5" t="s">
        <v>555</v>
      </c>
      <c r="C63" s="5" t="s">
        <v>782</v>
      </c>
      <c r="D63" s="5" t="s">
        <v>783</v>
      </c>
      <c r="E63" s="5" t="s">
        <v>784</v>
      </c>
      <c r="F63" s="5" t="s">
        <v>604</v>
      </c>
      <c r="G63" s="5" t="s">
        <v>52</v>
      </c>
      <c r="H63" s="5" t="s">
        <v>53</v>
      </c>
      <c r="I63" s="5" t="s">
        <v>559</v>
      </c>
      <c r="J63" s="9" t="s">
        <v>601</v>
      </c>
      <c r="K63" s="5" t="s">
        <v>785</v>
      </c>
    </row>
    <row r="64" customFormat="false" ht="23.85" hidden="false" customHeight="false" outlineLevel="0" collapsed="false">
      <c r="A64" s="5" t="n">
        <v>63</v>
      </c>
      <c r="B64" s="5" t="s">
        <v>555</v>
      </c>
      <c r="C64" s="5" t="s">
        <v>782</v>
      </c>
      <c r="D64" s="5" t="s">
        <v>783</v>
      </c>
      <c r="E64" s="5" t="s">
        <v>786</v>
      </c>
      <c r="F64" s="5" t="s">
        <v>610</v>
      </c>
      <c r="G64" s="5" t="s">
        <v>44</v>
      </c>
      <c r="H64" s="5" t="s">
        <v>53</v>
      </c>
      <c r="I64" s="5" t="s">
        <v>559</v>
      </c>
      <c r="J64" s="9" t="s">
        <v>601</v>
      </c>
      <c r="K64" s="5" t="s">
        <v>787</v>
      </c>
    </row>
    <row r="65" customFormat="false" ht="15" hidden="false" customHeight="false" outlineLevel="0" collapsed="false">
      <c r="A65" s="5" t="n">
        <v>64</v>
      </c>
      <c r="B65" s="5" t="s">
        <v>555</v>
      </c>
      <c r="C65" s="5" t="s">
        <v>782</v>
      </c>
      <c r="D65" s="5" t="s">
        <v>783</v>
      </c>
      <c r="E65" s="5" t="s">
        <v>788</v>
      </c>
      <c r="F65" s="5" t="s">
        <v>789</v>
      </c>
      <c r="G65" s="5" t="s">
        <v>44</v>
      </c>
      <c r="H65" s="5" t="s">
        <v>53</v>
      </c>
      <c r="I65" s="5" t="s">
        <v>559</v>
      </c>
      <c r="J65" s="5" t="s">
        <v>47</v>
      </c>
      <c r="K6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44"/>
  </cols>
  <sheetData>
    <row r="1" customFormat="false" ht="26.85" hidden="false" customHeight="false" outlineLevel="0" collapsed="false">
      <c r="A1" s="12" t="s">
        <v>800</v>
      </c>
      <c r="B1" s="12" t="s">
        <v>801</v>
      </c>
      <c r="C1" s="12" t="s">
        <v>802</v>
      </c>
      <c r="D1" s="12" t="s">
        <v>803</v>
      </c>
      <c r="E1" s="12" t="s">
        <v>804</v>
      </c>
      <c r="F1" s="12" t="s">
        <v>805</v>
      </c>
      <c r="G1" s="12" t="s">
        <v>806</v>
      </c>
    </row>
    <row r="2" customFormat="false" ht="23.85" hidden="false" customHeight="false" outlineLevel="0" collapsed="false">
      <c r="A2" s="6" t="s">
        <v>206</v>
      </c>
      <c r="B2" s="5" t="s">
        <v>204</v>
      </c>
      <c r="C2" s="5" t="s">
        <v>205</v>
      </c>
      <c r="D2" s="5" t="s">
        <v>807</v>
      </c>
      <c r="E2" s="5" t="s">
        <v>227</v>
      </c>
      <c r="F2" s="5" t="s">
        <v>228</v>
      </c>
      <c r="G2" s="5" t="s">
        <v>808</v>
      </c>
    </row>
    <row r="3" customFormat="false" ht="15" hidden="false" customHeight="false" outlineLevel="0" collapsed="false">
      <c r="A3" s="6" t="s">
        <v>206</v>
      </c>
      <c r="B3" s="5" t="s">
        <v>627</v>
      </c>
      <c r="C3" s="5" t="s">
        <v>628</v>
      </c>
      <c r="D3" s="5" t="s">
        <v>809</v>
      </c>
      <c r="E3" s="5" t="s">
        <v>648</v>
      </c>
      <c r="F3" s="5" t="s">
        <v>649</v>
      </c>
      <c r="G3" s="5" t="s">
        <v>808</v>
      </c>
    </row>
    <row r="4" customFormat="false" ht="23.85" hidden="false" customHeight="false" outlineLevel="0" collapsed="false">
      <c r="A4" s="6" t="s">
        <v>206</v>
      </c>
      <c r="B4" s="5" t="s">
        <v>630</v>
      </c>
      <c r="C4" s="5" t="s">
        <v>631</v>
      </c>
      <c r="D4" s="5" t="s">
        <v>809</v>
      </c>
      <c r="E4" s="5" t="s">
        <v>654</v>
      </c>
      <c r="F4" s="5" t="s">
        <v>655</v>
      </c>
      <c r="G4" s="5" t="s">
        <v>808</v>
      </c>
    </row>
    <row r="5" customFormat="false" ht="23.85" hidden="false" customHeight="false" outlineLevel="0" collapsed="false">
      <c r="A5" s="6" t="s">
        <v>206</v>
      </c>
      <c r="B5" s="5" t="s">
        <v>633</v>
      </c>
      <c r="C5" s="5" t="s">
        <v>634</v>
      </c>
      <c r="D5" s="5" t="s">
        <v>809</v>
      </c>
      <c r="E5" s="5" t="s">
        <v>651</v>
      </c>
      <c r="F5" s="5" t="s">
        <v>652</v>
      </c>
      <c r="G5" s="5" t="s">
        <v>808</v>
      </c>
    </row>
    <row r="6" customFormat="false" ht="23.85" hidden="false" customHeight="false" outlineLevel="0" collapsed="false">
      <c r="A6" s="6" t="s">
        <v>206</v>
      </c>
      <c r="B6" s="5" t="s">
        <v>589</v>
      </c>
      <c r="C6" s="5" t="s">
        <v>590</v>
      </c>
      <c r="D6" s="5" t="s">
        <v>809</v>
      </c>
      <c r="E6" s="5" t="s">
        <v>606</v>
      </c>
      <c r="F6" s="5" t="s">
        <v>607</v>
      </c>
      <c r="G6" s="5" t="s">
        <v>808</v>
      </c>
    </row>
    <row r="7" customFormat="false" ht="23.85" hidden="false" customHeight="false" outlineLevel="0" collapsed="false">
      <c r="A7" s="8" t="s">
        <v>594</v>
      </c>
      <c r="B7" s="5" t="s">
        <v>592</v>
      </c>
      <c r="C7" s="5" t="s">
        <v>593</v>
      </c>
      <c r="D7" s="5" t="s">
        <v>809</v>
      </c>
      <c r="E7" s="5" t="s">
        <v>755</v>
      </c>
      <c r="F7" s="5" t="s">
        <v>756</v>
      </c>
      <c r="G7" s="5" t="s">
        <v>810</v>
      </c>
    </row>
    <row r="8" customFormat="false" ht="23.85" hidden="false" customHeight="false" outlineLevel="0" collapsed="false">
      <c r="A8" s="6" t="s">
        <v>206</v>
      </c>
      <c r="B8" s="5" t="s">
        <v>596</v>
      </c>
      <c r="C8" s="5" t="s">
        <v>597</v>
      </c>
      <c r="D8" s="5" t="s">
        <v>809</v>
      </c>
      <c r="E8" s="5" t="s">
        <v>612</v>
      </c>
      <c r="F8" s="5" t="s">
        <v>613</v>
      </c>
      <c r="G8" s="5" t="s">
        <v>808</v>
      </c>
    </row>
    <row r="9" customFormat="false" ht="23.85" hidden="false" customHeight="false" outlineLevel="0" collapsed="false">
      <c r="A9" s="6" t="s">
        <v>206</v>
      </c>
      <c r="B9" s="5" t="s">
        <v>670</v>
      </c>
      <c r="C9" s="5" t="s">
        <v>671</v>
      </c>
      <c r="D9" s="5" t="s">
        <v>809</v>
      </c>
      <c r="E9" s="5" t="s">
        <v>718</v>
      </c>
      <c r="F9" s="5" t="s">
        <v>719</v>
      </c>
      <c r="G9" s="5" t="s">
        <v>808</v>
      </c>
    </row>
    <row r="10" customFormat="false" ht="15" hidden="false" customHeight="false" outlineLevel="0" collapsed="false">
      <c r="A10" s="6" t="s">
        <v>206</v>
      </c>
      <c r="B10" s="5" t="s">
        <v>673</v>
      </c>
      <c r="C10" s="5" t="s">
        <v>674</v>
      </c>
      <c r="D10" s="5" t="s">
        <v>809</v>
      </c>
      <c r="E10" s="5" t="s">
        <v>723</v>
      </c>
      <c r="F10" s="5" t="s">
        <v>724</v>
      </c>
      <c r="G10" s="5" t="s">
        <v>808</v>
      </c>
    </row>
    <row r="11" customFormat="false" ht="23.85" hidden="false" customHeight="false" outlineLevel="0" collapsed="false">
      <c r="A11" s="6" t="s">
        <v>206</v>
      </c>
      <c r="B11" s="5" t="s">
        <v>676</v>
      </c>
      <c r="C11" s="5" t="s">
        <v>677</v>
      </c>
      <c r="D11" s="5" t="s">
        <v>809</v>
      </c>
      <c r="E11" s="5" t="s">
        <v>732</v>
      </c>
      <c r="F11" s="5" t="s">
        <v>677</v>
      </c>
      <c r="G11" s="5" t="s">
        <v>808</v>
      </c>
    </row>
    <row r="12" customFormat="false" ht="15" hidden="false" customHeight="false" outlineLevel="0" collapsed="false">
      <c r="A12" s="6" t="s">
        <v>206</v>
      </c>
      <c r="B12" s="5" t="s">
        <v>680</v>
      </c>
      <c r="C12" s="5" t="s">
        <v>681</v>
      </c>
      <c r="D12" s="5" t="s">
        <v>809</v>
      </c>
      <c r="E12" s="5" t="s">
        <v>738</v>
      </c>
      <c r="F12" s="5" t="s">
        <v>739</v>
      </c>
      <c r="G12" s="5" t="s">
        <v>808</v>
      </c>
    </row>
    <row r="13" customFormat="false" ht="15" hidden="false" customHeight="false" outlineLevel="0" collapsed="false">
      <c r="A13" s="6" t="s">
        <v>206</v>
      </c>
      <c r="B13" s="5" t="s">
        <v>683</v>
      </c>
      <c r="C13" s="5" t="s">
        <v>684</v>
      </c>
      <c r="D13" s="5" t="s">
        <v>809</v>
      </c>
      <c r="E13" s="5" t="s">
        <v>741</v>
      </c>
      <c r="F13" s="5" t="s">
        <v>742</v>
      </c>
      <c r="G13" s="5" t="s">
        <v>808</v>
      </c>
    </row>
    <row r="14" customFormat="false" ht="15" hidden="false" customHeight="false" outlineLevel="0" collapsed="false">
      <c r="A14" s="6" t="s">
        <v>206</v>
      </c>
      <c r="B14" s="5" t="s">
        <v>686</v>
      </c>
      <c r="C14" s="5" t="s">
        <v>687</v>
      </c>
      <c r="D14" s="5" t="s">
        <v>809</v>
      </c>
      <c r="E14" s="5" t="s">
        <v>744</v>
      </c>
      <c r="F14" s="5" t="s">
        <v>687</v>
      </c>
      <c r="G14" s="5" t="s">
        <v>808</v>
      </c>
    </row>
    <row r="15" customFormat="false" ht="15" hidden="false" customHeight="false" outlineLevel="0" collapsed="false">
      <c r="A15" s="6" t="s">
        <v>206</v>
      </c>
      <c r="B15" s="5" t="s">
        <v>693</v>
      </c>
      <c r="C15" s="5" t="s">
        <v>694</v>
      </c>
      <c r="D15" s="5" t="s">
        <v>809</v>
      </c>
      <c r="E15" s="5" t="s">
        <v>747</v>
      </c>
      <c r="F15" s="5" t="s">
        <v>748</v>
      </c>
      <c r="G15" s="5" t="s">
        <v>808</v>
      </c>
    </row>
    <row r="16" customFormat="false" ht="23.85" hidden="false" customHeight="false" outlineLevel="0" collapsed="false">
      <c r="A16" s="8" t="s">
        <v>594</v>
      </c>
      <c r="B16" s="5" t="s">
        <v>696</v>
      </c>
      <c r="C16" s="5" t="s">
        <v>697</v>
      </c>
      <c r="D16" s="5" t="s">
        <v>809</v>
      </c>
      <c r="E16" s="5" t="s">
        <v>752</v>
      </c>
      <c r="F16" s="5" t="s">
        <v>753</v>
      </c>
      <c r="G16" s="5" t="s">
        <v>810</v>
      </c>
    </row>
    <row r="17" customFormat="false" ht="23.85" hidden="false" customHeight="false" outlineLevel="0" collapsed="false">
      <c r="A17" s="6" t="s">
        <v>206</v>
      </c>
      <c r="B17" s="5" t="s">
        <v>699</v>
      </c>
      <c r="C17" s="5" t="s">
        <v>700</v>
      </c>
      <c r="D17" s="5" t="s">
        <v>809</v>
      </c>
      <c r="E17" s="5" t="s">
        <v>764</v>
      </c>
      <c r="F17" s="5" t="s">
        <v>765</v>
      </c>
      <c r="G17" s="5" t="s">
        <v>808</v>
      </c>
    </row>
    <row r="18" customFormat="false" ht="15" hidden="false" customHeight="false" outlineLevel="0" collapsed="false">
      <c r="A18" s="6" t="s">
        <v>206</v>
      </c>
      <c r="B18" s="5" t="s">
        <v>702</v>
      </c>
      <c r="C18" s="5" t="s">
        <v>703</v>
      </c>
      <c r="D18" s="5" t="s">
        <v>809</v>
      </c>
      <c r="E18" s="5" t="s">
        <v>767</v>
      </c>
      <c r="F18" s="5" t="s">
        <v>768</v>
      </c>
      <c r="G18" s="5" t="s">
        <v>808</v>
      </c>
    </row>
    <row r="19" customFormat="false" ht="15" hidden="false" customHeight="false" outlineLevel="0" collapsed="false">
      <c r="A19" s="6" t="s">
        <v>206</v>
      </c>
      <c r="B19" s="5" t="s">
        <v>705</v>
      </c>
      <c r="C19" s="5" t="s">
        <v>706</v>
      </c>
      <c r="D19" s="5" t="s">
        <v>809</v>
      </c>
      <c r="E19" s="5" t="s">
        <v>770</v>
      </c>
      <c r="F19" s="5" t="s">
        <v>771</v>
      </c>
      <c r="G19" s="5" t="s">
        <v>808</v>
      </c>
    </row>
    <row r="20" customFormat="false" ht="23.85" hidden="false" customHeight="false" outlineLevel="0" collapsed="false">
      <c r="A20" s="6" t="s">
        <v>206</v>
      </c>
      <c r="B20" s="5" t="s">
        <v>708</v>
      </c>
      <c r="C20" s="5" t="s">
        <v>709</v>
      </c>
      <c r="D20" s="5" t="s">
        <v>809</v>
      </c>
      <c r="E20" s="5" t="s">
        <v>773</v>
      </c>
      <c r="F20" s="5" t="s">
        <v>774</v>
      </c>
      <c r="G20" s="5" t="s">
        <v>808</v>
      </c>
    </row>
    <row r="21" customFormat="false" ht="23.85" hidden="false" customHeight="false" outlineLevel="0" collapsed="false">
      <c r="A21" s="6" t="s">
        <v>206</v>
      </c>
      <c r="B21" s="5" t="s">
        <v>711</v>
      </c>
      <c r="C21" s="5" t="s">
        <v>712</v>
      </c>
      <c r="D21" s="5" t="s">
        <v>809</v>
      </c>
      <c r="E21" s="5" t="s">
        <v>776</v>
      </c>
      <c r="F21" s="5" t="s">
        <v>777</v>
      </c>
      <c r="G21" s="5" t="s">
        <v>808</v>
      </c>
    </row>
    <row r="22" customFormat="false" ht="23.85" hidden="false" customHeight="false" outlineLevel="0" collapsed="false">
      <c r="A22" s="8" t="s">
        <v>594</v>
      </c>
      <c r="B22" s="5" t="s">
        <v>714</v>
      </c>
      <c r="C22" s="5" t="s">
        <v>715</v>
      </c>
      <c r="D22" s="5" t="s">
        <v>809</v>
      </c>
      <c r="E22" s="5" t="s">
        <v>779</v>
      </c>
      <c r="F22" s="5" t="s">
        <v>780</v>
      </c>
      <c r="G22" s="5" t="s">
        <v>810</v>
      </c>
    </row>
    <row r="23" customFormat="false" ht="15" hidden="false" customHeight="false" outlineLevel="0" collapsed="false">
      <c r="A23" s="7" t="s">
        <v>223</v>
      </c>
      <c r="B23" s="5" t="s">
        <v>503</v>
      </c>
      <c r="C23" s="5" t="s">
        <v>504</v>
      </c>
      <c r="D23" s="5" t="s">
        <v>807</v>
      </c>
      <c r="E23" s="5" t="s">
        <v>221</v>
      </c>
      <c r="F23" s="5" t="s">
        <v>222</v>
      </c>
      <c r="G23" s="5" t="s">
        <v>811</v>
      </c>
    </row>
    <row r="24" customFormat="false" ht="23.85" hidden="false" customHeight="false" outlineLevel="0" collapsed="false">
      <c r="A24" s="7" t="s">
        <v>223</v>
      </c>
      <c r="B24" s="5" t="s">
        <v>369</v>
      </c>
      <c r="C24" s="5" t="s">
        <v>370</v>
      </c>
      <c r="D24" s="5" t="s">
        <v>809</v>
      </c>
      <c r="E24" s="5" t="s">
        <v>734</v>
      </c>
      <c r="F24" s="5" t="s">
        <v>735</v>
      </c>
      <c r="G24" s="5" t="s">
        <v>811</v>
      </c>
    </row>
    <row r="25" customFormat="false" ht="35.05" hidden="false" customHeight="false" outlineLevel="0" collapsed="false">
      <c r="A25" s="9" t="s">
        <v>601</v>
      </c>
      <c r="B25" s="5" t="s">
        <v>812</v>
      </c>
      <c r="C25" s="5" t="s">
        <v>812</v>
      </c>
      <c r="D25" s="5" t="s">
        <v>809</v>
      </c>
      <c r="E25" s="5" t="s">
        <v>813</v>
      </c>
      <c r="F25" s="5" t="s">
        <v>814</v>
      </c>
      <c r="G25" s="5" t="s">
        <v>815</v>
      </c>
    </row>
    <row r="26" customFormat="false" ht="35.05" hidden="false" customHeight="false" outlineLevel="0" collapsed="false">
      <c r="A26" s="9" t="s">
        <v>601</v>
      </c>
      <c r="B26" s="5" t="s">
        <v>812</v>
      </c>
      <c r="C26" s="5" t="s">
        <v>812</v>
      </c>
      <c r="D26" s="5" t="s">
        <v>809</v>
      </c>
      <c r="E26" s="5" t="s">
        <v>816</v>
      </c>
      <c r="F26" s="5" t="s">
        <v>817</v>
      </c>
      <c r="G26" s="5" t="s">
        <v>815</v>
      </c>
    </row>
    <row r="27" customFormat="false" ht="35.05" hidden="false" customHeight="false" outlineLevel="0" collapsed="false">
      <c r="A27" s="9" t="s">
        <v>601</v>
      </c>
      <c r="B27" s="5" t="s">
        <v>812</v>
      </c>
      <c r="C27" s="5" t="s">
        <v>812</v>
      </c>
      <c r="D27" s="5" t="s">
        <v>809</v>
      </c>
      <c r="E27" s="5" t="s">
        <v>818</v>
      </c>
      <c r="F27" s="5" t="s">
        <v>819</v>
      </c>
      <c r="G27" s="5" t="s">
        <v>815</v>
      </c>
    </row>
    <row r="28" customFormat="false" ht="35.05" hidden="false" customHeight="false" outlineLevel="0" collapsed="false">
      <c r="A28" s="9" t="s">
        <v>601</v>
      </c>
      <c r="B28" s="5" t="s">
        <v>812</v>
      </c>
      <c r="C28" s="5" t="s">
        <v>812</v>
      </c>
      <c r="D28" s="5" t="s">
        <v>809</v>
      </c>
      <c r="E28" s="5" t="s">
        <v>820</v>
      </c>
      <c r="F28" s="5" t="s">
        <v>821</v>
      </c>
      <c r="G28" s="5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2026-10-20T00:23:33Z</dcterms:created>
  <dc:creator>openpyxl</dc:creator>
  <dc:description/>
  <dc:language>en-US</dc:language>
  <cp:lastModifiedBy/>
  <dcterms:modified xsi:type="dcterms:W3CDTF">2026-10-20T00:23:34Z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