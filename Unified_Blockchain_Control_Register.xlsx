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Control Register" sheetId="3" state="visible" r:id="rId5"/>
    <sheet name="Framework Sources" sheetId="4" state="visible" r:id="rId6"/>
  </sheets>
  <definedNames>
    <definedName function="false" hidden="true" localSheetId="2" name="_xlnm._FilterDatabase" vbProcedure="false">'Control Register'!$A$1:$AD$387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<sst xmlns="http://schemas.openxmlformats.org/spreadsheetml/2006/main" count="8457" uniqueCount="2976">
  <si>
    <t xml:space="preserve">Unified Blockchain Security Control Register</t>
  </si>
  <si>
    <t xml:space="preserve">Prepared 2026-10-20 · Blockchain Security Architecture (drafted with Claude) · Scope: exchanges/custodians, protocol/dApp/token teams, node/validator operators, enterprise baseline.</t>
  </si>
  <si>
    <t xml:space="preserve">What this is</t>
  </si>
  <si>
    <t xml:space="preserve">One register of 386 controls. The backbone is every normative BSSC requirement (NOS, TIS, KMS, SCS, GSP = 325 controls). 61 supplementary controls close gaps BSSC does not explicitly require, drawn from OWASP SC Top 10:2026, OWASP SCSVS, OWASP Web3 Top 15, SEAL Frameworks, CCSS v9.0, CIS Controls v8.1, DORA, MiCA and FATF.</t>
  </si>
  <si>
    <t xml:space="preserve">Every control is cross-referenced to all applicable frameworks (grey-blue header columns M–W). 'Applicable Frameworks' lists them in one cell for filtering.</t>
  </si>
  <si>
    <t xml:space="preserve">Columns</t>
  </si>
  <si>
    <t xml:space="preserve">Primary Source Framework / Ref ID: the framework the control was derived from. Reference Standard: citation text. Requirement Level: BSSC RFC 2119 keyword, or 'Recommended (supplementary)'.</t>
  </si>
  <si>
    <t xml:space="preserve">Overlap Flag / Reference (same convention as the Azure CIS register in this project): Duplicate = two source requirements ask the same party for the same thing – implement once, evidence both. Related = overlapping scope, or mirror requirements for different parties (e.g., TIS integrator check vs SCS issuer obligation). Each reference is tagged [Duplicate] or [Related]; the flag shows the strongest.</t>
  </si>
  <si>
    <t xml:space="preserve">Implementation Status, Control Owner, Notes (yellow) are for you to complete; Summary updates automatically.</t>
  </si>
  <si>
    <t xml:space="preserve">Example: UCR row for NOS req-limit-consensus-power → Status = Implemented, Owner = Head of Staking, Notes = 'Stake share 18% on Ethereum as of Q3'.</t>
  </si>
  <si>
    <t xml:space="preserve">Verification performed</t>
  </si>
  <si>
    <t xml:space="preserve">• BSSC requirement anchors re-checked against live specs (NOS 53, SCS 69, GSP 56); TIS/KMS heading-level.</t>
  </si>
  <si>
    <t xml:space="preserve">• OWASP SC Top 10:2026, Web3 Top 15, SCSVS areas, SEAL framework names, CCSS v9.0 aspects and CIS v8.1 control names verified against source sites (see Framework Sources tab).</t>
  </si>
  <si>
    <t xml:space="preserve">• Correction vs earlier BSSC workbook: CCSS references were renumbered to v9.0 aspects (e.g., Audit Logs is 2.04, Key Compromise Protocol is 1.06).</t>
  </si>
  <si>
    <t xml:space="preserve">• Automated checks: unique IDs, no empty control text, every overlap reference resolves, every coverage item (SC01–SC10, WA01–WA15, 11 SCSVS areas, 20 SEAL frameworks, 10 CCSS aspects, 18 CIS controls) maps to ≥1 control – see Summary.</t>
  </si>
  <si>
    <t xml:space="preserve">Caveats</t>
  </si>
  <si>
    <t xml:space="preserve">• Priority is architect judgement; framework mappings beyond BSSC are indicative and should be validated by your audit/compliance team. Regulatory mappings are article-level and not legal advice.</t>
  </si>
  <si>
    <t xml:space="preserve">• SCSVS is mapped at area level. EthTrust is mapped to levels and to named requirements cited by BSSC TIS; confirm the current EthTrust version (now maintained by the W3C EthTrust Community Group).</t>
  </si>
  <si>
    <t xml:space="preserve">• Source defects noted in BSSC specs: SCS version link points to gsp/v2.html; SCS references undefined #req-trigger-automated-response; NOS changelog uses #req-use-testnets; GSP anchor typo req-use-seecure-comms; KMS mixes FIPS 140-2/140-3.</t>
  </si>
  <si>
    <t xml:space="preserve">Unified Blockchain Control Register — Summary</t>
  </si>
  <si>
    <t xml:space="preserve">All figures are live formulas over the 'Control Register' tab.</t>
  </si>
  <si>
    <t xml:space="preserve">Controls by domain and priority</t>
  </si>
  <si>
    <t xml:space="preserve">Domain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</si>
  <si>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</si>
  <si>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</si>
  <si>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</si>
  <si>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</si>
  <si>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</si>
  <si>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Implemented</t>
  </si>
  <si>
    <t xml:space="preserve">% Implemented (excl. N/A &amp; risk accepted)</t>
  </si>
  <si>
    <t xml:space="preserve">01 Governance, Risk &amp; Compliance</t>
  </si>
  <si>
    <t xml:space="preserve">02 Key &amp; Wallet Management</t>
  </si>
  <si>
    <t xml:space="preserve">03 Smart Contract Development &amp; Assurance</t>
  </si>
  <si>
    <t xml:space="preserve">04 Token Integration &amp; Listing</t>
  </si>
  <si>
    <t xml:space="preserve">05 Node &amp; Network Operations</t>
  </si>
  <si>
    <t xml:space="preserve">06 Identity &amp; Access Management</t>
  </si>
  <si>
    <t xml:space="preserve">07 Logging, Monitoring &amp; Detection</t>
  </si>
  <si>
    <t xml:space="preserve">08 Incident Response &amp; Resilience</t>
  </si>
  <si>
    <t xml:space="preserve">09 Infrastructure &amp; Endpoint Security</t>
  </si>
  <si>
    <t xml:space="preserve">10 Supply Chain &amp; Third Parties</t>
  </si>
  <si>
    <t xml:space="preserve">11 Data Protection &amp; Privacy</t>
  </si>
  <si>
    <t xml:space="preserve">12 People &amp; Physical Security</t>
  </si>
  <si>
    <t xml:space="preserve">13 dApp Front-end &amp; User Protection</t>
  </si>
  <si>
    <t xml:space="preserve">14 Protocol Governance &amp; Upgrades</t>
  </si>
  <si>
    <t xml:space="preserve">Check: total equals register row count</t>
  </si>
  <si>
    <t xml:space="preserve">Controls by primary source framework</t>
  </si>
  <si>
    <t xml:space="preserve">Primary Source Framework</t>
  </si>
  <si>
    <t xml:space="preserve">Controls</t>
  </si>
  <si>
    <t xml:space="preserve">BSSC NOS v2</t>
  </si>
  <si>
    <t xml:space="preserve">BSSC TIS v1</t>
  </si>
  <si>
    <t xml:space="preserve">BSSC KMS v1</t>
  </si>
  <si>
    <t xml:space="preserve">BSSC SCS v1</t>
  </si>
  <si>
    <t xml:space="preserve">BSSC GSP v2</t>
  </si>
  <si>
    <t xml:space="preserve">OWASP SC Top 10:2026</t>
  </si>
  <si>
    <t xml:space="preserve">OWASP SCSVS</t>
  </si>
  <si>
    <t xml:space="preserve">OWASP Web3 Top 15</t>
  </si>
  <si>
    <t xml:space="preserve">SEAL Frameworks</t>
  </si>
  <si>
    <t xml:space="preserve">CCSS v9.0</t>
  </si>
  <si>
    <t xml:space="preserve">CIS Controls v8.1</t>
  </si>
  <si>
    <t xml:space="preserve">DORA (EU 2022/2554)</t>
  </si>
  <si>
    <t xml:space="preserve">MiCA (EU 2023/1114)</t>
  </si>
  <si>
    <t xml:space="preserve">FATF Recommendations</t>
  </si>
  <si>
    <t xml:space="preserve">Framework coverage (controls mapped to each item; 0 = gap)</t>
  </si>
  <si>
    <t xml:space="preserve">Framework</t>
  </si>
  <si>
    <t xml:space="preserve">Item</t>
  </si>
  <si>
    <t xml:space="preserve">Mapped controls</t>
  </si>
  <si>
    <t xml:space="preserve">Covered?</t>
  </si>
  <si>
    <t xml:space="preserve">SC01</t>
  </si>
  <si>
    <t xml:space="preserve">SC02</t>
  </si>
  <si>
    <t xml:space="preserve">SC03</t>
  </si>
  <si>
    <t xml:space="preserve">SC04</t>
  </si>
  <si>
    <t xml:space="preserve">SC05</t>
  </si>
  <si>
    <t xml:space="preserve">SC06</t>
  </si>
  <si>
    <t xml:space="preserve">SC07</t>
  </si>
  <si>
    <t xml:space="preserve">SC08</t>
  </si>
  <si>
    <t xml:space="preserve">SC09</t>
  </si>
  <si>
    <t xml:space="preserve">SC10</t>
  </si>
  <si>
    <t xml:space="preserve">WA01</t>
  </si>
  <si>
    <t xml:space="preserve">WA02</t>
  </si>
  <si>
    <t xml:space="preserve">WA03</t>
  </si>
  <si>
    <t xml:space="preserve">WA04</t>
  </si>
  <si>
    <t xml:space="preserve">WA05</t>
  </si>
  <si>
    <t xml:space="preserve">WA06</t>
  </si>
  <si>
    <t xml:space="preserve">WA07</t>
  </si>
  <si>
    <t xml:space="preserve">WA08</t>
  </si>
  <si>
    <t xml:space="preserve">WA09</t>
  </si>
  <si>
    <t xml:space="preserve">WA10</t>
  </si>
  <si>
    <t xml:space="preserve">WA11</t>
  </si>
  <si>
    <t xml:space="preserve">WA12</t>
  </si>
  <si>
    <t xml:space="preserve">WA13</t>
  </si>
  <si>
    <t xml:space="preserve">WA14</t>
  </si>
  <si>
    <t xml:space="preserve">WA15</t>
  </si>
  <si>
    <t xml:space="preserve">SCSVS-ARCH</t>
  </si>
  <si>
    <t xml:space="preserve">SCSVS-CODE</t>
  </si>
  <si>
    <t xml:space="preserve">SCSVS-GOV</t>
  </si>
  <si>
    <t xml:space="preserve">SCSVS-AUTH</t>
  </si>
  <si>
    <t xml:space="preserve">SCSVS-COMM</t>
  </si>
  <si>
    <t xml:space="preserve">SCSVS-CRYPTO</t>
  </si>
  <si>
    <t xml:space="preserve">SCSVS-ORACLE</t>
  </si>
  <si>
    <t xml:space="preserve">SCSVS-BLOCK</t>
  </si>
  <si>
    <t xml:space="preserve">SCSVS-BRIDGE</t>
  </si>
  <si>
    <t xml:space="preserve">SCSVS-DEFI</t>
  </si>
  <si>
    <t xml:space="preserve">SCSVS-COMP</t>
  </si>
  <si>
    <t xml:space="preserve">AI Security</t>
  </si>
  <si>
    <t xml:space="preserve">Awareness</t>
  </si>
  <si>
    <t xml:space="preserve">Community Management</t>
  </si>
  <si>
    <t xml:space="preserve">DevSecOps</t>
  </si>
  <si>
    <t xml:space="preserve">Insider Threats (DPRK IT Workers)</t>
  </si>
  <si>
    <t xml:space="preserve">ENS</t>
  </si>
  <si>
    <t xml:space="preserve">External Security Reviews</t>
  </si>
  <si>
    <t xml:space="preserve">Incident Management</t>
  </si>
  <si>
    <t xml:space="preserve">Infrastructure</t>
  </si>
  <si>
    <t xml:space="preserve">Monitoring</t>
  </si>
  <si>
    <t xml:space="preserve">Multisig for Protocols</t>
  </si>
  <si>
    <t xml:space="preserve">OpSec</t>
  </si>
  <si>
    <t xml:space="preserve">Physical Security</t>
  </si>
  <si>
    <t xml:space="preserve">Privacy</t>
  </si>
  <si>
    <t xml:space="preserve">Safe Harbor</t>
  </si>
  <si>
    <t xml:space="preserve">Security Testing</t>
  </si>
  <si>
    <t xml:space="preserve">Supply Chain</t>
  </si>
  <si>
    <t xml:space="preserve">Treasury Operations</t>
  </si>
  <si>
    <t xml:space="preserve">Wallet Security</t>
  </si>
  <si>
    <t xml:space="preserve">SEAL Certifications</t>
  </si>
  <si>
    <t xml:space="preserve">1.01 Key Material Generation</t>
  </si>
  <si>
    <t xml:space="preserve">1.02 Wallet Creation</t>
  </si>
  <si>
    <t xml:space="preserve">1.03 Key Storage</t>
  </si>
  <si>
    <t xml:space="preserve">1.04 Key Material Access</t>
  </si>
  <si>
    <t xml:space="preserve">1.05 Key Usage</t>
  </si>
  <si>
    <t xml:space="preserve">1.06 Key Compromise Protocol</t>
  </si>
  <si>
    <t xml:space="preserve">2.01 Security Audits</t>
  </si>
  <si>
    <t xml:space="preserve">2.02 Data Sanitization</t>
  </si>
  <si>
    <t xml:space="preserve">2.03 Proof of Reserve</t>
  </si>
  <si>
    <t xml:space="preserve">2.04 Audit Logs</t>
  </si>
  <si>
    <t xml:space="preserve">CIS 1</t>
  </si>
  <si>
    <t xml:space="preserve">CIS 2</t>
  </si>
  <si>
    <t xml:space="preserve">CIS 3</t>
  </si>
  <si>
    <t xml:space="preserve">CIS 4</t>
  </si>
  <si>
    <t xml:space="preserve">CIS 5</t>
  </si>
  <si>
    <t xml:space="preserve">CIS 6</t>
  </si>
  <si>
    <t xml:space="preserve">CIS 7</t>
  </si>
  <si>
    <t xml:space="preserve">CIS 8</t>
  </si>
  <si>
    <t xml:space="preserve">CIS 9</t>
  </si>
  <si>
    <t xml:space="preserve">CIS 10</t>
  </si>
  <si>
    <t xml:space="preserve">CIS 11</t>
  </si>
  <si>
    <t xml:space="preserve">CIS 12</t>
  </si>
  <si>
    <t xml:space="preserve">CIS 13</t>
  </si>
  <si>
    <t xml:space="preserve">CIS 14</t>
  </si>
  <si>
    <t xml:space="preserve">CIS 15</t>
  </si>
  <si>
    <t xml:space="preserve">CIS 16</t>
  </si>
  <si>
    <t xml:space="preserve">CIS 17</t>
  </si>
  <si>
    <t xml:space="preserve">CIS 18</t>
  </si>
  <si>
    <t xml:space="preserve">Items with a gap</t>
  </si>
  <si>
    <t xml:space="preserve">#</t>
  </si>
  <si>
    <t xml:space="preserve">Control ID</t>
  </si>
  <si>
    <t xml:space="preserve">Area</t>
  </si>
  <si>
    <t xml:space="preserve">Recommended Control</t>
  </si>
  <si>
    <t xml:space="preserve">Primary Source Ref ID</t>
  </si>
  <si>
    <t xml:space="preserve">Reference Standard</t>
  </si>
  <si>
    <t xml:space="preserve">Requirement Level</t>
  </si>
  <si>
    <t xml:space="preserve">Priority</t>
  </si>
  <si>
    <t xml:space="preserve">Applies To</t>
  </si>
  <si>
    <t xml:space="preserve">Applicable Frameworks</t>
  </si>
  <si>
    <t xml:space="preserve">BSSC (ID · req)</t>
  </si>
  <si>
    <t xml:space="preserve">EthTrust</t>
  </si>
  <si>
    <t xml:space="preserve">NIST CSF 2.0</t>
  </si>
  <si>
    <t xml:space="preserve">ISO/IEC 27001:2022</t>
  </si>
  <si>
    <t xml:space="preserve">Regulatory</t>
  </si>
  <si>
    <t xml:space="preserve">Overlap Flag</t>
  </si>
  <si>
    <t xml:space="preserve">Overlap Reference</t>
  </si>
  <si>
    <t xml:space="preserve">Verification Method / Evidence</t>
  </si>
  <si>
    <t xml:space="preserve">Source Link</t>
  </si>
  <si>
    <t xml:space="preserve">Implementation Status</t>
  </si>
  <si>
    <t xml:space="preserve">Control Owner</t>
  </si>
  <si>
    <t xml:space="preserve">Notes</t>
  </si>
  <si>
    <t xml:space="preserve">UCR-001</t>
  </si>
  <si>
    <t xml:space="preserve">Baseline security program</t>
  </si>
  <si>
    <t xml:space="preserve">Implement the BSSC General Security &amp; Privacy Guidelines (or ISO 27001 / SOC 2 equivalent) as the baseline security program for node operations.</t>
  </si>
  <si>
    <t xml:space="preserve">req-implement-basic-security</t>
  </si>
  <si>
    <t xml:space="preserve">BSSC NOS v2 — 0. Basic Security</t>
  </si>
  <si>
    <t xml:space="preserve">MUST</t>
  </si>
  <si>
    <t xml:space="preserve">Node/validator operator; Exchange/Custodian running nodes</t>
  </si>
  <si>
    <t xml:space="preserve">BSSC NOS; SEAL; CIS v8.1; NIST CSF 2.0; ISO 27001:2022; DORA</t>
  </si>
  <si>
    <t xml:space="preserve">NOS-002 · req-implement-basic-security</t>
  </si>
  <si>
    <t xml:space="preserve">CIS 1–18 (IG1 baseline)</t>
  </si>
  <si>
    <t xml:space="preserve">GV.PO-01</t>
  </si>
  <si>
    <t xml:space="preserve">A.5.1</t>
  </si>
  <si>
    <t xml:space="preserve">DORA Art. 5–6</t>
  </si>
  <si>
    <t xml:space="preserve">Related</t>
  </si>
  <si>
    <t xml:space="preserve">UCR-320 [Related] (CIS Controls v8.1 CIS 4.1)</t>
  </si>
  <si>
    <t xml:space="preserve">Review GSP gap assessment or ISO/SOC 2 report scope covering node infrastructure.</t>
  </si>
  <si>
    <t xml:space="preserve">Open source</t>
  </si>
  <si>
    <t xml:space="preserve">Not started</t>
  </si>
  <si>
    <t xml:space="preserve">UCR-002</t>
  </si>
  <si>
    <t xml:space="preserve">Risk assessment</t>
  </si>
  <si>
    <t xml:space="preserve">Run a documented protocol selection and risk analysis (consensus, economics, client maturity, slashing exposure) before onboarding any new network.</t>
  </si>
  <si>
    <t xml:space="preserve">req-document-protocol-analysis</t>
  </si>
  <si>
    <t xml:space="preserve">BSSC NOS v2 — 1. Protocol Onboarding</t>
  </si>
  <si>
    <t xml:space="preserve">BSSC NOS; SEAL; NIST CSF 2.0; ISO 27001:2022; DORA</t>
  </si>
  <si>
    <t xml:space="preserve">NOS-003 · req-document-protocol-analysis</t>
  </si>
  <si>
    <t xml:space="preserve">ID.RA-01; GV.RM-03</t>
  </si>
  <si>
    <t xml:space="preserve">A.5.8</t>
  </si>
  <si>
    <t xml:space="preserve">DORA Art. 6, 8</t>
  </si>
  <si>
    <t xml:space="preserve">None</t>
  </si>
  <si>
    <t xml:space="preserve">Inspect onboarding risk assessments and approval sign-off for each supported protocol.</t>
  </si>
  <si>
    <t xml:space="preserve">UCR-003</t>
  </si>
  <si>
    <t xml:space="preserve">Continuously monitor protocol forks, upgrades and governance changes (release feeds, EIPs/BIPs, dev calls) and refresh the protocol risk assessment on each material change.</t>
  </si>
  <si>
    <t xml:space="preserve">req-monitor-protocol-changes</t>
  </si>
  <si>
    <t xml:space="preserve">NOS-004 · req-monitor-protocol-changes</t>
  </si>
  <si>
    <t xml:space="preserve">ID.RA-03; ID.RA-07</t>
  </si>
  <si>
    <t xml:space="preserve">A.5.7</t>
  </si>
  <si>
    <t xml:space="preserve">Show change-tracking log, subscriptions, and risk-assessment revision history.</t>
  </si>
  <si>
    <t xml:space="preserve">UCR-004</t>
  </si>
  <si>
    <t xml:space="preserve">Compliance</t>
  </si>
  <si>
    <t xml:space="preserve">Screen counterparties and addresses against applicable AML/sanctions blacklists (e.g., OFAC SDN) where required; document jurisdictional obligations.</t>
  </si>
  <si>
    <t xml:space="preserve">req-follow-relevant-regulation</t>
  </si>
  <si>
    <t xml:space="preserve">BSSC NOS; NIST CSF 2.0; ISO 27001:2022; FATF</t>
  </si>
  <si>
    <t xml:space="preserve">NOS-011 · req-follow-relevant-regulation</t>
  </si>
  <si>
    <t xml:space="preserve">GV.OC-03</t>
  </si>
  <si>
    <t xml:space="preserve">A.5.31</t>
  </si>
  <si>
    <t xml:space="preserve">FATF R.6/R.7 (sanctions), R.15; EU TFR 2023/1113; EU AMLR 2024/1624</t>
  </si>
  <si>
    <t xml:space="preserve">UCR-018 [Related] (BSSC GSP v2 req-monitor-regulation)</t>
  </si>
  <si>
    <t xml:space="preserve">Test screening tooling against known sanctioned addresses; review compliance register.</t>
  </si>
  <si>
    <t xml:space="preserve">UCR-005</t>
  </si>
  <si>
    <t xml:space="preserve">Transparency</t>
  </si>
  <si>
    <t xml:space="preserve">Disclose scope and terms of insurance covering slashing, downtime and compromise, or state clearly that none exists.</t>
  </si>
  <si>
    <t xml:space="preserve">req-document-insurance</t>
  </si>
  <si>
    <t xml:space="preserve">BSSC NOS v2 — 5. Transparency</t>
  </si>
  <si>
    <t xml:space="preserve">BSSC NOS; NIST CSF 2.0</t>
  </si>
  <si>
    <t xml:space="preserve">NOS-050 · req-document-insurance</t>
  </si>
  <si>
    <t xml:space="preserve">GV.OC-02</t>
  </si>
  <si>
    <t xml:space="preserve">Review published insurance disclosure.</t>
  </si>
  <si>
    <t xml:space="preserve">UCR-006</t>
  </si>
  <si>
    <t xml:space="preserve">Document exit triggers, notification timelines, stored-transaction handling, unbonding/withdrawal penalties and delay conditions.</t>
  </si>
  <si>
    <t xml:space="preserve">req-document-exit-procedures</t>
  </si>
  <si>
    <t xml:space="preserve">BSSC NOS; NIST CSF 2.0; ISO 27001:2022</t>
  </si>
  <si>
    <t xml:space="preserve">NOS-052 · req-document-exit-procedures</t>
  </si>
  <si>
    <t xml:space="preserve">A.5.37</t>
  </si>
  <si>
    <t xml:space="preserve">Review client-facing exit documentation.</t>
  </si>
  <si>
    <t xml:space="preserve">UCR-007</t>
  </si>
  <si>
    <t xml:space="preserve">Use only industry-standard encrypted communication methods with clients and partners.</t>
  </si>
  <si>
    <t xml:space="preserve">req-communicate-securely</t>
  </si>
  <si>
    <t xml:space="preserve">BSSC NOS; SEAL; CIS v8.1; NIST CSF 2.0; ISO 27001:2022</t>
  </si>
  <si>
    <t xml:space="preserve">NOS-053 · req-communicate-securely</t>
  </si>
  <si>
    <t xml:space="preserve">CIS 3.10</t>
  </si>
  <si>
    <t xml:space="preserve">PR.DS-02</t>
  </si>
  <si>
    <t xml:space="preserve">A.5.14</t>
  </si>
  <si>
    <t xml:space="preserve">UCR-314 [Related] (BSSC GSP v2 req-use-seecure-comms)</t>
  </si>
  <si>
    <t xml:space="preserve">Review approved communications channels list.</t>
  </si>
  <si>
    <t xml:space="preserve">UCR-008</t>
  </si>
  <si>
    <t xml:space="preserve">Threat modelling</t>
  </si>
  <si>
    <t xml:space="preserve">Maintain a threat model covering online and offline key components.</t>
  </si>
  <si>
    <t xml:space="preserve">KMS-GEN-15</t>
  </si>
  <si>
    <t xml:space="preserve">BSSC KMS v1 — §5 General Requirements</t>
  </si>
  <si>
    <t xml:space="preserve">SHOULD</t>
  </si>
  <si>
    <t xml:space="preserve">All key holders (Custodian/Exchange, Node operator, Protocol/admin keys)</t>
  </si>
  <si>
    <t xml:space="preserve">BSSC KMS; SEAL; CIS v8.1; NIST CSF 2.0; ISO 27001:2022</t>
  </si>
  <si>
    <t xml:space="preserve">KMS-015 · KMS-GEN-15</t>
  </si>
  <si>
    <t xml:space="preserve">CIS 16.14</t>
  </si>
  <si>
    <t xml:space="preserve">ID.RA-03</t>
  </si>
  <si>
    <t xml:space="preserve">A.5.7; A.8.27</t>
  </si>
  <si>
    <t xml:space="preserve">Review threat model currency.</t>
  </si>
  <si>
    <t xml:space="preserve">UCR-009</t>
  </si>
  <si>
    <t xml:space="preserve">Ensure the threat model identifies threats and vulnerabilities.</t>
  </si>
  <si>
    <t xml:space="preserve">KMS-GEN-16</t>
  </si>
  <si>
    <t xml:space="preserve">KMS-016 · KMS-GEN-16</t>
  </si>
  <si>
    <t xml:space="preserve">A.8.27</t>
  </si>
  <si>
    <t xml:space="preserve">Threat model content review.</t>
  </si>
  <si>
    <t xml:space="preserve">UCR-010</t>
  </si>
  <si>
    <t xml:space="preserve">Ensure the threat model recommends controls and tracks implementation status.</t>
  </si>
  <si>
    <t xml:space="preserve">KMS-GEN-17</t>
  </si>
  <si>
    <t xml:space="preserve">KMS-017 · KMS-GEN-17</t>
  </si>
  <si>
    <t xml:space="preserve">ID.RA-06</t>
  </si>
  <si>
    <t xml:space="preserve">Trace threats to control status.</t>
  </si>
  <si>
    <t xml:space="preserve">UCR-011</t>
  </si>
  <si>
    <t xml:space="preserve">Periodically test threats and controls via audits and penetration tests.</t>
  </si>
  <si>
    <t xml:space="preserve">KMS-GEN-18</t>
  </si>
  <si>
    <t xml:space="preserve">BSSC KMS; SEAL; CCSS v9.0; CIS v8.1; NIST CSF 2.0; ISO 27001:2022</t>
  </si>
  <si>
    <t xml:space="preserve">KMS-018 · KMS-GEN-18</t>
  </si>
  <si>
    <t xml:space="preserve">CIS 18.1</t>
  </si>
  <si>
    <t xml:space="preserve">ID.IM-02</t>
  </si>
  <si>
    <t xml:space="preserve">A.8.8</t>
  </si>
  <si>
    <t xml:space="preserve">UCR-317 [Related] (BSSC GSP v2 req-test-penetration)</t>
  </si>
  <si>
    <t xml:space="preserve">Review pentest/audit reports.</t>
  </si>
  <si>
    <t xml:space="preserve">UCR-012</t>
  </si>
  <si>
    <t xml:space="preserve">Risk assessment &amp; monitoring</t>
  </si>
  <si>
    <t xml:space="preserve">Document a risk assessment at least annually.</t>
  </si>
  <si>
    <t xml:space="preserve">req-assess-risk-regularly</t>
  </si>
  <si>
    <t xml:space="preserve">BSSC SCS v1 — 4. Operations</t>
  </si>
  <si>
    <t xml:space="preserve">Protocol/dApp/token developer; Exchange/Custodian (own contracts)</t>
  </si>
  <si>
    <t xml:space="preserve">BSSC SCS; SEAL; NIST CSF 2.0; ISO 27001:2022; DORA</t>
  </si>
  <si>
    <t xml:space="preserve">SCS-048 · req-assess-risk-regularly</t>
  </si>
  <si>
    <t xml:space="preserve">ID.RA-01</t>
  </si>
  <si>
    <t xml:space="preserve">Cl. 8.2; A.5.7</t>
  </si>
  <si>
    <t xml:space="preserve">Duplicate</t>
  </si>
  <si>
    <t xml:space="preserve">UCR-020 [Duplicate] (BSSC GSP v2 req-assess-risks)</t>
  </si>
  <si>
    <t xml:space="preserve">Latest annual risk assessment.</t>
  </si>
  <si>
    <t xml:space="preserve">UCR-013</t>
  </si>
  <si>
    <t xml:space="preserve">Security knowledge</t>
  </si>
  <si>
    <t xml:space="preserve">Document how new security information (exploit post-mortems, advisories) is integrated.</t>
  </si>
  <si>
    <t xml:space="preserve">req-update-security-process</t>
  </si>
  <si>
    <t xml:space="preserve">BSSC SCS; SEAL; NIST CSF 2.0; ISO 27001:2022</t>
  </si>
  <si>
    <t xml:space="preserve">SCS-052 · req-update-security-process</t>
  </si>
  <si>
    <t xml:space="preserve">ID.IM-01</t>
  </si>
  <si>
    <t xml:space="preserve">Process doc and examples.</t>
  </si>
  <si>
    <t xml:space="preserve">UCR-014</t>
  </si>
  <si>
    <t xml:space="preserve">Risk management</t>
  </si>
  <si>
    <t xml:space="preserve">Include blockchain-specific risks (key loss, smart contract, chain, bridge) in enterprise risk management.</t>
  </si>
  <si>
    <t xml:space="preserve">req-treat-blockchain-risk</t>
  </si>
  <si>
    <t xml:space="preserve">BSSC GSP v2 — 1. Govern</t>
  </si>
  <si>
    <t xml:space="preserve">All blockchain participants</t>
  </si>
  <si>
    <t xml:space="preserve">BSSC GSP; SEAL; NIST CSF 2.0; ISO 27001:2022; DORA</t>
  </si>
  <si>
    <t xml:space="preserve">GSP-001 · req-treat-blockchain-risk</t>
  </si>
  <si>
    <t xml:space="preserve">GV.RM-01; GV.RM-03</t>
  </si>
  <si>
    <t xml:space="preserve">Cl. 6.1; A.5.1</t>
  </si>
  <si>
    <t xml:space="preserve">ERM register shows blockchain risk category.</t>
  </si>
  <si>
    <t xml:space="preserve">UCR-015</t>
  </si>
  <si>
    <t xml:space="preserve">Maintain a risk governance framework and risk register reviewed with stakeholders.</t>
  </si>
  <si>
    <t xml:space="preserve">req-risk-register</t>
  </si>
  <si>
    <t xml:space="preserve">GSP-002 · req-risk-register</t>
  </si>
  <si>
    <t xml:space="preserve">GV.RM-01; ID.RA-06</t>
  </si>
  <si>
    <t xml:space="preserve">Cl. 6.1.2; Cl. 8.2</t>
  </si>
  <si>
    <t xml:space="preserve">Register and review minutes.</t>
  </si>
  <si>
    <t xml:space="preserve">UCR-016</t>
  </si>
  <si>
    <t xml:space="preserve">Governance resources</t>
  </si>
  <si>
    <t xml:space="preserve">Assign dedicated resources and owners for security governance and compliance.</t>
  </si>
  <si>
    <t xml:space="preserve">req-assign-governance</t>
  </si>
  <si>
    <t xml:space="preserve">GSP-003 · req-assign-governance</t>
  </si>
  <si>
    <t xml:space="preserve">GV.RR-03</t>
  </si>
  <si>
    <t xml:space="preserve">Cl. 5.3; A.5.2</t>
  </si>
  <si>
    <t xml:space="preserve">DORA Art. 5</t>
  </si>
  <si>
    <t xml:space="preserve">Org chart / RACI.</t>
  </si>
  <si>
    <t xml:space="preserve">UCR-017</t>
  </si>
  <si>
    <t xml:space="preserve">Public compliance</t>
  </si>
  <si>
    <t xml:space="preserve">Publish a trust centre with compliance documentation and privacy policy.</t>
  </si>
  <si>
    <t xml:space="preserve">req-publish-trust-info</t>
  </si>
  <si>
    <t xml:space="preserve">BSSC GSP; NIST CSF 2.0; ISO 27001:2022</t>
  </si>
  <si>
    <t xml:space="preserve">GSP-005 · req-publish-trust-info</t>
  </si>
  <si>
    <t xml:space="preserve">A.5.34</t>
  </si>
  <si>
    <t xml:space="preserve">Trust centre review.</t>
  </si>
  <si>
    <t xml:space="preserve">UCR-018</t>
  </si>
  <si>
    <t xml:space="preserve">Regulatory monitoring</t>
  </si>
  <si>
    <t xml:space="preserve">Track and adapt to evolving regulation (MiCA, Travel Rule, local VASP rules).</t>
  </si>
  <si>
    <t xml:space="preserve">req-monitor-regulation</t>
  </si>
  <si>
    <t xml:space="preserve">BSSC GSP; NIST CSF 2.0; ISO 27001:2022; DORA; MiCA; FATF</t>
  </si>
  <si>
    <t xml:space="preserve">GSP-006 · req-monitor-regulation</t>
  </si>
  <si>
    <t xml:space="preserve">MiCA; DORA; FATF</t>
  </si>
  <si>
    <t xml:space="preserve">UCR-004 [Related] (BSSC NOS v2 req-follow-relevant-regulation)</t>
  </si>
  <si>
    <t xml:space="preserve">Regulatory watch log.</t>
  </si>
  <si>
    <t xml:space="preserve">UCR-019</t>
  </si>
  <si>
    <t xml:space="preserve">Crypto standards</t>
  </si>
  <si>
    <t xml:space="preserve">Track cryptographic standards incl. post-quantum guidance in risk management.</t>
  </si>
  <si>
    <t xml:space="preserve">req-monitor-crypto</t>
  </si>
  <si>
    <t xml:space="preserve">GSP-008 · req-monitor-crypto</t>
  </si>
  <si>
    <t xml:space="preserve">A.8.24</t>
  </si>
  <si>
    <t xml:space="preserve">UCR-221 [Related] (BSSC NOS v2 req-evaluate-protocol-pqc-plan); UCR-126 [Related] (BSSC SCS v1 req-assess-cryptography-risk)</t>
  </si>
  <si>
    <t xml:space="preserve">Crypto watch entries in risk register.</t>
  </si>
  <si>
    <t xml:space="preserve">UCR-020</t>
  </si>
  <si>
    <t xml:space="preserve">Conduct regular blockchain-specific risk assessments.</t>
  </si>
  <si>
    <t xml:space="preserve">req-assess-risks</t>
  </si>
  <si>
    <t xml:space="preserve">BSSC GSP v2 — 2. Identify</t>
  </si>
  <si>
    <t xml:space="preserve">GSP-009 · req-assess-risks</t>
  </si>
  <si>
    <t xml:space="preserve">Cl. 8.2</t>
  </si>
  <si>
    <t xml:space="preserve">UCR-012 [Duplicate] (BSSC SCS v1 req-assess-risk-regularly)</t>
  </si>
  <si>
    <t xml:space="preserve">Assessment reports.</t>
  </si>
  <si>
    <t xml:space="preserve">UCR-021</t>
  </si>
  <si>
    <t xml:space="preserve">Customer funds</t>
  </si>
  <si>
    <t xml:space="preserve">Document risks to customer funds and keep accessible.</t>
  </si>
  <si>
    <t xml:space="preserve">req-document-funds-risks</t>
  </si>
  <si>
    <t xml:space="preserve">Custodian/Exchange; Protocol holding user funds</t>
  </si>
  <si>
    <t xml:space="preserve">BSSC GSP; SEAL; CCSS v9.0; NIST CSF 2.0; ISO 27001:2022; MiCA</t>
  </si>
  <si>
    <t xml:space="preserve">GSP-010 · req-document-funds-risks</t>
  </si>
  <si>
    <t xml:space="preserve">ID.RA-04</t>
  </si>
  <si>
    <t xml:space="preserve">Cl. 6.1.2</t>
  </si>
  <si>
    <t xml:space="preserve">MiCA Art. 70</t>
  </si>
  <si>
    <t xml:space="preserve">UCR-025 [Related] (CCSS v9.0 2.03 Proof of Reserve); UCR-104 [Related] (MiCA (EU 2023/1114) Art. 70; 75)</t>
  </si>
  <si>
    <t xml:space="preserve">Customer-funds risk document.</t>
  </si>
  <si>
    <t xml:space="preserve">UCR-022</t>
  </si>
  <si>
    <t xml:space="preserve">Ecosystem risk</t>
  </si>
  <si>
    <t xml:space="preserve">Assess ecosystem/external risks (bridges, L1 health, counterparties, stablecoin depegs).</t>
  </si>
  <si>
    <t xml:space="preserve">req-assess-ecosystem-risk</t>
  </si>
  <si>
    <t xml:space="preserve">GSP-011 · req-assess-ecosystem-risk</t>
  </si>
  <si>
    <t xml:space="preserve">ID.RA-03; GV.SC-07</t>
  </si>
  <si>
    <t xml:space="preserve">UCR-160 [Related] (OWASP SC Top 10:2026 SC03)</t>
  </si>
  <si>
    <t xml:space="preserve">Ecosystem risk assessment.</t>
  </si>
  <si>
    <t xml:space="preserve">UCR-023</t>
  </si>
  <si>
    <t xml:space="preserve">Cryptographic security</t>
  </si>
  <si>
    <t xml:space="preserve">Maintain a cryptographic inventory and migration plan for timely transitions incl. post-quantum.</t>
  </si>
  <si>
    <t xml:space="preserve">req-crypto-agility</t>
  </si>
  <si>
    <t xml:space="preserve">BSSC GSP v2 — 3. Protect</t>
  </si>
  <si>
    <t xml:space="preserve">GSP-037 · req-crypto-agility</t>
  </si>
  <si>
    <t xml:space="preserve">ID.AM-08; ID.IM-04</t>
  </si>
  <si>
    <t xml:space="preserve">UCR-220 [Related] (BSSC NOS v2 req-document-protocol-crypto); UCR-124 [Related] (BSSC SCS v1 req-document-cryptography)</t>
  </si>
  <si>
    <t xml:space="preserve">Crypto inventory and plan.</t>
  </si>
  <si>
    <t xml:space="preserve">UCR-024</t>
  </si>
  <si>
    <t xml:space="preserve">Independent security certification</t>
  </si>
  <si>
    <t xml:space="preserve">Pursue an independent certification (e.g., SEAL certification, CCSS audit, SOC 2/ISO 27001) appropriate to the business line.</t>
  </si>
  <si>
    <t xml:space="preserve">SEAL Frameworks — SEAL Certifications</t>
  </si>
  <si>
    <t xml:space="preserve">Recommended (supplementary)</t>
  </si>
  <si>
    <t xml:space="preserve">SEAL; CCSS v9.0; NIST CSF 2.0; ISO 27001:2022</t>
  </si>
  <si>
    <t xml:space="preserve">GV.OV-01</t>
  </si>
  <si>
    <t xml:space="preserve">A.5.35</t>
  </si>
  <si>
    <t xml:space="preserve">Certificate/report.</t>
  </si>
  <si>
    <t xml:space="preserve">UCR-025</t>
  </si>
  <si>
    <t xml:space="preserve">Proof of reserve</t>
  </si>
  <si>
    <t xml:space="preserve">Perform periodic, independently attested proof-of-reserve (assets ≥ liabilities) and publish results.</t>
  </si>
  <si>
    <t xml:space="preserve">CCSS v9.0 — 2.03 Proof of Reserve</t>
  </si>
  <si>
    <t xml:space="preserve">Custodian/Exchange</t>
  </si>
  <si>
    <t xml:space="preserve">OWASP Web3 Top 15; SEAL; CCSS v9.0; NIST CSF 2.0; ISO 27001:2022; MiCA</t>
  </si>
  <si>
    <t xml:space="preserve">UCR-021 [Related] (BSSC GSP v2 req-document-funds-risks)</t>
  </si>
  <si>
    <t xml:space="preserve">Latest PoR attestation.</t>
  </si>
  <si>
    <t xml:space="preserve">UCR-026</t>
  </si>
  <si>
    <t xml:space="preserve">Travel Rule</t>
  </si>
  <si>
    <t xml:space="preserve">Collect and transmit originator/beneficiary information for qualifying virtual-asset transfers and screen counterparties (VASP due diligence).</t>
  </si>
  <si>
    <t xml:space="preserve">R.15; R.16</t>
  </si>
  <si>
    <t xml:space="preserve">FATF Recommendations — R.15; R.16</t>
  </si>
  <si>
    <t xml:space="preserve">NIST CSF 2.0; ISO 27001:2022; FATF</t>
  </si>
  <si>
    <t xml:space="preserve">FATF R.15/R.16; EU TFR 2023/1113</t>
  </si>
  <si>
    <t xml:space="preserve">Travel-rule solution logs; sample transfers.</t>
  </si>
  <si>
    <t xml:space="preserve">UCR-027</t>
  </si>
  <si>
    <t xml:space="preserve">Key security</t>
  </si>
  <si>
    <t xml:space="preserve">Manage all node, validator, withdrawal and signing keys under the BSSC Key Management Standard (or a documented equivalent); maintain a KMS conformance mapping.</t>
  </si>
  <si>
    <t xml:space="preserve">req-manage-key-security</t>
  </si>
  <si>
    <t xml:space="preserve">BSSC NOS; OWASP Web3 Top 15; SEAL; CCSS v9.0; CIS v8.1; NIST CSF 2.0; ISO 27001:2022</t>
  </si>
  <si>
    <t xml:space="preserve">NOS-001 · req-manage-key-security</t>
  </si>
  <si>
    <t xml:space="preserve">1.01–1.06 (Section 1, key lifecycle)</t>
  </si>
  <si>
    <t xml:space="preserve">CIS 3.11</t>
  </si>
  <si>
    <t xml:space="preserve">PR.AA-01; PR.DS-01</t>
  </si>
  <si>
    <t xml:space="preserve">UCR-094 [Duplicate] (BSSC GSP v2 req-protect-keys)</t>
  </si>
  <si>
    <t xml:space="preserve">Review KMS conformance matrix; sample key lifecycle records; interview key custodians.</t>
  </si>
  <si>
    <t xml:space="preserve">UCR-028</t>
  </si>
  <si>
    <t xml:space="preserve">Access control</t>
  </si>
  <si>
    <t xml:space="preserve">Use remote signers/HSM-backed signing so key material is not on network-connected nodes; isolate the signer network.</t>
  </si>
  <si>
    <t xml:space="preserve">req-use-remote-signers</t>
  </si>
  <si>
    <t xml:space="preserve">BSSC NOS v2 — 4. Security and Access Control</t>
  </si>
  <si>
    <t xml:space="preserve">NOS-037 · req-use-remote-signers</t>
  </si>
  <si>
    <t xml:space="preserve">1.03 Key Storage; 1.05 Key Usage</t>
  </si>
  <si>
    <t xml:space="preserve">CIS 3.11; CIS 12.2</t>
  </si>
  <si>
    <t xml:space="preserve">PR.AA-05; PR.DS-01</t>
  </si>
  <si>
    <t xml:space="preserve">A.8.24; A.8.22</t>
  </si>
  <si>
    <t xml:space="preserve">UCR-322 [Related] (CIS Controls v8.1 CIS 12.2; 13.4)</t>
  </si>
  <si>
    <t xml:space="preserve">Verify no keystores on beacon/validator hosts; review signer network segmentation.</t>
  </si>
  <si>
    <t xml:space="preserve">UCR-029</t>
  </si>
  <si>
    <t xml:space="preserve">Where remote signers are unsupported, apply compensating key protections (encrypted keystores, TEEs, host hardening, strict access).</t>
  </si>
  <si>
    <t xml:space="preserve">req-remote-signer-alternatives</t>
  </si>
  <si>
    <t xml:space="preserve">NOS-038 · req-remote-signer-alternatives</t>
  </si>
  <si>
    <t xml:space="preserve">PR.DS-01; PR.PS-01</t>
  </si>
  <si>
    <t xml:space="preserve">Review compensating controls and risk acceptance for each protocol lacking remote signing.</t>
  </si>
  <si>
    <t xml:space="preserve">UCR-030</t>
  </si>
  <si>
    <t xml:space="preserve">Deliver pre-signed exit transactions to clients only through cryptographically secure, confidential channels.</t>
  </si>
  <si>
    <t xml:space="preserve">req-deliver-exit-transactions-securely</t>
  </si>
  <si>
    <t xml:space="preserve">BSSC NOS; SEAL; CCSS v9.0; CIS v8.1; NIST CSF 2.0; ISO 27001:2022</t>
  </si>
  <si>
    <t xml:space="preserve">NOS-051 · req-deliver-exit-transactions-securely</t>
  </si>
  <si>
    <t xml:space="preserve">Inspect delivery mechanism (encrypted, authenticated); sample delivery logs.</t>
  </si>
  <si>
    <t xml:space="preserve">UCR-031</t>
  </si>
  <si>
    <t xml:space="preserve">Change management</t>
  </si>
  <si>
    <t xml:space="preserve">Enforce a formal change management process for every key management component (HSMs, MPC nodes, policy engines, signing services).</t>
  </si>
  <si>
    <t xml:space="preserve">KMS-GEN-01</t>
  </si>
  <si>
    <t xml:space="preserve">BSSC KMS; OWASP Web3 Top 15; SEAL; CCSS v9.0; CIS v8.1; NIST CSF 2.0; ISO 27001:2022; DORA</t>
  </si>
  <si>
    <t xml:space="preserve">KMS-001 · KMS-GEN-01</t>
  </si>
  <si>
    <t xml:space="preserve">CIS 4.1</t>
  </si>
  <si>
    <t xml:space="preserve">PR.PS-01; ID.RA-07</t>
  </si>
  <si>
    <t xml:space="preserve">A.8.32</t>
  </si>
  <si>
    <t xml:space="preserve">DORA Art. 9(4)(e)</t>
  </si>
  <si>
    <t xml:space="preserve">Sample changes: ticket, approval, test evidence.</t>
  </si>
  <si>
    <t xml:space="preserve">UCR-032</t>
  </si>
  <si>
    <t xml:space="preserve">Keep an audit trail of every change naming proposer and approver(s).</t>
  </si>
  <si>
    <t xml:space="preserve">KMS-GEN-02</t>
  </si>
  <si>
    <t xml:space="preserve">KMS-002 · KMS-GEN-02</t>
  </si>
  <si>
    <t xml:space="preserve">PR.PS-04</t>
  </si>
  <si>
    <t xml:space="preserve">A.8.32; A.8.15</t>
  </si>
  <si>
    <t xml:space="preserve">Inspect change records for proposer/approver identity.</t>
  </si>
  <si>
    <t xml:space="preserve">UCR-033</t>
  </si>
  <si>
    <t xml:space="preserve">Require at least one proposer and one distinct approver for every change (four-eyes).</t>
  </si>
  <si>
    <t xml:space="preserve">KMS-GEN-03</t>
  </si>
  <si>
    <t xml:space="preserve">KMS-003 · KMS-GEN-03</t>
  </si>
  <si>
    <t xml:space="preserve">PR.AA-05</t>
  </si>
  <si>
    <t xml:space="preserve">A.5.3</t>
  </si>
  <si>
    <t xml:space="preserve">Verify tooling blocks self-approval.</t>
  </si>
  <si>
    <t xml:space="preserve">UCR-034</t>
  </si>
  <si>
    <t xml:space="preserve">Separation of duties</t>
  </si>
  <si>
    <t xml:space="preserve">Technically enforce that no single individual can cause key misuse or destruction (quorum, MPC thresholds, policy engines).</t>
  </si>
  <si>
    <t xml:space="preserve">KMS-GEN-04</t>
  </si>
  <si>
    <t xml:space="preserve">BSSC KMS; OWASP Web3 Top 15; SEAL; CCSS v9.0; CIS v8.1; NIST CSF 2.0; ISO 27001:2022</t>
  </si>
  <si>
    <t xml:space="preserve">KMS-004 · KMS-GEN-04</t>
  </si>
  <si>
    <t xml:space="preserve">1.05 Key Usage; 1.04 Key Material Access</t>
  </si>
  <si>
    <t xml:space="preserve">CIS 6.8</t>
  </si>
  <si>
    <t xml:space="preserve">Attempt single-actor critical action in test; review threshold configs.</t>
  </si>
  <si>
    <t xml:space="preserve">UCR-035</t>
  </si>
  <si>
    <t xml:space="preserve">Test all changes in a non-production environment before activation.</t>
  </si>
  <si>
    <t xml:space="preserve">KMS-GEN-05</t>
  </si>
  <si>
    <t xml:space="preserve">BSSC KMS; OWASP Web3 Top 15; SEAL; CIS v8.1; NIST CSF 2.0; ISO 27001:2022; DORA</t>
  </si>
  <si>
    <t xml:space="preserve">KMS-005 · KMS-GEN-05</t>
  </si>
  <si>
    <t xml:space="preserve">PR.PS-06</t>
  </si>
  <si>
    <t xml:space="preserve">A.8.31; A.8.32</t>
  </si>
  <si>
    <t xml:space="preserve">Trace changes to test evidence.</t>
  </si>
  <si>
    <t xml:space="preserve">UCR-036</t>
  </si>
  <si>
    <t xml:space="preserve">Procedures</t>
  </si>
  <si>
    <t xml:space="preserve">Document non-digital (ceremony, physical) processes as transparent, repeatable procedures.</t>
  </si>
  <si>
    <t xml:space="preserve">KMS-GEN-09</t>
  </si>
  <si>
    <t xml:space="preserve">BSSC KMS; SEAL; CCSS v9.0; NIST CSF 2.0; ISO 27001:2022</t>
  </si>
  <si>
    <t xml:space="preserve">KMS-009 · KMS-GEN-09</t>
  </si>
  <si>
    <t xml:space="preserve">Review ceremony scripts.</t>
  </si>
  <si>
    <t xml:space="preserve">UCR-037</t>
  </si>
  <si>
    <t xml:space="preserve">Compromise handling</t>
  </si>
  <si>
    <t xml:space="preserve">Immediately remove suspected/known compromised keys from active use.</t>
  </si>
  <si>
    <t xml:space="preserve">KMS-GEN-24</t>
  </si>
  <si>
    <t xml:space="preserve">KMS-024 · KMS-GEN-24</t>
  </si>
  <si>
    <t xml:space="preserve">CIS 17.4</t>
  </si>
  <si>
    <t xml:space="preserve">RS.MI-01</t>
  </si>
  <si>
    <t xml:space="preserve">A.5.26</t>
  </si>
  <si>
    <t xml:space="preserve">Review compromise procedure; drill evidence.</t>
  </si>
  <si>
    <t xml:space="preserve">UCR-038</t>
  </si>
  <si>
    <t xml:space="preserve">Promptly retire suspected/known compromised keys (sweep funds, revoke roles).</t>
  </si>
  <si>
    <t xml:space="preserve">KMS-GEN-25</t>
  </si>
  <si>
    <t xml:space="preserve">KMS-025 · KMS-GEN-25</t>
  </si>
  <si>
    <t xml:space="preserve">RS.MI-02</t>
  </si>
  <si>
    <t xml:space="preserve">Review sweep/rotation runbook.</t>
  </si>
  <si>
    <t xml:space="preserve">UCR-039</t>
  </si>
  <si>
    <t xml:space="preserve">Promptly retire keys at increased risk of compromise.</t>
  </si>
  <si>
    <t xml:space="preserve">KMS-GEN-26</t>
  </si>
  <si>
    <t xml:space="preserve">KMS-026 · KMS-GEN-26</t>
  </si>
  <si>
    <t xml:space="preserve">Review risk-triggered retirements.</t>
  </si>
  <si>
    <t xml:space="preserve">UCR-040</t>
  </si>
  <si>
    <t xml:space="preserve">Backup &amp; recovery</t>
  </si>
  <si>
    <t xml:space="preserve">Implement and regularly test a key backup and recovery strategy.</t>
  </si>
  <si>
    <t xml:space="preserve">KMS-GEN-27</t>
  </si>
  <si>
    <t xml:space="preserve">KMS-027 · KMS-GEN-27</t>
  </si>
  <si>
    <t xml:space="preserve">CIS 11.1; CIS 11.3</t>
  </si>
  <si>
    <t xml:space="preserve">PR.DS-11; RC.RP-03</t>
  </si>
  <si>
    <t xml:space="preserve">A.8.13</t>
  </si>
  <si>
    <t xml:space="preserve">UCR-304 [Related] (BSSC GSP v2 req-test-recovery-plans); UCR-101 [Related] (SEAL Frameworks Multisig for Protocols)</t>
  </si>
  <si>
    <t xml:space="preserve">Witness recovery test from backup.</t>
  </si>
  <si>
    <t xml:space="preserve">UCR-041</t>
  </si>
  <si>
    <t xml:space="preserve">Document backup and recovery procedures.</t>
  </si>
  <si>
    <t xml:space="preserve">KMS-GEN-28</t>
  </si>
  <si>
    <t xml:space="preserve">KMS-028 · KMS-GEN-28</t>
  </si>
  <si>
    <t xml:space="preserve">PR.DS-11</t>
  </si>
  <si>
    <t xml:space="preserve">Review procedures.</t>
  </si>
  <si>
    <t xml:space="preserve">UCR-042</t>
  </si>
  <si>
    <t xml:space="preserve">Keep backup/recovery systems separate from primary systems.</t>
  </si>
  <si>
    <t xml:space="preserve">KMS-GEN-29</t>
  </si>
  <si>
    <t xml:space="preserve">KMS-029 · KMS-GEN-29</t>
  </si>
  <si>
    <t xml:space="preserve">Architecture review.</t>
  </si>
  <si>
    <t xml:space="preserve">UCR-043</t>
  </si>
  <si>
    <t xml:space="preserve">Protect backups to the same security standard as primary systems (encryption, access, physical).</t>
  </si>
  <si>
    <t xml:space="preserve">KMS-GEN-30</t>
  </si>
  <si>
    <t xml:space="preserve">KMS-030 · KMS-GEN-30</t>
  </si>
  <si>
    <t xml:space="preserve">Inspect backup storage controls.</t>
  </si>
  <si>
    <t xml:space="preserve">UCR-044</t>
  </si>
  <si>
    <t xml:space="preserve">Use 3-2-1 style backups with geographically separate, access-controlled locations.</t>
  </si>
  <si>
    <t xml:space="preserve">KMS-GEN-31</t>
  </si>
  <si>
    <t xml:space="preserve">KMS-031 · KMS-GEN-31</t>
  </si>
  <si>
    <t xml:space="preserve">A.8.13; A.7.8</t>
  </si>
  <si>
    <t xml:space="preserve">Review backup location inventory.</t>
  </si>
  <si>
    <t xml:space="preserve">UCR-045</t>
  </si>
  <si>
    <t xml:space="preserve">Ensure keys controlling Critical Actions cannot be accessed unilaterally by one person.</t>
  </si>
  <si>
    <t xml:space="preserve">KMS-GEN-44</t>
  </si>
  <si>
    <t xml:space="preserve">KMS-044 · KMS-GEN-44</t>
  </si>
  <si>
    <t xml:space="preserve">UCR-356 [Related] (SEAL Frameworks Physical Security)</t>
  </si>
  <si>
    <t xml:space="preserve">Review M-of-N / MPC policies.</t>
  </si>
  <si>
    <t xml:space="preserve">UCR-046</t>
  </si>
  <si>
    <t xml:space="preserve">Key material</t>
  </si>
  <si>
    <t xml:space="preserve">Protect Private Key Material (shares, seeds) to the same standard as full private keys.</t>
  </si>
  <si>
    <t xml:space="preserve">KMS-GEN-45</t>
  </si>
  <si>
    <t xml:space="preserve">KMS-045 · KMS-GEN-45</t>
  </si>
  <si>
    <t xml:space="preserve">PR.DS-01</t>
  </si>
  <si>
    <t xml:space="preserve">Inspect share storage controls.</t>
  </si>
  <si>
    <t xml:space="preserve">UCR-047</t>
  </si>
  <si>
    <t xml:space="preserve">Generation ceremony</t>
  </si>
  <si>
    <t xml:space="preserve">Conduct key generation ceremonies (automated, manual or mixed) with future key users and auditors present as appropriate.</t>
  </si>
  <si>
    <t xml:space="preserve">KMS-KG-01</t>
  </si>
  <si>
    <t xml:space="preserve">BSSC KMS v1 — §6 Key Generation</t>
  </si>
  <si>
    <t xml:space="preserve">MAY</t>
  </si>
  <si>
    <t xml:space="preserve">BSSC KMS; OWASP Web3 Top 15; SEAL; CCSS v9.0; NIST CSF 2.0; ISO 27001:2022</t>
  </si>
  <si>
    <t xml:space="preserve">KMS-046 · KMS-KG-01</t>
  </si>
  <si>
    <t xml:space="preserve">1.01 Key Material Generation; 1.02 Wallet Creation</t>
  </si>
  <si>
    <t xml:space="preserve">PR.AA-01</t>
  </si>
  <si>
    <t xml:space="preserve">Review ceremony attendance records.</t>
  </si>
  <si>
    <t xml:space="preserve">UCR-048</t>
  </si>
  <si>
    <t xml:space="preserve">Secure generation</t>
  </si>
  <si>
    <t xml:space="preserve">Generate keys only in secure environments (HSM, air-gapped, attested enclave).</t>
  </si>
  <si>
    <t xml:space="preserve">KMS-KG-02</t>
  </si>
  <si>
    <t xml:space="preserve">KMS-047 · KMS-KG-02</t>
  </si>
  <si>
    <t xml:space="preserve">Ceremony evidence; environment attestation.</t>
  </si>
  <si>
    <t xml:space="preserve">UCR-049</t>
  </si>
  <si>
    <t xml:space="preserve">Use secure algorithms, appropriate key sizes and strong RNGs.</t>
  </si>
  <si>
    <t xml:space="preserve">KMS-KG-03</t>
  </si>
  <si>
    <t xml:space="preserve">KMS-048 · KMS-KG-03</t>
  </si>
  <si>
    <t xml:space="preserve">Crypto config review.</t>
  </si>
  <si>
    <t xml:space="preserve">UCR-050</t>
  </si>
  <si>
    <t xml:space="preserve">Entropy</t>
  </si>
  <si>
    <t xml:space="preserve">Ensure randomness sources provide sufficient entropy (outputs indistinguishable from random).</t>
  </si>
  <si>
    <t xml:space="preserve">KMS-KG-04</t>
  </si>
  <si>
    <t xml:space="preserve">KMS-049 · KMS-KG-04</t>
  </si>
  <si>
    <t xml:space="preserve">RNG validation (e.g., NIST SP 800-90B evidence).</t>
  </si>
  <si>
    <t xml:space="preserve">UCR-051</t>
  </si>
  <si>
    <t xml:space="preserve">Use hardware RNGs as entropy sources.</t>
  </si>
  <si>
    <t xml:space="preserve">KMS-KG-05</t>
  </si>
  <si>
    <t xml:space="preserve">KMS-050 · KMS-KG-05</t>
  </si>
  <si>
    <t xml:space="preserve">HSM/TRNG specification review.</t>
  </si>
  <si>
    <t xml:space="preserve">UCR-052</t>
  </si>
  <si>
    <t xml:space="preserve">Distributed generation</t>
  </si>
  <si>
    <t xml:space="preserve">Hold every participant in multisig/MPC/DKG generation to the same generation standards.</t>
  </si>
  <si>
    <t xml:space="preserve">KMS-KG-06</t>
  </si>
  <si>
    <t xml:space="preserve">KMS-051 · KMS-KG-06</t>
  </si>
  <si>
    <t xml:space="preserve">PR.DS-01; GV.SC-05</t>
  </si>
  <si>
    <t xml:space="preserve">Review participant environments.</t>
  </si>
  <si>
    <t xml:space="preserve">UCR-053</t>
  </si>
  <si>
    <t xml:space="preserve">Password-based derivation</t>
  </si>
  <si>
    <t xml:space="preserve">Use a well-established KDF (Argon2id, scrypt, PBKDF2) for password-derived keys.</t>
  </si>
  <si>
    <t xml:space="preserve">KMS-KD-01</t>
  </si>
  <si>
    <t xml:space="preserve">BSSC KMS v1 — §6 Key Derivation</t>
  </si>
  <si>
    <t xml:space="preserve">KMS-052 · KMS-KD-01</t>
  </si>
  <si>
    <t xml:space="preserve">Config/code review.</t>
  </si>
  <si>
    <t xml:space="preserve">UCR-054</t>
  </si>
  <si>
    <t xml:space="preserve">HD wallets</t>
  </si>
  <si>
    <t xml:space="preserve">Derive HD child keys per applicable standards (BIP-32/39/44).</t>
  </si>
  <si>
    <t xml:space="preserve">KMS-KD-02</t>
  </si>
  <si>
    <t xml:space="preserve">KMS-053 · KMS-KD-02</t>
  </si>
  <si>
    <t xml:space="preserve">UCR-103 [Related] (CCSS v9.0 1.02 Wallet Creation)</t>
  </si>
  <si>
    <t xml:space="preserve">Derivation path test vectors.</t>
  </si>
  <si>
    <t xml:space="preserve">UCR-055</t>
  </si>
  <si>
    <t xml:space="preserve">Use hardened derivation where appropriate.</t>
  </si>
  <si>
    <t xml:space="preserve">KMS-KD-03</t>
  </si>
  <si>
    <t xml:space="preserve">KMS-054 · KMS-KD-03</t>
  </si>
  <si>
    <t xml:space="preserve">Path review.</t>
  </si>
  <si>
    <t xml:space="preserve">UCR-056</t>
  </si>
  <si>
    <t xml:space="preserve">Salting</t>
  </si>
  <si>
    <t xml:space="preserve">Use unique salts where source secret entropy is below derived-key requirements.</t>
  </si>
  <si>
    <t xml:space="preserve">KMS-KD-04</t>
  </si>
  <si>
    <t xml:space="preserve">BSSC KMS; OWASP Web3 Top 15; SEAL; NIST CSF 2.0; ISO 27001:2022</t>
  </si>
  <si>
    <t xml:space="preserve">KMS-055 · KMS-KD-04</t>
  </si>
  <si>
    <t xml:space="preserve">Code review.</t>
  </si>
  <si>
    <t xml:space="preserve">UCR-057</t>
  </si>
  <si>
    <t xml:space="preserve">Ensure passwords/shared secrets carry at least the derived key's entropy.</t>
  </si>
  <si>
    <t xml:space="preserve">KMS-KD-05</t>
  </si>
  <si>
    <t xml:space="preserve">KMS-056 · KMS-KD-05</t>
  </si>
  <si>
    <t xml:space="preserve">A.8.24; A.5.17</t>
  </si>
  <si>
    <t xml:space="preserve">Policy review.</t>
  </si>
  <si>
    <t xml:space="preserve">UCR-058</t>
  </si>
  <si>
    <t xml:space="preserve">Mandate full entropy for any secret that can cause a blockchain state change.</t>
  </si>
  <si>
    <t xml:space="preserve">KMS-KD-06</t>
  </si>
  <si>
    <t xml:space="preserve">KMS-057 · KMS-KD-06</t>
  </si>
  <si>
    <t xml:space="preserve">Policy and generation review.</t>
  </si>
  <si>
    <t xml:space="preserve">UCR-059</t>
  </si>
  <si>
    <t xml:space="preserve">Domain separation</t>
  </si>
  <si>
    <t xml:space="preserve">Use context labels when deriving multiple keys from one secret.</t>
  </si>
  <si>
    <t xml:space="preserve">KMS-KD-07</t>
  </si>
  <si>
    <t xml:space="preserve">KMS-058 · KMS-KD-07</t>
  </si>
  <si>
    <t xml:space="preserve">UCR-060</t>
  </si>
  <si>
    <t xml:space="preserve">KDF selection</t>
  </si>
  <si>
    <t xml:space="preserve">Follow NIST SP 800-108 for KDF selection and use.</t>
  </si>
  <si>
    <t xml:space="preserve">KMS-KD-08</t>
  </si>
  <si>
    <t xml:space="preserve">KMS-059 · KMS-KD-08</t>
  </si>
  <si>
    <t xml:space="preserve">Design review.</t>
  </si>
  <si>
    <t xml:space="preserve">UCR-061</t>
  </si>
  <si>
    <t xml:space="preserve">Encryption at rest</t>
  </si>
  <si>
    <t xml:space="preserve">Store all keys encrypted at rest.</t>
  </si>
  <si>
    <t xml:space="preserve">KMS-KS-01</t>
  </si>
  <si>
    <t xml:space="preserve">BSSC KMS v1 — §6 Key Storage</t>
  </si>
  <si>
    <t xml:space="preserve">KMS-060 · KMS-KS-01</t>
  </si>
  <si>
    <t xml:space="preserve">Storage inspection.</t>
  </si>
  <si>
    <t xml:space="preserve">UCR-062</t>
  </si>
  <si>
    <t xml:space="preserve">Secure hardware</t>
  </si>
  <si>
    <t xml:space="preserve">Store keys in FIPS 140 L3 / CC EAL4+ HSMs or secure elements, or strongly access-controlled encrypted databases.</t>
  </si>
  <si>
    <t xml:space="preserve">KMS-KS-02</t>
  </si>
  <si>
    <t xml:space="preserve">KMS-061 · KMS-KS-02</t>
  </si>
  <si>
    <t xml:space="preserve">Certificate review.</t>
  </si>
  <si>
    <t xml:space="preserve">UCR-063</t>
  </si>
  <si>
    <t xml:space="preserve">Use HSMs for secure storage where suitable.</t>
  </si>
  <si>
    <t xml:space="preserve">KMS-KS-04</t>
  </si>
  <si>
    <t xml:space="preserve">KMS-063 · KMS-KS-04</t>
  </si>
  <si>
    <t xml:space="preserve">UCR-064</t>
  </si>
  <si>
    <t xml:space="preserve">Use HSMs certified FIPS 140 Level 3 or better.</t>
  </si>
  <si>
    <t xml:space="preserve">KMS-KS-05</t>
  </si>
  <si>
    <t xml:space="preserve">KMS-064 · KMS-KS-05</t>
  </si>
  <si>
    <t xml:space="preserve">CMVP certificate check.</t>
  </si>
  <si>
    <t xml:space="preserve">UCR-065</t>
  </si>
  <si>
    <t xml:space="preserve">Isolation</t>
  </si>
  <si>
    <t xml:space="preserve">Disconnect HSMs from other systems when not in active use (cold storage).</t>
  </si>
  <si>
    <t xml:space="preserve">KMS-KS-07</t>
  </si>
  <si>
    <t xml:space="preserve">Custodian/Exchange; Node operator</t>
  </si>
  <si>
    <t xml:space="preserve">KMS-066 · KMS-KS-07</t>
  </si>
  <si>
    <t xml:space="preserve">CIS 12.2</t>
  </si>
  <si>
    <t xml:space="preserve">PR.IR-01</t>
  </si>
  <si>
    <t xml:space="preserve">A.8.22</t>
  </si>
  <si>
    <t xml:space="preserve">UCR-102 [Related] (SEAL Frameworks Treasury Operations)</t>
  </si>
  <si>
    <t xml:space="preserve">Network isolation review.</t>
  </si>
  <si>
    <t xml:space="preserve">UCR-066</t>
  </si>
  <si>
    <t xml:space="preserve">Transport encryption</t>
  </si>
  <si>
    <t xml:space="preserve">Encrypt key material for the entire duration of online distribution (key wrapping).</t>
  </si>
  <si>
    <t xml:space="preserve">KMS-KDI-01</t>
  </si>
  <si>
    <t xml:space="preserve">BSSC KMS v1 — §6 Key Distribution</t>
  </si>
  <si>
    <t xml:space="preserve">KMS-067 · KMS-KDI-01</t>
  </si>
  <si>
    <t xml:space="preserve">Transport protocol review.</t>
  </si>
  <si>
    <t xml:space="preserve">UCR-067</t>
  </si>
  <si>
    <t xml:space="preserve">Out-of-band secrets</t>
  </si>
  <si>
    <t xml:space="preserve">Send decryption passwords over a channel separate from the key transport.</t>
  </si>
  <si>
    <t xml:space="preserve">KMS-KDI-02</t>
  </si>
  <si>
    <t xml:space="preserve">BSSC KMS; OWASP Web3 Top 15; SEAL; CIS v8.1; NIST CSF 2.0; ISO 27001:2022</t>
  </si>
  <si>
    <t xml:space="preserve">KMS-068 · KMS-KDI-02</t>
  </si>
  <si>
    <t xml:space="preserve">Procedure review.</t>
  </si>
  <si>
    <t xml:space="preserve">UCR-068</t>
  </si>
  <si>
    <t xml:space="preserve">Integrity</t>
  </si>
  <si>
    <t xml:space="preserve">Authenticate keys at destination (signatures/MACs, fingerprints).</t>
  </si>
  <si>
    <t xml:space="preserve">KMS-KDI-03</t>
  </si>
  <si>
    <t xml:space="preserve">KMS-069 · KMS-KDI-03</t>
  </si>
  <si>
    <t xml:space="preserve">Test import verification.</t>
  </si>
  <si>
    <t xml:space="preserve">UCR-069</t>
  </si>
  <si>
    <t xml:space="preserve">Physical transport</t>
  </si>
  <si>
    <t xml:space="preserve">Use tamper-evident, access-controlled physical transport (sealed bags, dual courier).</t>
  </si>
  <si>
    <t xml:space="preserve">KMS-KDI-04</t>
  </si>
  <si>
    <t xml:space="preserve">KMS-070 · KMS-KDI-04</t>
  </si>
  <si>
    <t xml:space="preserve">A.7.10</t>
  </si>
  <si>
    <t xml:space="preserve">Chain-of-custody records.</t>
  </si>
  <si>
    <t xml:space="preserve">UCR-070</t>
  </si>
  <si>
    <t xml:space="preserve">KEK access</t>
  </si>
  <si>
    <t xml:space="preserve">Limit Key Encryption Key access to the minimum individuals/systems.</t>
  </si>
  <si>
    <t xml:space="preserve">KMS-KDI-05</t>
  </si>
  <si>
    <t xml:space="preserve">KMS-071 · KMS-KDI-05</t>
  </si>
  <si>
    <t xml:space="preserve">A.8.2</t>
  </si>
  <si>
    <t xml:space="preserve">Access list review.</t>
  </si>
  <si>
    <t xml:space="preserve">UCR-071</t>
  </si>
  <si>
    <t xml:space="preserve">DEK distribution</t>
  </si>
  <si>
    <t xml:space="preserve">Distribute Data Encryption Keys only to systems needing immediate access.</t>
  </si>
  <si>
    <t xml:space="preserve">KMS-KDI-06</t>
  </si>
  <si>
    <t xml:space="preserve">KMS-072 · KMS-KDI-06</t>
  </si>
  <si>
    <t xml:space="preserve">Distribution inventory.</t>
  </si>
  <si>
    <t xml:space="preserve">UCR-072</t>
  </si>
  <si>
    <t xml:space="preserve">Out-of-band distribution</t>
  </si>
  <si>
    <t xml:space="preserve">Distribute keys/shares out-of-band from encrypted data channels.</t>
  </si>
  <si>
    <t xml:space="preserve">KMS-KDI-07</t>
  </si>
  <si>
    <t xml:space="preserve">KMS-073 · KMS-KDI-07</t>
  </si>
  <si>
    <t xml:space="preserve">UCR-073</t>
  </si>
  <si>
    <t xml:space="preserve">Authorisation</t>
  </si>
  <si>
    <t xml:space="preserve">Restrict authority to request signatures/use keys to explicitly authorised individuals or systems.</t>
  </si>
  <si>
    <t xml:space="preserve">KMS-KU-01</t>
  </si>
  <si>
    <t xml:space="preserve">BSSC KMS v1 — §6 Key Usage</t>
  </si>
  <si>
    <t xml:space="preserve">KMS-074 · KMS-KU-01</t>
  </si>
  <si>
    <t xml:space="preserve">A.5.15</t>
  </si>
  <si>
    <t xml:space="preserve">Signing policy review.</t>
  </si>
  <si>
    <t xml:space="preserve">UCR-074</t>
  </si>
  <si>
    <t xml:space="preserve">Define, review and adjust the authorisation set regularly.</t>
  </si>
  <si>
    <t xml:space="preserve">KMS-KU-02</t>
  </si>
  <si>
    <t xml:space="preserve">KMS-075 · KMS-KU-02</t>
  </si>
  <si>
    <t xml:space="preserve">A.5.18</t>
  </si>
  <si>
    <t xml:space="preserve">Review records.</t>
  </si>
  <si>
    <t xml:space="preserve">UCR-075</t>
  </si>
  <si>
    <t xml:space="preserve">Quorum controls</t>
  </si>
  <si>
    <t xml:space="preserve">Require proportionate controls (quorum, approval groups, two-person ceremonies) for critical operations.</t>
  </si>
  <si>
    <t xml:space="preserve">KMS-KU-05</t>
  </si>
  <si>
    <t xml:space="preserve">KMS-078 · KMS-KU-05</t>
  </si>
  <si>
    <t xml:space="preserve">Multisig for Protocols; Treasury Operations</t>
  </si>
  <si>
    <t xml:space="preserve">UCR-098 [Related] (SEAL Frameworks Treasury Operations)</t>
  </si>
  <si>
    <t xml:space="preserve">Policy-engine configuration review.</t>
  </si>
  <si>
    <t xml:space="preserve">UCR-076</t>
  </si>
  <si>
    <t xml:space="preserve">Owner approval</t>
  </si>
  <si>
    <t xml:space="preserve">For keys managed on behalf of owners, require explicit owner involvement/approval for use.</t>
  </si>
  <si>
    <t xml:space="preserve">KMS-KU-06</t>
  </si>
  <si>
    <t xml:space="preserve">BSSC KMS; OWASP Web3 Top 15; SEAL; CCSS v9.0; CIS v8.1; NIST CSF 2.0; ISO 27001:2022; MiCA</t>
  </si>
  <si>
    <t xml:space="preserve">KMS-079 · KMS-KU-06</t>
  </si>
  <si>
    <t xml:space="preserve">MiCA Art. 75</t>
  </si>
  <si>
    <t xml:space="preserve">Workflow review.</t>
  </si>
  <si>
    <t xml:space="preserve">UCR-077</t>
  </si>
  <si>
    <t xml:space="preserve">Plaintext exposure</t>
  </si>
  <si>
    <t xml:space="preserve">Make plaintext key access time-limited and access-controlled.</t>
  </si>
  <si>
    <t xml:space="preserve">KMS-KU-07</t>
  </si>
  <si>
    <t xml:space="preserve">KMS-080 · KMS-KU-07</t>
  </si>
  <si>
    <t xml:space="preserve">PR.DS-10</t>
  </si>
  <si>
    <t xml:space="preserve">Review in-memory handling design.</t>
  </si>
  <si>
    <t xml:space="preserve">UCR-078</t>
  </si>
  <si>
    <t xml:space="preserve">Wipe plaintext copies as soon as practical after use (zeroise memory).</t>
  </si>
  <si>
    <t xml:space="preserve">KMS-KU-08</t>
  </si>
  <si>
    <t xml:space="preserve">KMS-081 · KMS-KU-08</t>
  </si>
  <si>
    <t xml:space="preserve">A.8.24; A.8.10</t>
  </si>
  <si>
    <t xml:space="preserve">Code review for zeroisation.</t>
  </si>
  <si>
    <t xml:space="preserve">UCR-079</t>
  </si>
  <si>
    <t xml:space="preserve">Share rotation</t>
  </si>
  <si>
    <t xml:space="preserve">If key shards/shares are rotated, rotate on defined triggers or schedule.</t>
  </si>
  <si>
    <t xml:space="preserve">KMS-KU-09</t>
  </si>
  <si>
    <t xml:space="preserve">KMS-082 · KMS-KU-09</t>
  </si>
  <si>
    <t xml:space="preserve">Rotation log review.</t>
  </si>
  <si>
    <t xml:space="preserve">UCR-080</t>
  </si>
  <si>
    <t xml:space="preserve">Automate rotation where possible.</t>
  </si>
  <si>
    <t xml:space="preserve">KMS-KU-10</t>
  </si>
  <si>
    <t xml:space="preserve">KMS-083 · KMS-KU-10</t>
  </si>
  <si>
    <t xml:space="preserve">Automation review.</t>
  </si>
  <si>
    <t xml:space="preserve">UCR-081</t>
  </si>
  <si>
    <t xml:space="preserve">Validate post-rotation that private key access is preserved (test signing).</t>
  </si>
  <si>
    <t xml:space="preserve">KMS-KU-11</t>
  </si>
  <si>
    <t xml:space="preserve">KMS-084 · KMS-KU-11</t>
  </si>
  <si>
    <t xml:space="preserve">Rotation validation evidence.</t>
  </si>
  <si>
    <t xml:space="preserve">UCR-082</t>
  </si>
  <si>
    <t xml:space="preserve">Purpose limitation</t>
  </si>
  <si>
    <t xml:space="preserve">Use keys strictly for their intended purpose.</t>
  </si>
  <si>
    <t xml:space="preserve">KMS-KU-12</t>
  </si>
  <si>
    <t xml:space="preserve">KMS-085 · KMS-KU-12</t>
  </si>
  <si>
    <t xml:space="preserve">Key inventory with purpose tags.</t>
  </si>
  <si>
    <t xml:space="preserve">UCR-083</t>
  </si>
  <si>
    <t xml:space="preserve">Enforce Key Usage Policies technically (policy engine).</t>
  </si>
  <si>
    <t xml:space="preserve">KMS-KU-13</t>
  </si>
  <si>
    <t xml:space="preserve">KMS-086 · KMS-KU-13</t>
  </si>
  <si>
    <t xml:space="preserve">Policy-engine test.</t>
  </si>
  <si>
    <t xml:space="preserve">UCR-084</t>
  </si>
  <si>
    <t xml:space="preserve">Prefer single-purpose keys.</t>
  </si>
  <si>
    <t xml:space="preserve">KMS-KU-14</t>
  </si>
  <si>
    <t xml:space="preserve">KMS-087 · KMS-KU-14</t>
  </si>
  <si>
    <t xml:space="preserve">Key inventory review.</t>
  </si>
  <si>
    <t xml:space="preserve">UCR-085</t>
  </si>
  <si>
    <t xml:space="preserve">For multi-purpose keys, enforce strong access controls and usage policies restricted to intended environments.</t>
  </si>
  <si>
    <t xml:space="preserve">KMS-KU-15</t>
  </si>
  <si>
    <t xml:space="preserve">KMS-088 · KMS-KU-15</t>
  </si>
  <si>
    <t xml:space="preserve">UCR-086</t>
  </si>
  <si>
    <t xml:space="preserve">Retirement</t>
  </si>
  <si>
    <t xml:space="preserve">Remove all value and privileges from keys before retirement.</t>
  </si>
  <si>
    <t xml:space="preserve">KMS-KR-01</t>
  </si>
  <si>
    <t xml:space="preserve">BSSC KMS v1 — §6 Key Retirement</t>
  </si>
  <si>
    <t xml:space="preserve">KMS-089 · KMS-KR-01</t>
  </si>
  <si>
    <t xml:space="preserve">CIS 6.2</t>
  </si>
  <si>
    <t xml:space="preserve">Verify zero balance/roles on-chain.</t>
  </si>
  <si>
    <t xml:space="preserve">UCR-087</t>
  </si>
  <si>
    <t xml:space="preserve">Keep retired keys offline when not regularly needed.</t>
  </si>
  <si>
    <t xml:space="preserve">KMS-KR-02</t>
  </si>
  <si>
    <t xml:space="preserve">KMS-090 · KMS-KR-02</t>
  </si>
  <si>
    <t xml:space="preserve">Storage review.</t>
  </si>
  <si>
    <t xml:space="preserve">UCR-088</t>
  </si>
  <si>
    <t xml:space="preserve">Securely destroy redundant non-backup copies (zeroisation or hardware destruction).</t>
  </si>
  <si>
    <t xml:space="preserve">KMS-KR-03</t>
  </si>
  <si>
    <t xml:space="preserve">KMS-091 · KMS-KR-03</t>
  </si>
  <si>
    <t xml:space="preserve">CIS 3.5</t>
  </si>
  <si>
    <t xml:space="preserve">A.8.10; A.7.14</t>
  </si>
  <si>
    <t xml:space="preserve">Destruction certificates.</t>
  </si>
  <si>
    <t xml:space="preserve">UCR-089</t>
  </si>
  <si>
    <t xml:space="preserve">Keep retired keys under full storage controls (access control, encryption at rest).</t>
  </si>
  <si>
    <t xml:space="preserve">KMS-KR-04</t>
  </si>
  <si>
    <t xml:space="preserve">KMS-092 · KMS-KR-04</t>
  </si>
  <si>
    <t xml:space="preserve">UCR-090</t>
  </si>
  <si>
    <t xml:space="preserve">Destruction</t>
  </si>
  <si>
    <t xml:space="preserve">Do not destroy keys used for blockchain state changes (addresses may later receive funds); archive instead.</t>
  </si>
  <si>
    <t xml:space="preserve">KMS-KX-01</t>
  </si>
  <si>
    <t xml:space="preserve">BSSC KMS v1 — §6 Key Destruction</t>
  </si>
  <si>
    <t xml:space="preserve">SHOULD NOT</t>
  </si>
  <si>
    <t xml:space="preserve">KMS-093 · KMS-KX-01</t>
  </si>
  <si>
    <t xml:space="preserve">Destruction approvals reference this check.</t>
  </si>
  <si>
    <t xml:space="preserve">UCR-091</t>
  </si>
  <si>
    <t xml:space="preserve">When destroying an owner's key as agent, provide the key to the owner first.</t>
  </si>
  <si>
    <t xml:space="preserve">KMS-KX-02</t>
  </si>
  <si>
    <t xml:space="preserve">BSSC KMS; SEAL; CCSS v9.0; CIS v8.1; NIST CSF 2.0; ISO 27001:2022; MiCA</t>
  </si>
  <si>
    <t xml:space="preserve">KMS-094 · KMS-KX-02</t>
  </si>
  <si>
    <t xml:space="preserve">Handover records.</t>
  </si>
  <si>
    <t xml:space="preserve">UCR-092</t>
  </si>
  <si>
    <t xml:space="preserve">Document destruction processes and make them auditable.</t>
  </si>
  <si>
    <t xml:space="preserve">KMS-KX-03</t>
  </si>
  <si>
    <t xml:space="preserve">KMS-095 · KMS-KX-03</t>
  </si>
  <si>
    <t xml:space="preserve">A.8.10</t>
  </si>
  <si>
    <t xml:space="preserve">Destruction logs/witness records.</t>
  </si>
  <si>
    <t xml:space="preserve">UCR-093</t>
  </si>
  <si>
    <t xml:space="preserve">Use irreversible destruction (zeroisation, physical hardware destruction).</t>
  </si>
  <si>
    <t xml:space="preserve">KMS-KX-04</t>
  </si>
  <si>
    <t xml:space="preserve">KMS-096 · KMS-KX-04</t>
  </si>
  <si>
    <t xml:space="preserve">UCR-348 [Related] (CCSS v9.0 2.02 Data Sanitization)</t>
  </si>
  <si>
    <t xml:space="preserve">UCR-094</t>
  </si>
  <si>
    <t xml:space="preserve">Infrastructure security</t>
  </si>
  <si>
    <t xml:space="preserve">Implement the BSSC Key Management Standard or equivalent.</t>
  </si>
  <si>
    <t xml:space="preserve">req-protect-keys</t>
  </si>
  <si>
    <t xml:space="preserve">BSSC GSP; OWASP Web3 Top 15; SEAL; CCSS v9.0; CIS v8.1; NIST CSF 2.0; ISO 27001:2022</t>
  </si>
  <si>
    <t xml:space="preserve">GSP-029 · req-protect-keys</t>
  </si>
  <si>
    <t xml:space="preserve">1.01–1.06 (key lifecycle); 2.04 Audit Logs</t>
  </si>
  <si>
    <t xml:space="preserve">UCR-027 [Duplicate] (BSSC NOS v2 req-manage-key-security)</t>
  </si>
  <si>
    <t xml:space="preserve">KMS conformance matrix.</t>
  </si>
  <si>
    <t xml:space="preserve">UCR-095</t>
  </si>
  <si>
    <t xml:space="preserve">Deposit finality &amp; reorg handling</t>
  </si>
  <si>
    <t xml:space="preserve">Credit deposits only after chain-specific finality/confirmation depth; monitor for reorgs and 51% attacks and raise thresholds or halt deposits for affected chains.</t>
  </si>
  <si>
    <t xml:space="preserve">SCSVS-DEFI-1 (S10.1.B1)</t>
  </si>
  <si>
    <t xml:space="preserve">OWASP SCSVS — SCSVS-DEFI-1 (S10.1.B1)</t>
  </si>
  <si>
    <t xml:space="preserve">OWASP SCSVS; OWASP Web3 Top 15; SEAL; NIST CSF 2.0; ISO 27001:2022</t>
  </si>
  <si>
    <t xml:space="preserve">Monitoring; Treasury Operations</t>
  </si>
  <si>
    <t xml:space="preserve">DE.CM-09</t>
  </si>
  <si>
    <t xml:space="preserve">A.8.16</t>
  </si>
  <si>
    <t xml:space="preserve">UCR-223 [Related] (BSSC NOS v2 req-follow-protocol-consensus)</t>
  </si>
  <si>
    <t xml:space="preserve">Confirmation policy per chain; reorg alert test.</t>
  </si>
  <si>
    <t xml:space="preserve">UCR-096</t>
  </si>
  <si>
    <t xml:space="preserve">Multisig signer security</t>
  </si>
  <si>
    <t xml:space="preserve">Require multisig signers to use dedicated hardware wallets on dedicated devices, independently decode and verify calldata and safe-tx hashes before signing, and never sign blind.</t>
  </si>
  <si>
    <t xml:space="preserve">SEAL Frameworks — Multisig for Protocols</t>
  </si>
  <si>
    <t xml:space="preserve">Protocol/dApp/token developer; Custodian/Exchange</t>
  </si>
  <si>
    <t xml:space="preserve">OWASP SCSVS; OWASP SC Top 10:2026; OWASP Web3 Top 15; SEAL; CCSS v9.0; CIS v8.1; NIST CSF 2.0; ISO 27001:2022</t>
  </si>
  <si>
    <t xml:space="preserve">WA01; WA06</t>
  </si>
  <si>
    <t xml:space="preserve">Multisig for Protocols; Wallet Security</t>
  </si>
  <si>
    <t xml:space="preserve">CIS 6.5</t>
  </si>
  <si>
    <t xml:space="preserve">UCR-381 [Related] (BSSC SCS v1 req-decentralize-privileged-roles)</t>
  </si>
  <si>
    <t xml:space="preserve">Signer checklist; observe a signing ceremony.</t>
  </si>
  <si>
    <t xml:space="preserve">UCR-097</t>
  </si>
  <si>
    <t xml:space="preserve">Multisig configuration</t>
  </si>
  <si>
    <t xml:space="preserve">Set thresholds proportional to value at risk (no 1-of-N), use geographically and organisationally independent signers, maintain signer rotation/offboarding, and alert on owner/threshold changes.</t>
  </si>
  <si>
    <t xml:space="preserve">WA01; WA12</t>
  </si>
  <si>
    <t xml:space="preserve">UCR-183 [Related] (BSSC TIS v1 Document Multisig)</t>
  </si>
  <si>
    <t xml:space="preserve">On-chain threshold check; signer register.</t>
  </si>
  <si>
    <t xml:space="preserve">UCR-098</t>
  </si>
  <si>
    <t xml:space="preserve">Treasury transfer controls</t>
  </si>
  <si>
    <t xml:space="preserve">Enforce destination allowlists, per-transfer and velocity limits, out-of-band address verification and test transactions for large transfers.</t>
  </si>
  <si>
    <t xml:space="preserve">SEAL Frameworks — Treasury Operations</t>
  </si>
  <si>
    <t xml:space="preserve">Custodian/Exchange; Protocol treasury</t>
  </si>
  <si>
    <t xml:space="preserve">OWASP Web3 Top 15; SEAL; CCSS v9.0; CIS v8.1; NIST CSF 2.0; ISO 27001:2022; MiCA</t>
  </si>
  <si>
    <t xml:space="preserve">UCR-075 [Related] (BSSC KMS v1 KMS-KU-05)</t>
  </si>
  <si>
    <t xml:space="preserve">Policy-engine rules; sample large transfers.</t>
  </si>
  <si>
    <t xml:space="preserve">UCR-099</t>
  </si>
  <si>
    <t xml:space="preserve">Approved wallet software</t>
  </si>
  <si>
    <t xml:space="preserve">Maintain an approved list of wallet software/extensions and hardware models; verify downloads and firmware; prohibit unapproved browser wallet extensions on privileged devices.</t>
  </si>
  <si>
    <t xml:space="preserve">SEAL Frameworks — Wallet Security</t>
  </si>
  <si>
    <t xml:space="preserve">OWASP Web3 Top 15; SEAL; CCSS v9.0; CIS v8.1; NIST CSF 2.0; ISO 27001:2022</t>
  </si>
  <si>
    <t xml:space="preserve">CIS 2.5; CIS 9.4</t>
  </si>
  <si>
    <t xml:space="preserve">PR.PS-02</t>
  </si>
  <si>
    <t xml:space="preserve">A.8.19</t>
  </si>
  <si>
    <t xml:space="preserve">Endpoint software inventory vs allowlist.</t>
  </si>
  <si>
    <t xml:space="preserve">UCR-100</t>
  </si>
  <si>
    <t xml:space="preserve">Multisig transaction restrictions</t>
  </si>
  <si>
    <t xml:space="preserve">Restrict what the treasury/admin multisig can execute: block or allowlist DELEGATECALL targets, review and approve enabled modules and guards, and alert in real time on module/guard/owner/threshold changes.</t>
  </si>
  <si>
    <t xml:space="preserve">Multisig for Protocols; Monitoring</t>
  </si>
  <si>
    <t xml:space="preserve">PR.AA-05; DE.CM-09</t>
  </si>
  <si>
    <t xml:space="preserve">Guard/module configuration review; alert test.</t>
  </si>
  <si>
    <t xml:space="preserve">UCR-101</t>
  </si>
  <si>
    <t xml:space="preserve">Signer liveness &amp; succession</t>
  </si>
  <si>
    <t xml:space="preserve">Maintain signer availability checks, backup signers and a documented recovery path for lost or unavailable signers so quorum can always be reached without weakening the threshold.</t>
  </si>
  <si>
    <t xml:space="preserve">CIS 11.1</t>
  </si>
  <si>
    <t xml:space="preserve">RC.RP-01</t>
  </si>
  <si>
    <t xml:space="preserve">A.5.30</t>
  </si>
  <si>
    <t xml:space="preserve">UCR-040 [Related] (BSSC KMS v1 KMS-GEN-27)</t>
  </si>
  <si>
    <t xml:space="preserve">Signer liveness drill record.</t>
  </si>
  <si>
    <t xml:space="preserve">UCR-102</t>
  </si>
  <si>
    <t xml:space="preserve">Hot/warm/cold wallet tiering</t>
  </si>
  <si>
    <t xml:space="preserve">Tier wallets by risk: cap hot-wallet balances, automate sweeps to cold storage, and require quorum approval for refills from warm/cold tiers.</t>
  </si>
  <si>
    <t xml:space="preserve">WA03; WA07</t>
  </si>
  <si>
    <t xml:space="preserve">Treasury Operations; Wallet Security</t>
  </si>
  <si>
    <t xml:space="preserve">UCR-065 [Related] (BSSC KMS v1 KMS-KS-07)</t>
  </si>
  <si>
    <t xml:space="preserve">Balance-cap configuration; sweep logs.</t>
  </si>
  <si>
    <t xml:space="preserve">UCR-103</t>
  </si>
  <si>
    <t xml:space="preserve">Wallet creation</t>
  </si>
  <si>
    <t xml:space="preserve">Create wallets with M-of-N signing, independent key holders, unique key sets per wallet, and documented wallet-creation procedure (deterministic derivation per BIP-32/44).</t>
  </si>
  <si>
    <t xml:space="preserve">CCSS v9.0 — 1.02 Wallet Creation</t>
  </si>
  <si>
    <t xml:space="preserve">UCR-054 [Related] (BSSC KMS v1 KMS-KD-02)</t>
  </si>
  <si>
    <t xml:space="preserve">Wallet-creation records.</t>
  </si>
  <si>
    <t xml:space="preserve">UCR-104</t>
  </si>
  <si>
    <t xml:space="preserve">Client asset segregation &amp; custody policy</t>
  </si>
  <si>
    <t xml:space="preserve">Segregate client crypto-assets from own assets on-chain and in records, maintain a custody policy, and reconcile client positions.</t>
  </si>
  <si>
    <t xml:space="preserve">Art. 70; 75</t>
  </si>
  <si>
    <t xml:space="preserve">MiCA (EU 2023/1114) — Art. 70; 75</t>
  </si>
  <si>
    <t xml:space="preserve">EU-regulated CASP (custody)</t>
  </si>
  <si>
    <t xml:space="preserve">SEAL; CCSS v9.0; NIST CSF 2.0; ISO 27001:2022; MiCA</t>
  </si>
  <si>
    <t xml:space="preserve">MiCA Art. 70, 75</t>
  </si>
  <si>
    <t xml:space="preserve">Address segregation review; reconciliation.</t>
  </si>
  <si>
    <t xml:space="preserve">UCR-105</t>
  </si>
  <si>
    <t xml:space="preserve">Naming conventions</t>
  </si>
  <si>
    <t xml:space="preserve">Use clear, self-describing names for contracts, functions and variables.</t>
  </si>
  <si>
    <t xml:space="preserve">req-use-clear-names</t>
  </si>
  <si>
    <t xml:space="preserve">BSSC SCS v1 — 1. Development</t>
  </si>
  <si>
    <t xml:space="preserve">BSSC SCS; OWASP SCSVS; SEAL; CIS v8.1; NIST CSF 2.0; ISO 27001:2022</t>
  </si>
  <si>
    <t xml:space="preserve">SCS-001 · req-use-clear-names</t>
  </si>
  <si>
    <t xml:space="preserve">CIS 16.1</t>
  </si>
  <si>
    <t xml:space="preserve">A.8.28</t>
  </si>
  <si>
    <t xml:space="preserve">Code review checklist.</t>
  </si>
  <si>
    <t xml:space="preserve">UCR-106</t>
  </si>
  <si>
    <t xml:space="preserve">Maintain a glossary of non-obvious domain terms.</t>
  </si>
  <si>
    <t xml:space="preserve">req-use-glossary</t>
  </si>
  <si>
    <t xml:space="preserve">SCS-002 · req-use-glossary</t>
  </si>
  <si>
    <t xml:space="preserve">Repo documentation check.</t>
  </si>
  <si>
    <t xml:space="preserve">UCR-107</t>
  </si>
  <si>
    <t xml:space="preserve">Style guides</t>
  </si>
  <si>
    <t xml:space="preserve">Follow the language style guide (e.g., Solidity style guide) enforced by linters.</t>
  </si>
  <si>
    <t xml:space="preserve">req-use-language-styleguide</t>
  </si>
  <si>
    <t xml:space="preserve">SCS-003 · req-use-language-styleguide</t>
  </si>
  <si>
    <t xml:space="preserve">CI linter configuration (solhint/forge fmt).</t>
  </si>
  <si>
    <t xml:space="preserve">UCR-108</t>
  </si>
  <si>
    <t xml:space="preserve">Adopt a documented style standard available to all contributors and enforce it in CI.</t>
  </si>
  <si>
    <t xml:space="preserve">req-use-styleguide</t>
  </si>
  <si>
    <t xml:space="preserve">SCS-004 · req-use-styleguide</t>
  </si>
  <si>
    <t xml:space="preserve">Style guide + CI gate evidence.</t>
  </si>
  <si>
    <t xml:space="preserve">UCR-109</t>
  </si>
  <si>
    <t xml:space="preserve">Modular design</t>
  </si>
  <si>
    <t xml:space="preserve">Build modular, self-contained components with clear interfaces.</t>
  </si>
  <si>
    <t xml:space="preserve">req-use-modular-code</t>
  </si>
  <si>
    <t xml:space="preserve">BSSC SCS; OWASP SCSVS; CIS v8.1; NIST CSF 2.0; ISO 27001:2022</t>
  </si>
  <si>
    <t xml:space="preserve">SCS-005 · req-use-modular-code</t>
  </si>
  <si>
    <t xml:space="preserve">CIS 16.10</t>
  </si>
  <si>
    <t xml:space="preserve">UCR-110</t>
  </si>
  <si>
    <t xml:space="preserve">Keep methods concise (≈&lt;100 lines) and single-purpose.</t>
  </si>
  <si>
    <t xml:space="preserve">req-use-concise-methods</t>
  </si>
  <si>
    <t xml:space="preserve">SCS-006 · req-use-concise-methods</t>
  </si>
  <si>
    <t xml:space="preserve">Static metrics.</t>
  </si>
  <si>
    <t xml:space="preserve">UCR-111</t>
  </si>
  <si>
    <t xml:space="preserve">Document inter-module dependencies.</t>
  </si>
  <si>
    <t xml:space="preserve">req-document-dependencies</t>
  </si>
  <si>
    <t xml:space="preserve">SHOULD / MUST</t>
  </si>
  <si>
    <t xml:space="preserve">SCS-007 · req-document-dependencies</t>
  </si>
  <si>
    <t xml:space="preserve">ID.AM-02</t>
  </si>
  <si>
    <t xml:space="preserve">Dependency diagram.</t>
  </si>
  <si>
    <t xml:space="preserve">UCR-112</t>
  </si>
  <si>
    <t xml:space="preserve">Use vetted library code (e.g., audited OpenZeppelin) instead of custom implementations.</t>
  </si>
  <si>
    <t xml:space="preserve">req-use-open-source</t>
  </si>
  <si>
    <t xml:space="preserve">SCS-008 · req-use-open-source</t>
  </si>
  <si>
    <t xml:space="preserve">GV.SC-07</t>
  </si>
  <si>
    <t xml:space="preserve">Dependency review.</t>
  </si>
  <si>
    <t xml:space="preserve">UCR-113</t>
  </si>
  <si>
    <t xml:space="preserve">Code operations</t>
  </si>
  <si>
    <t xml:space="preserve">Follow consistent operation ordering across functions (validation → effects → interactions).</t>
  </si>
  <si>
    <t xml:space="preserve">req-use-consistent-steps</t>
  </si>
  <si>
    <t xml:space="preserve">BSSC SCS; OWASP SCSVS; OWASP SC Top 10:2026; EthTrust; CIS v8.1; NIST CSF 2.0; ISO 27001:2022</t>
  </si>
  <si>
    <t xml:space="preserve">SCS-009 · req-use-consistent-steps</t>
  </si>
  <si>
    <t xml:space="preserve">EthTrust [S] Use Check-Effects-Interaction</t>
  </si>
  <si>
    <t xml:space="preserve">UCR-157 [Related] (OWASP SC Top 10:2026 SC08)</t>
  </si>
  <si>
    <t xml:space="preserve">UCR-114</t>
  </si>
  <si>
    <t xml:space="preserve">Dependencies</t>
  </si>
  <si>
    <t xml:space="preserve">Document all external dependencies (oracles, bridges, protocols, libraries).</t>
  </si>
  <si>
    <t xml:space="preserve">req-document-external-dependencies</t>
  </si>
  <si>
    <t xml:space="preserve">SCS-010 · req-document-external-dependencies</t>
  </si>
  <si>
    <t xml:space="preserve">CIS 16.4</t>
  </si>
  <si>
    <t xml:space="preserve">ID.AM-02; GV.SC-04</t>
  </si>
  <si>
    <t xml:space="preserve">A.5.21</t>
  </si>
  <si>
    <t xml:space="preserve">External dependency register.</t>
  </si>
  <si>
    <t xml:space="preserve">UCR-115</t>
  </si>
  <si>
    <t xml:space="preserve">Design contracts so any oracle can be replaced (governed setter, fallback oracle, staleness checks).</t>
  </si>
  <si>
    <t xml:space="preserve">req-use-oracles-carefully</t>
  </si>
  <si>
    <t xml:space="preserve">BSSC SCS; OWASP SCSVS; OWASP SC Top 10:2026; NIST CSF 2.0; ISO 27001:2022</t>
  </si>
  <si>
    <t xml:space="preserve">SCS-012 · req-use-oracles-carefully</t>
  </si>
  <si>
    <t xml:space="preserve">PR.IR-03</t>
  </si>
  <si>
    <t xml:space="preserve">UCR-152 [Related] (OWASP SC Top 10:2026 SC03)</t>
  </si>
  <si>
    <t xml:space="preserve">Code review of oracle wiring.</t>
  </si>
  <si>
    <t xml:space="preserve">UCR-116</t>
  </si>
  <si>
    <t xml:space="preserve">Version control</t>
  </si>
  <si>
    <t xml:space="preserve">Use version control recording the source of every change; protect main branches.</t>
  </si>
  <si>
    <t xml:space="preserve">req-use-version-control</t>
  </si>
  <si>
    <t xml:space="preserve">SCS-013 · req-use-version-control</t>
  </si>
  <si>
    <t xml:space="preserve">PR.PS-01</t>
  </si>
  <si>
    <t xml:space="preserve">A.8.32; A.8.4</t>
  </si>
  <si>
    <t xml:space="preserve">UCR-333 [Related] (SEAL Frameworks DevSecOps)</t>
  </si>
  <si>
    <t xml:space="preserve">Repo settings (branch protection, signed commits).</t>
  </si>
  <si>
    <t xml:space="preserve">UCR-117</t>
  </si>
  <si>
    <t xml:space="preserve">Make atomic commits with clear descriptions.</t>
  </si>
  <si>
    <t xml:space="preserve">req-make-atomic-commits</t>
  </si>
  <si>
    <t xml:space="preserve">SCS-014 · req-make-atomic-commits</t>
  </si>
  <si>
    <t xml:space="preserve">Commit history sample.</t>
  </si>
  <si>
    <t xml:space="preserve">UCR-118</t>
  </si>
  <si>
    <t xml:space="preserve">Tag releases with version numbers.</t>
  </si>
  <si>
    <t xml:space="preserve">req-tag-releases</t>
  </si>
  <si>
    <t xml:space="preserve">SCS-015 · req-tag-releases</t>
  </si>
  <si>
    <t xml:space="preserve">Tag list vs deployments.</t>
  </si>
  <si>
    <t xml:space="preserve">UCR-119</t>
  </si>
  <si>
    <t xml:space="preserve">Document the commit hash of each deployed release.</t>
  </si>
  <si>
    <t xml:space="preserve">req-tag-verifiable-source</t>
  </si>
  <si>
    <t xml:space="preserve">SCS-016 · req-tag-verifiable-source</t>
  </si>
  <si>
    <t xml:space="preserve">Deployment records include commit hash.</t>
  </si>
  <si>
    <t xml:space="preserve">UCR-120</t>
  </si>
  <si>
    <t xml:space="preserve">Log AI/automated code-generation sessions, including rejected code.</t>
  </si>
  <si>
    <t xml:space="preserve">req-log-automation</t>
  </si>
  <si>
    <t xml:space="preserve">SCS-017 · req-log-automation</t>
  </si>
  <si>
    <t xml:space="preserve">UCR-335 [Related] (SEAL Frameworks AI Security)</t>
  </si>
  <si>
    <t xml:space="preserve">Review AI session logs.</t>
  </si>
  <si>
    <t xml:space="preserve">UCR-121</t>
  </si>
  <si>
    <t xml:space="preserve">Source code documentation</t>
  </si>
  <si>
    <t xml:space="preserve">Document every public contract, function, event and variable (NatSpec).</t>
  </si>
  <si>
    <t xml:space="preserve">req-document-public-api</t>
  </si>
  <si>
    <t xml:space="preserve">BSSC SCS; OWASP SCSVS; EthTrust; CIS v8.1; NIST CSF 2.0; ISO 27001:2022</t>
  </si>
  <si>
    <t xml:space="preserve">SCS-018 · req-document-public-api</t>
  </si>
  <si>
    <t xml:space="preserve">EthTrust [Q] Document Contract Logic</t>
  </si>
  <si>
    <t xml:space="preserve">NatSpec coverage report.</t>
  </si>
  <si>
    <t xml:space="preserve">UCR-122</t>
  </si>
  <si>
    <t xml:space="preserve">Document private/internal functions implementing sensitive logic.</t>
  </si>
  <si>
    <t xml:space="preserve">req-document-sensitive-functions</t>
  </si>
  <si>
    <t xml:space="preserve">SCS-019 · req-document-sensitive-functions</t>
  </si>
  <si>
    <t xml:space="preserve">UCR-123</t>
  </si>
  <si>
    <t xml:space="preserve">Inline comments</t>
  </si>
  <si>
    <t xml:space="preserve">Explain complex logic and code status with inline comments.</t>
  </si>
  <si>
    <t xml:space="preserve">req-explain-functions-inline</t>
  </si>
  <si>
    <t xml:space="preserve">SCS-020 · req-explain-functions-inline</t>
  </si>
  <si>
    <t xml:space="preserve">UCR-124</t>
  </si>
  <si>
    <t xml:space="preserve">Cryptographic considerations</t>
  </si>
  <si>
    <t xml:space="preserve">Document all cryptographic algorithms and primitives used (signatures, hashes, ZK schemes).</t>
  </si>
  <si>
    <t xml:space="preserve">req-document-cryptography</t>
  </si>
  <si>
    <t xml:space="preserve">BSSC SCS; OWASP SCSVS; NIST CSF 2.0; ISO 27001:2022</t>
  </si>
  <si>
    <t xml:space="preserve">SCS-021 · req-document-cryptography</t>
  </si>
  <si>
    <t xml:space="preserve">ID.AM-08</t>
  </si>
  <si>
    <t xml:space="preserve">UCR-220 [Related] (BSSC NOS v2 req-document-protocol-crypto); UCR-023 [Related] (BSSC GSP v2 req-crypto-agility); UCR-162 [Related] (OWASP SCSVS SCSVS-CRYPTO)</t>
  </si>
  <si>
    <t xml:space="preserve">Crypto inventory.</t>
  </si>
  <si>
    <t xml:space="preserve">UCR-125</t>
  </si>
  <si>
    <t xml:space="preserve">Design for replacing cryptographic schemes without full redeployment.</t>
  </si>
  <si>
    <t xml:space="preserve">req-allow-cryptography-upgrades</t>
  </si>
  <si>
    <t xml:space="preserve">SCS-022 · req-allow-cryptography-upgrades</t>
  </si>
  <si>
    <t xml:space="preserve">UCR-126</t>
  </si>
  <si>
    <t xml:space="preserve">Document long-term cryptographic viability risks, including quantum threats.</t>
  </si>
  <si>
    <t xml:space="preserve">req-assess-cryptography-risk</t>
  </si>
  <si>
    <t xml:space="preserve">SCS-023 · req-assess-cryptography-risk</t>
  </si>
  <si>
    <t xml:space="preserve">UCR-221 [Related] (BSSC NOS v2 req-evaluate-protocol-pqc-plan); UCR-019 [Related] (BSSC GSP v2 req-monitor-crypto)</t>
  </si>
  <si>
    <t xml:space="preserve">Risk documentation.</t>
  </si>
  <si>
    <t xml:space="preserve">UCR-127</t>
  </si>
  <si>
    <t xml:space="preserve">Development testing</t>
  </si>
  <si>
    <t xml:space="preserve">Maintain comprehensive test coverage of all functionality, with coverage thresholds in CI.</t>
  </si>
  <si>
    <t xml:space="preserve">req-provide-tests</t>
  </si>
  <si>
    <t xml:space="preserve">BSSC SCS v1 — 2. Testing</t>
  </si>
  <si>
    <t xml:space="preserve">BSSC SCS; OWASP SCSVS; OWASP SC Top 10:2026; SEAL; CIS v8.1; NIST CSF 2.0; ISO 27001:2022</t>
  </si>
  <si>
    <t xml:space="preserve">SCS-024 · req-provide-tests</t>
  </si>
  <si>
    <t xml:space="preserve">CIS 16.12</t>
  </si>
  <si>
    <t xml:space="preserve">A.8.29</t>
  </si>
  <si>
    <t xml:space="preserve">Coverage report.</t>
  </si>
  <si>
    <t xml:space="preserve">UCR-128</t>
  </si>
  <si>
    <t xml:space="preserve">Have a substantial proportion of tests written by people who did not write the code.</t>
  </si>
  <si>
    <t xml:space="preserve">req-independent-tests</t>
  </si>
  <si>
    <t xml:space="preserve">SCS-025 · req-independent-tests</t>
  </si>
  <si>
    <t xml:space="preserve">Test authorship analysis.</t>
  </si>
  <si>
    <t xml:space="preserve">UCR-129</t>
  </si>
  <si>
    <t xml:space="preserve">Document key invariants and test them via fuzzing/invariant testing.</t>
  </si>
  <si>
    <t xml:space="preserve">req-define-invariants</t>
  </si>
  <si>
    <t xml:space="preserve">SCS-026 · req-define-invariants</t>
  </si>
  <si>
    <t xml:space="preserve">UCR-151 [Related] (OWASP SC Top 10:2026 SC02)</t>
  </si>
  <si>
    <t xml:space="preserve">Invariant test suite.</t>
  </si>
  <si>
    <t xml:space="preserve">UCR-130</t>
  </si>
  <si>
    <t xml:space="preserve">Keep tests and dependencies current; all tests pass on a fresh install.</t>
  </si>
  <si>
    <t xml:space="preserve">req-updated-test-suite</t>
  </si>
  <si>
    <t xml:space="preserve">SCS-027 · req-updated-test-suite</t>
  </si>
  <si>
    <t xml:space="preserve">Clean-clone CI run.</t>
  </si>
  <si>
    <t xml:space="preserve">UCR-131</t>
  </si>
  <si>
    <t xml:space="preserve">Cover edge cases (zero/max values, reentrancy, access boundaries).</t>
  </si>
  <si>
    <t xml:space="preserve">req-test-edge-cases</t>
  </si>
  <si>
    <t xml:space="preserve">SCS-028 · req-test-edge-cases</t>
  </si>
  <si>
    <t xml:space="preserve">SC05; SC07</t>
  </si>
  <si>
    <t xml:space="preserve">UCR-165 [Related] (OWASP SCSVS SCSVS-BRIDGE (S9))</t>
  </si>
  <si>
    <t xml:space="preserve">Test review.</t>
  </si>
  <si>
    <t xml:space="preserve">UCR-132</t>
  </si>
  <si>
    <t xml:space="preserve">Make the test suite executable on local forks.</t>
  </si>
  <si>
    <t xml:space="preserve">req-run-tests-locally</t>
  </si>
  <si>
    <t xml:space="preserve">SCS-029 · req-run-tests-locally</t>
  </si>
  <si>
    <t xml:space="preserve">Run fork tests.</t>
  </si>
  <si>
    <t xml:space="preserve">UCR-133</t>
  </si>
  <si>
    <t xml:space="preserve">Provide test helpers/utilities.</t>
  </si>
  <si>
    <t xml:space="preserve">req-use-test-helpers</t>
  </si>
  <si>
    <t xml:space="preserve">SCS-030 · req-use-test-helpers</t>
  </si>
  <si>
    <t xml:space="preserve">Repo review.</t>
  </si>
  <si>
    <t xml:space="preserve">UCR-134</t>
  </si>
  <si>
    <t xml:space="preserve">Meet generally accepted testing standards.</t>
  </si>
  <si>
    <t xml:space="preserve">req-use-testing-standards</t>
  </si>
  <si>
    <t xml:space="preserve">SCS-031 · req-use-testing-standards</t>
  </si>
  <si>
    <t xml:space="preserve">Test strategy review.</t>
  </si>
  <si>
    <t xml:space="preserve">UCR-135</t>
  </si>
  <si>
    <t xml:space="preserve">Security audit</t>
  </si>
  <si>
    <t xml:space="preserve">Complete and document an independent code security audit before production.</t>
  </si>
  <si>
    <t xml:space="preserve">req-security-audit</t>
  </si>
  <si>
    <t xml:space="preserve">BSSC SCS; OWASP SCSVS; OWASP SC Top 10:2026; EthTrust; SEAL; CIS v8.1; NIST CSF 2.0; ISO 27001:2022</t>
  </si>
  <si>
    <t xml:space="preserve">SCS-032 · req-security-audit</t>
  </si>
  <si>
    <t xml:space="preserve">All Top 10 items</t>
  </si>
  <si>
    <t xml:space="preserve">EthTrust [M]/[Q]</t>
  </si>
  <si>
    <t xml:space="preserve">CIS 16.1; CIS 18.1</t>
  </si>
  <si>
    <t xml:space="preserve">ID.RA-01; PR.PS-06</t>
  </si>
  <si>
    <t xml:space="preserve">UCR-195 [Related] (BSSC TIS v1 Contract Security Review); UCR-149 [Related] (BSSC GSP v2 req-review-software)</t>
  </si>
  <si>
    <t xml:space="preserve">Audit report covering deployed commit.</t>
  </si>
  <si>
    <t xml:space="preserve">UCR-136</t>
  </si>
  <si>
    <t xml:space="preserve">Use at least two auditors who did not develop the code.</t>
  </si>
  <si>
    <t xml:space="preserve">req-independent-auditors</t>
  </si>
  <si>
    <t xml:space="preserve">BSSC SCS; OWASP SCSVS; EthTrust; SEAL; CIS v8.1; NIST CSF 2.0; ISO 27001:2022</t>
  </si>
  <si>
    <t xml:space="preserve">SCS-033 · req-independent-auditors</t>
  </si>
  <si>
    <t xml:space="preserve">Audit staffing evidence.</t>
  </si>
  <si>
    <t xml:space="preserve">UCR-137</t>
  </si>
  <si>
    <t xml:space="preserve">Agree an audit scope covering everything that could materially affect correct functioning (incl. integrations, upgrades).</t>
  </si>
  <si>
    <t xml:space="preserve">req-scope-audit-sufficiently</t>
  </si>
  <si>
    <t xml:space="preserve">SCS-034 · req-scope-audit-sufficiently</t>
  </si>
  <si>
    <t xml:space="preserve">Scope document review.</t>
  </si>
  <si>
    <t xml:space="preserve">UCR-138</t>
  </si>
  <si>
    <t xml:space="preserve">Publish audit reports (or an attestation).</t>
  </si>
  <si>
    <t xml:space="preserve">req-publish-code-audits</t>
  </si>
  <si>
    <t xml:space="preserve">SHOULD / MAY</t>
  </si>
  <si>
    <t xml:space="preserve">BSSC SCS; OWASP SCSVS; OWASP SC Top 10:2026; EthTrust; SEAL; NIST CSF 2.0; ISO 27001:2022</t>
  </si>
  <si>
    <t xml:space="preserve">SCS-035 · req-publish-code-audits</t>
  </si>
  <si>
    <t xml:space="preserve">Public link check.</t>
  </si>
  <si>
    <t xml:space="preserve">UCR-139</t>
  </si>
  <si>
    <t xml:space="preserve">Re-audit material changes before production.</t>
  </si>
  <si>
    <t xml:space="preserve">req-reaudit-changes</t>
  </si>
  <si>
    <t xml:space="preserve">SCS-036 · req-reaudit-changes</t>
  </si>
  <si>
    <t xml:space="preserve">ID.RA-07; PR.PS-01</t>
  </si>
  <si>
    <t xml:space="preserve">A.8.32; A.8.29</t>
  </si>
  <si>
    <t xml:space="preserve">Diff audit reports for each material release.</t>
  </si>
  <si>
    <t xml:space="preserve">UCR-140</t>
  </si>
  <si>
    <t xml:space="preserve">Testnet testing</t>
  </si>
  <si>
    <t xml:space="preserve">Test all code and upgrades on a controlled test network before mainnet.</t>
  </si>
  <si>
    <t xml:space="preserve">req-use-testnets</t>
  </si>
  <si>
    <t xml:space="preserve">BSSC SCS v1 — 3. Deployment and Upgrades</t>
  </si>
  <si>
    <t xml:space="preserve">BSSC SCS; OWASP SCSVS; SEAL; CIS v8.1; NIST CSF 2.0; ISO 27001:2022; DORA</t>
  </si>
  <si>
    <t xml:space="preserve">SCS-037 · req-use-testnets</t>
  </si>
  <si>
    <t xml:space="preserve">CIS 16.8</t>
  </si>
  <si>
    <t xml:space="preserve">A.8.31</t>
  </si>
  <si>
    <t xml:space="preserve">UCR-219 [Related] (BSSC NOS v2 req-use-testnet)</t>
  </si>
  <si>
    <t xml:space="preserve">Testnet deployment records.</t>
  </si>
  <si>
    <t xml:space="preserve">UCR-141</t>
  </si>
  <si>
    <t xml:space="preserve">Document network-specific requirements and differences (chain IDs, precompiles, gas, opcodes).</t>
  </si>
  <si>
    <t xml:space="preserve">req-document-networks</t>
  </si>
  <si>
    <t xml:space="preserve">SCS-038 · req-document-networks</t>
  </si>
  <si>
    <t xml:space="preserve">ID.AM-03</t>
  </si>
  <si>
    <t xml:space="preserve">Network differences doc.</t>
  </si>
  <si>
    <t xml:space="preserve">UCR-142</t>
  </si>
  <si>
    <t xml:space="preserve">Compilation</t>
  </si>
  <si>
    <t xml:space="preserve">Ensure deterministic, error-free compilation (pinned compiler, optimizer settings).</t>
  </si>
  <si>
    <t xml:space="preserve">req-deterministic-compilation</t>
  </si>
  <si>
    <t xml:space="preserve">SCS-039 · req-deterministic-compilation</t>
  </si>
  <si>
    <t xml:space="preserve">UCR-167 [Related] (SEAL Frameworks DevSecOps)</t>
  </si>
  <si>
    <t xml:space="preserve">Reproduce build; compare bytecode.</t>
  </si>
  <si>
    <t xml:space="preserve">UCR-143</t>
  </si>
  <si>
    <t xml:space="preserve">Publish compilation metadata to verify deployed bytecode.</t>
  </si>
  <si>
    <t xml:space="preserve">req-provide-compilation-metadata</t>
  </si>
  <si>
    <t xml:space="preserve">SCS-040 · req-provide-compilation-metadata</t>
  </si>
  <si>
    <t xml:space="preserve">Metadata availability.</t>
  </si>
  <si>
    <t xml:space="preserve">UCR-144</t>
  </si>
  <si>
    <t xml:space="preserve">Verified bytecode</t>
  </si>
  <si>
    <t xml:space="preserve">Publish source verification showing deployed bytecode matches audited source (Etherscan/Sourcify).</t>
  </si>
  <si>
    <t xml:space="preserve">req-pub-verification</t>
  </si>
  <si>
    <t xml:space="preserve">BSSC SCS; OWASP SCSVS; SEAL; NIST CSF 2.0; ISO 27001:2022</t>
  </si>
  <si>
    <t xml:space="preserve">SCS-041 · req-pub-verification</t>
  </si>
  <si>
    <t xml:space="preserve">ID.AM-02; PR.PS-02</t>
  </si>
  <si>
    <t xml:space="preserve">Verified-source check per address.</t>
  </si>
  <si>
    <t xml:space="preserve">UCR-145</t>
  </si>
  <si>
    <t xml:space="preserve">Transaction screening</t>
  </si>
  <si>
    <t xml:space="preserve">Screen transactions to permit only predefined activity types (firewall/guard contracts).</t>
  </si>
  <si>
    <t xml:space="preserve">req-use-transaction-screening</t>
  </si>
  <si>
    <t xml:space="preserve">SCS-051 · req-use-transaction-screening</t>
  </si>
  <si>
    <t xml:space="preserve">CIS 13.10</t>
  </si>
  <si>
    <t xml:space="preserve">A.8.20</t>
  </si>
  <si>
    <t xml:space="preserve">Screening config review.</t>
  </si>
  <si>
    <t xml:space="preserve">UCR-146</t>
  </si>
  <si>
    <t xml:space="preserve">Code analysis</t>
  </si>
  <si>
    <t xml:space="preserve">Perform dynamic analysis on production code (DAST, fuzzing, on-chain monitoring).</t>
  </si>
  <si>
    <t xml:space="preserve">req-monitor-code</t>
  </si>
  <si>
    <t xml:space="preserve">BSSC GSP; OWASP SCSVS; SEAL; CIS v8.1; NIST CSF 2.0; ISO 27001:2022</t>
  </si>
  <si>
    <t xml:space="preserve">GSP-015 · req-monitor-code</t>
  </si>
  <si>
    <t xml:space="preserve">Security Testing; Monitoring</t>
  </si>
  <si>
    <t xml:space="preserve">ID.RA-01; DE.CM-09</t>
  </si>
  <si>
    <t xml:space="preserve">DAST/fuzz results.</t>
  </si>
  <si>
    <t xml:space="preserve">UCR-147</t>
  </si>
  <si>
    <t xml:space="preserve">Perform static analysis on all code pre-deployment (SAST, Slither/Semgrep).</t>
  </si>
  <si>
    <t xml:space="preserve">req-analyze-code</t>
  </si>
  <si>
    <t xml:space="preserve">GSP-016 · req-analyze-code</t>
  </si>
  <si>
    <t xml:space="preserve">A.8.28; A.8.29</t>
  </si>
  <si>
    <t xml:space="preserve">UCR-166 [Related] (SEAL Frameworks Security Testing)</t>
  </si>
  <si>
    <t xml:space="preserve">CI SAST gate.</t>
  </si>
  <si>
    <t xml:space="preserve">UCR-148</t>
  </si>
  <si>
    <t xml:space="preserve">Validate and robustly handle malformed or malicious third-party data (RPC, oracle, API inputs).</t>
  </si>
  <si>
    <t xml:space="preserve">req-error-handling</t>
  </si>
  <si>
    <t xml:space="preserve">BSSC GSP; OWASP SCSVS; OWASP SC Top 10:2026; SEAL; CIS v8.1; NIST CSF 2.0; ISO 27001:2022</t>
  </si>
  <si>
    <t xml:space="preserve">GSP-033 · req-error-handling</t>
  </si>
  <si>
    <t xml:space="preserve">UCR-154 [Related] (OWASP SC Top 10:2026 SC05)</t>
  </si>
  <si>
    <t xml:space="preserve">Input validation tests.</t>
  </si>
  <si>
    <t xml:space="preserve">UCR-149</t>
  </si>
  <si>
    <t xml:space="preserve">Security assessment</t>
  </si>
  <si>
    <t xml:space="preserve">Perform and document security reviews of all on-chain and off-chain software.</t>
  </si>
  <si>
    <t xml:space="preserve">req-review-software</t>
  </si>
  <si>
    <t xml:space="preserve">BSSC GSP v2 — 4. Detect</t>
  </si>
  <si>
    <t xml:space="preserve">BSSC GSP; SEAL; CCSS v9.0; CIS v8.1; NIST CSF 2.0; ISO 27001:2022; DORA</t>
  </si>
  <si>
    <t xml:space="preserve">GSP-040 · req-review-software</t>
  </si>
  <si>
    <t xml:space="preserve">DORA Art. 24–27</t>
  </si>
  <si>
    <t xml:space="preserve">UCR-135 [Related] (BSSC SCS v1 req-security-audit); UCR-195 [Related] (BSSC TIS v1 Contract Security Review)</t>
  </si>
  <si>
    <t xml:space="preserve">Review reports.</t>
  </si>
  <si>
    <t xml:space="preserve">UCR-150</t>
  </si>
  <si>
    <t xml:space="preserve">Access control (code)</t>
  </si>
  <si>
    <t xml:space="preserve">Enforce deny-by-default access modifiers on every state-changing function, two-step ownership/role transfer, and role-renounce protection; test every privileged path for unauthorised callers.</t>
  </si>
  <si>
    <t xml:space="preserve">OWASP SC Top 10:2026 — SC01</t>
  </si>
  <si>
    <t xml:space="preserve">Protocol/dApp/token developer</t>
  </si>
  <si>
    <t xml:space="preserve">OWASP SCSVS; OWASP SC Top 10:2026; EthTrust; CIS v8.1; NIST CSF 2.0; ISO 27001:2022</t>
  </si>
  <si>
    <t xml:space="preserve">EthTrust [S] No tx.origin</t>
  </si>
  <si>
    <t xml:space="preserve">UCR-380 [Related] (BSSC SCS v1 req-limit-privileged-roles)</t>
  </si>
  <si>
    <t xml:space="preserve">Access-control unit tests; Slither/Semgrep rules for missing modifiers.</t>
  </si>
  <si>
    <t xml:space="preserve">UCR-151</t>
  </si>
  <si>
    <t xml:space="preserve">Business logic &amp; economic security</t>
  </si>
  <si>
    <t xml:space="preserve">Write a formal specification of intended behaviour and economic assumptions; verify with invariant/fuzz tests and an economic (game-theory) review before launch.</t>
  </si>
  <si>
    <t xml:space="preserve">OWASP SC Top 10:2026 — SC02</t>
  </si>
  <si>
    <t xml:space="preserve">OWASP SCSVS; OWASP SC Top 10:2026; EthTrust; SEAL; CIS v8.1; NIST CSF 2.0; ISO 27001:2022</t>
  </si>
  <si>
    <t xml:space="preserve">EthTrust [Q] Implement as Documented</t>
  </si>
  <si>
    <t xml:space="preserve">CIS 16.10; CIS 16.14</t>
  </si>
  <si>
    <t xml:space="preserve">UCR-129 [Related] (BSSC SCS v1 req-define-invariants)</t>
  </si>
  <si>
    <t xml:space="preserve">Spec document; invariant suite; economic review report.</t>
  </si>
  <si>
    <t xml:space="preserve">UCR-152</t>
  </si>
  <si>
    <t xml:space="preserve">Oracle security</t>
  </si>
  <si>
    <t xml:space="preserve">Use manipulation-resistant price sources (TWAP/medianised multi-source feeds) with staleness, deviation and circuit-breaker checks; never use single-pool spot prices for valuation.</t>
  </si>
  <si>
    <t xml:space="preserve">OWASP SC Top 10:2026 — SC03</t>
  </si>
  <si>
    <t xml:space="preserve">OWASP SCSVS; OWASP SC Top 10:2026; SEAL; NIST CSF 2.0; ISO 27001:2022</t>
  </si>
  <si>
    <t xml:space="preserve">UCR-115 [Related] (BSSC SCS v1 req-use-oracles-carefully)</t>
  </si>
  <si>
    <t xml:space="preserve">Code review of oracle reads; fork tests simulating price manipulation.</t>
  </si>
  <si>
    <t xml:space="preserve">UCR-153</t>
  </si>
  <si>
    <t xml:space="preserve">Flash-loan resistance</t>
  </si>
  <si>
    <t xml:space="preserve">Design so that single-transaction capital (flash loans) cannot manipulate governance votes, collateral valuation or share prices (snapshot voting power, delayed accounting, virtual shares).</t>
  </si>
  <si>
    <t xml:space="preserve">OWASP SC Top 10:2026 — SC04</t>
  </si>
  <si>
    <t xml:space="preserve">Flash-loan attack simulations on mainnet fork.</t>
  </si>
  <si>
    <t xml:space="preserve">UCR-154</t>
  </si>
  <si>
    <t xml:space="preserve">Input validation</t>
  </si>
  <si>
    <t xml:space="preserve">Validate all external inputs (addresses ≠ 0, bounds, array lengths, calldata, cross-chain messages) and fail closed with explicit errors.</t>
  </si>
  <si>
    <t xml:space="preserve">OWASP SC Top 10:2026 — SC05</t>
  </si>
  <si>
    <t xml:space="preserve">OWASP SCSVS; OWASP SC Top 10:2026; CIS v8.1; NIST CSF 2.0; ISO 27001:2022</t>
  </si>
  <si>
    <t xml:space="preserve">UCR-148 [Related] (BSSC GSP v2 req-error-handling)</t>
  </si>
  <si>
    <t xml:space="preserve">Static analysis + negative tests per external function.</t>
  </si>
  <si>
    <t xml:space="preserve">UCR-155</t>
  </si>
  <si>
    <t xml:space="preserve">External calls</t>
  </si>
  <si>
    <t xml:space="preserve">Check return values of all low-level calls and token transfers (use SafeERC20 or equivalent); treat external contracts as untrusted; bound gas forwarded where appropriate.</t>
  </si>
  <si>
    <t xml:space="preserve">OWASP SC Top 10:2026 — SC06</t>
  </si>
  <si>
    <t xml:space="preserve">EthTrust [S] Check External Calls Return</t>
  </si>
  <si>
    <t xml:space="preserve">Slither unchecked-call detectors; code review.</t>
  </si>
  <si>
    <t xml:space="preserve">UCR-156</t>
  </si>
  <si>
    <t xml:space="preserve">Arithmetic precision</t>
  </si>
  <si>
    <t xml:space="preserve">Use audited fixed-point libraries, multiply-before-divide, and explicit rounding direction that favours protocol solvency; test first-depositor/inflation and dust cases.</t>
  </si>
  <si>
    <t xml:space="preserve">OWASP SC Top 10:2026 — SC07</t>
  </si>
  <si>
    <t xml:space="preserve">Precision fuzzing; rounding-direction review.</t>
  </si>
  <si>
    <t xml:space="preserve">UCR-157</t>
  </si>
  <si>
    <t xml:space="preserve">Reentrancy</t>
  </si>
  <si>
    <t xml:space="preserve">Apply Checks-Effects-Interactions and reentrancy guards on all functions making external calls, including cross-function and read-only reentrancy.</t>
  </si>
  <si>
    <t xml:space="preserve">OWASP SC Top 10:2026 — SC08</t>
  </si>
  <si>
    <t xml:space="preserve">OWASP SCSVS; OWASP SC Top 10:2026; EthTrust; NIST CSF 2.0; ISO 27001:2022</t>
  </si>
  <si>
    <t xml:space="preserve">UCR-113 [Related] (BSSC SCS v1 req-use-consistent-steps)</t>
  </si>
  <si>
    <t xml:space="preserve">Reentrancy detectors; targeted attack tests.</t>
  </si>
  <si>
    <t xml:space="preserve">UCR-158</t>
  </si>
  <si>
    <t xml:space="preserve">Integer overflow/underflow</t>
  </si>
  <si>
    <t xml:space="preserve">Compile with Solidity ≥0.8 checked arithmetic (or equivalent) and justify every unchecked block in review.</t>
  </si>
  <si>
    <t xml:space="preserve">OWASP SC Top 10:2026 — SC09</t>
  </si>
  <si>
    <t xml:space="preserve">EthTrust [S] No Overflow/Underflow</t>
  </si>
  <si>
    <t xml:space="preserve">grep for unchecked blocks; reviewer sign-off.</t>
  </si>
  <si>
    <t xml:space="preserve">UCR-159</t>
  </si>
  <si>
    <t xml:space="preserve">MEV &amp; front-running protection</t>
  </si>
  <si>
    <t xml:space="preserve">Protect users and protocol from MEV/front-running: enforce slippage and deadline bounds, use commit–reveal or private order flow for sensitive actions, and protect initialization from front-running.</t>
  </si>
  <si>
    <t xml:space="preserve">Code review; MEV simulation.</t>
  </si>
  <si>
    <t xml:space="preserve">UCR-160</t>
  </si>
  <si>
    <t xml:space="preserve">L2 / rollup dependencies</t>
  </si>
  <si>
    <t xml:space="preserve">For L2 deployments, check sequencer uptime before trusting oracle prices, document forced-inclusion/escape-hatch paths, and track rollup upgrade delays and security councils.</t>
  </si>
  <si>
    <t xml:space="preserve">UCR-022 [Related] (BSSC GSP v2 req-assess-ecosystem-risk)</t>
  </si>
  <si>
    <t xml:space="preserve">L2 risk assessment; sequencer-check code review.</t>
  </si>
  <si>
    <t xml:space="preserve">UCR-161</t>
  </si>
  <si>
    <t xml:space="preserve">Denial of service &amp; gas</t>
  </si>
  <si>
    <t xml:space="preserve">Bound loops and array growth, prefer pull-over-push payments, and avoid logic that a single reverting party can block.</t>
  </si>
  <si>
    <t xml:space="preserve">OWASP SCSVS — SCSVS-BLOCK</t>
  </si>
  <si>
    <t xml:space="preserve">OWASP SCSVS; NIST CSF 2.0; ISO 27001:2022</t>
  </si>
  <si>
    <t xml:space="preserve">SCSVS-BLOCK; SCSVS-DEFI</t>
  </si>
  <si>
    <t xml:space="preserve">PR.IR-04</t>
  </si>
  <si>
    <t xml:space="preserve">Gas-limit tests on worst-case inputs.</t>
  </si>
  <si>
    <t xml:space="preserve">UCR-162</t>
  </si>
  <si>
    <t xml:space="preserve">Signatures &amp; replay</t>
  </si>
  <si>
    <t xml:space="preserve">Use EIP-712 typed data with domain separator (chainId, verifying contract), nonces/deadlines, and malleability-safe ECDSA recovery; reject zero-address signers.</t>
  </si>
  <si>
    <t xml:space="preserve">OWASP SCSVS — SCSVS-CRYPTO</t>
  </si>
  <si>
    <t xml:space="preserve">OWASP SCSVS; OWASP Web3 Top 15; NIST CSF 2.0; ISO 27001:2022</t>
  </si>
  <si>
    <t xml:space="preserve">PR.PS-06; PR.DS-02</t>
  </si>
  <si>
    <t xml:space="preserve">UCR-124 [Related] (BSSC SCS v1 req-document-cryptography)</t>
  </si>
  <si>
    <t xml:space="preserve">Replay/malleability tests; code review.</t>
  </si>
  <si>
    <t xml:space="preserve">UCR-163</t>
  </si>
  <si>
    <t xml:space="preserve">On-chain randomness</t>
  </si>
  <si>
    <t xml:space="preserve">Never derive randomness from block variables; use verifiable randomness (VRF) or commit–reveal.</t>
  </si>
  <si>
    <t xml:space="preserve">OWASP SCSVS; OWASP SC Top 10:2026; NIST CSF 2.0; ISO 27001:2022</t>
  </si>
  <si>
    <t xml:space="preserve">Code review for block.timestamp/prevrandao use.</t>
  </si>
  <si>
    <t xml:space="preserve">UCR-164</t>
  </si>
  <si>
    <t xml:space="preserve">Cross-chain &amp; bridge security</t>
  </si>
  <si>
    <t xml:space="preserve">Authenticate cross-chain messages (validator/light-client proofs), enforce replay protection per chain, rate-limit bridged value, and decentralise bridge validators.</t>
  </si>
  <si>
    <t xml:space="preserve">OWASP SCSVS — SCSVS-BRIDGE</t>
  </si>
  <si>
    <t xml:space="preserve">Protocol/bridge operator</t>
  </si>
  <si>
    <t xml:space="preserve">OWASP SCSVS; SEAL; NIST CSF 2.0; ISO 27001:2022</t>
  </si>
  <si>
    <t xml:space="preserve">SCSVS-COMP; SCSVS-COMM</t>
  </si>
  <si>
    <t xml:space="preserve">UCR-232 [Related] (BSSC NOS v2 req-limit-consensus-power)</t>
  </si>
  <si>
    <t xml:space="preserve">Bridge threat model; message replay tests.</t>
  </si>
  <si>
    <t xml:space="preserve">UCR-165</t>
  </si>
  <si>
    <t xml:space="preserve">State &amp; data management safety</t>
  </si>
  <si>
    <t xml:space="preserve">Handle contract state and encoding safely: account for all ETH received by payable functions (with a withdrawal path), fully reset nested structs on delete, and test ABI-encoding and storage-copy edge cases for compiler-version pitfalls.</t>
  </si>
  <si>
    <t xml:space="preserve">SCSVS-BRIDGE (S9)</t>
  </si>
  <si>
    <t xml:space="preserve">OWASP SCSVS — SCSVS-BRIDGE (S9)</t>
  </si>
  <si>
    <t xml:space="preserve">OWASP SCSVS; SEAL; CIS v8.1; NIST CSF 2.0; ISO 27001:2022</t>
  </si>
  <si>
    <t xml:space="preserve">UCR-131 [Related] (BSSC SCS v1 req-test-edge-cases)</t>
  </si>
  <si>
    <t xml:space="preserve">Unit tests for stuck-ETH, struct deletion and encoding edge cases.</t>
  </si>
  <si>
    <t xml:space="preserve">UCR-166</t>
  </si>
  <si>
    <t xml:space="preserve">Automated security testing in CI</t>
  </si>
  <si>
    <t xml:space="preserve">Run static analysis, fuzzing/invariant testing and, for critical logic, formal verification in CI on every pull request; block merges on high findings.</t>
  </si>
  <si>
    <t xml:space="preserve">SEAL Frameworks — Security Testing</t>
  </si>
  <si>
    <t xml:space="preserve">OWASP SCSVS; OWASP SC Top 10:2026; SEAL; CIS v8.1; NIST CSF 2.0; ISO 27001:2022</t>
  </si>
  <si>
    <t xml:space="preserve">Security Testing; DevSecOps</t>
  </si>
  <si>
    <t xml:space="preserve">UCR-147 [Related] (BSSC GSP v2 req-analyze-code)</t>
  </si>
  <si>
    <t xml:space="preserve">CI configuration and gate evidence.</t>
  </si>
  <si>
    <t xml:space="preserve">UCR-167</t>
  </si>
  <si>
    <t xml:space="preserve">Secure deployment</t>
  </si>
  <si>
    <t xml:space="preserve">Use scripted, reproducible deployments from a dedicated deployer key, verify ownership/parameters and source after deploy, and transfer admin roles to the multisig immediately.</t>
  </si>
  <si>
    <t xml:space="preserve">SEAL Frameworks — DevSecOps</t>
  </si>
  <si>
    <t xml:space="preserve">OWASP SCSVS; OWASP SC Top 10:2026; OWASP Web3 Top 15; SEAL; CIS v8.1; NIST CSF 2.0; ISO 27001:2022</t>
  </si>
  <si>
    <t xml:space="preserve">UCR-142 [Related] (BSSC SCS v1 req-deterministic-compilation)</t>
  </si>
  <si>
    <t xml:space="preserve">Deployment scripts; post-deploy verification checklist.</t>
  </si>
  <si>
    <t xml:space="preserve">UCR-168</t>
  </si>
  <si>
    <t xml:space="preserve">Disclosure package</t>
  </si>
  <si>
    <t xml:space="preserve">Require a complete token information package from the issuer before integration; block listing until all items are provided.</t>
  </si>
  <si>
    <t xml:space="preserve">General Information (lead-in)</t>
  </si>
  <si>
    <t xml:space="preserve">BSSC TIS v1 — 1. General Information</t>
  </si>
  <si>
    <t xml:space="preserve">Token issuer (provide); Exchange/Custodian/DeFi integrator (verify at listing)</t>
  </si>
  <si>
    <t xml:space="preserve">BSSC TIS; OWASP Web3 Top 15; NIST CSF 2.0; ISO 27001:2022</t>
  </si>
  <si>
    <t xml:space="preserve">TIS-001 · General Information (lead-in)</t>
  </si>
  <si>
    <t xml:space="preserve">GV.SC-06</t>
  </si>
  <si>
    <t xml:space="preserve">A.5.19</t>
  </si>
  <si>
    <t xml:space="preserve">Listing due-diligence checklist: confirm all General Information items present and signed off.</t>
  </si>
  <si>
    <t xml:space="preserve">UCR-169</t>
  </si>
  <si>
    <t xml:space="preserve">Obtain token allocations and vesting schedules; reconcile against on-chain holder distribution.</t>
  </si>
  <si>
    <t xml:space="preserve">Token allocation</t>
  </si>
  <si>
    <t xml:space="preserve">TIS-002 · Token allocation</t>
  </si>
  <si>
    <t xml:space="preserve">Listing due-diligence checklist: compare stated allocation to on-chain top-holder analysis.</t>
  </si>
  <si>
    <t xml:space="preserve">UCR-170</t>
  </si>
  <si>
    <t xml:space="preserve">Token identity</t>
  </si>
  <si>
    <t xml:space="preserve">Verify that disclosed name and symbol exactly match on-chain name() and symbol() return values.</t>
  </si>
  <si>
    <t xml:space="preserve">Name and Symbol</t>
  </si>
  <si>
    <t xml:space="preserve">TIS-003 · Name and Symbol</t>
  </si>
  <si>
    <t xml:space="preserve">A.5.9</t>
  </si>
  <si>
    <t xml:space="preserve">Call name()/symbol() on each deployment; compare to listing record.</t>
  </si>
  <si>
    <t xml:space="preserve">UCR-171</t>
  </si>
  <si>
    <t xml:space="preserve">Obtain and archive a link to the token's technical documentation.</t>
  </si>
  <si>
    <t xml:space="preserve">Technical Documentation</t>
  </si>
  <si>
    <t xml:space="preserve">TIS-004 · Technical Documentation</t>
  </si>
  <si>
    <t xml:space="preserve">Listing due-diligence checklist: archive link and snapshot.</t>
  </si>
  <si>
    <t xml:space="preserve">UCR-172</t>
  </si>
  <si>
    <t xml:space="preserve">Record verified contact details for the managing team, including a security contact.</t>
  </si>
  <si>
    <t xml:space="preserve">Contact Information</t>
  </si>
  <si>
    <t xml:space="preserve">BSSC TIS; OWASP Web3 Top 15; SEAL; NIST CSF 2.0; ISO 27001:2022</t>
  </si>
  <si>
    <t xml:space="preserve">TIS-005 · Contact Information</t>
  </si>
  <si>
    <t xml:space="preserve">A.5.20</t>
  </si>
  <si>
    <t xml:space="preserve">Test contact channel response.</t>
  </si>
  <si>
    <t xml:space="preserve">UCR-173</t>
  </si>
  <si>
    <t xml:space="preserve">Maintain an allow-listed registry of official contract addresses per chain; reject unregistered contracts.</t>
  </si>
  <si>
    <t xml:space="preserve">Deployment Address</t>
  </si>
  <si>
    <t xml:space="preserve">TIS-006 · Deployment Address</t>
  </si>
  <si>
    <t xml:space="preserve">UCR-361 [Related] (OWASP Web3 Top 15 WA10)</t>
  </si>
  <si>
    <t xml:space="preserve">Verify address registry against issuer-signed list and block explorers.</t>
  </si>
  <si>
    <t xml:space="preserve">UCR-174</t>
  </si>
  <si>
    <t xml:space="preserve">Classify each token as native, bridged or wrapped and assess the bridge/wrapper trust model.</t>
  </si>
  <si>
    <t xml:space="preserve">Is it native, bridged, wrapped?</t>
  </si>
  <si>
    <t xml:space="preserve">TIS-007 · Is it native, bridged, wrapped?</t>
  </si>
  <si>
    <t xml:space="preserve">Review classification and bridge risk assessment.</t>
  </si>
  <si>
    <t xml:space="preserve">UCR-175</t>
  </si>
  <si>
    <t xml:space="preserve">Token behaviour</t>
  </si>
  <si>
    <t xml:space="preserve">Identify rebasing behaviour and adapt ledger/accounting (share-based balances) before integration.</t>
  </si>
  <si>
    <t xml:space="preserve">Token Rebasing</t>
  </si>
  <si>
    <t xml:space="preserve">BSSC TIS; OWASP SCSVS; NIST CSF 2.0; ISO 27001:2022</t>
  </si>
  <si>
    <t xml:space="preserve">TIS-008 · Token Rebasing</t>
  </si>
  <si>
    <t xml:space="preserve">A.8.25</t>
  </si>
  <si>
    <t xml:space="preserve">Test deposits/withdrawals across a rebase event on testnet.</t>
  </si>
  <si>
    <t xml:space="preserve">UCR-176</t>
  </si>
  <si>
    <t xml:space="preserve">Upgradability</t>
  </si>
  <si>
    <t xml:space="preserve">Record whether the contract is upgradeable (proxy pattern, admin) as a listing risk factor.</t>
  </si>
  <si>
    <t xml:space="preserve">Document Upgradability</t>
  </si>
  <si>
    <t xml:space="preserve">BSSC TIS; OWASP SCSVS; OWASP SC Top 10:2026; NIST CSF 2.0; ISO 27001:2022</t>
  </si>
  <si>
    <t xml:space="preserve">TIS-009 · Document Upgradability</t>
  </si>
  <si>
    <t xml:space="preserve">Inspect proxy storage slots / admin on-chain.</t>
  </si>
  <si>
    <t xml:space="preserve">UCR-177</t>
  </si>
  <si>
    <t xml:space="preserve">Market risk</t>
  </si>
  <si>
    <t xml:space="preserve">Obtain trading and TVL history since deployment for liquidity and manipulation risk review.</t>
  </si>
  <si>
    <t xml:space="preserve">Trading History</t>
  </si>
  <si>
    <t xml:space="preserve">BSSC TIS; OWASP SCSVS; OWASP SC Top 10:2026; OWASP Web3 Top 15; NIST CSF 2.0; ISO 27001:2022; MiCA</t>
  </si>
  <si>
    <t xml:space="preserve">TIS-010 · Trading History</t>
  </si>
  <si>
    <t xml:space="preserve">MiCA Title III–IV (ART/EMT)</t>
  </si>
  <si>
    <t xml:space="preserve">Review market data analysis in listing memo.</t>
  </si>
  <si>
    <t xml:space="preserve">UCR-178</t>
  </si>
  <si>
    <t xml:space="preserve">Where minting/burning is supported, obtain and assess the automated price discovery mechanism.</t>
  </si>
  <si>
    <t xml:space="preserve">Price discovery mechanism</t>
  </si>
  <si>
    <t xml:space="preserve">TIS-011 · Price discovery mechanism</t>
  </si>
  <si>
    <t xml:space="preserve">Review economic analysis of price discovery.</t>
  </si>
  <si>
    <t xml:space="preserve">UCR-179</t>
  </si>
  <si>
    <t xml:space="preserve">For stablecoins, obtain and assess stabilisation/backing mechanism and attestations.</t>
  </si>
  <si>
    <t xml:space="preserve">Stablecoin Backing</t>
  </si>
  <si>
    <t xml:space="preserve">BSSC TIS; OWASP SCSVS; OWASP SC Top 10:2026; OWASP Web3 Top 15; CCSS v9.0; NIST CSF 2.0; ISO 27001:2022; MiCA</t>
  </si>
  <si>
    <t xml:space="preserve">TIS-012 · Stablecoin Backing</t>
  </si>
  <si>
    <t xml:space="preserve">Review reserve attestations and stabilisation mechanism analysis.</t>
  </si>
  <si>
    <t xml:space="preserve">UCR-180</t>
  </si>
  <si>
    <t xml:space="preserve">Privileged roles</t>
  </si>
  <si>
    <t xml:space="preserve">Obtain documentation of token governance and a full list of privileged roles; verify against on-chain role assignments.</t>
  </si>
  <si>
    <t xml:space="preserve">Governance (lead-in)</t>
  </si>
  <si>
    <t xml:space="preserve">BSSC TIS v1 — 2. Governance</t>
  </si>
  <si>
    <t xml:space="preserve">BSSC TIS; OWASP SCSVS; OWASP SC Top 10:2026; OWASP Web3 Top 15; SEAL; NIST CSF 2.0; ISO 27001:2022</t>
  </si>
  <si>
    <t xml:space="preserve">TIS-013 · Governance (lead-in)</t>
  </si>
  <si>
    <t xml:space="preserve">GV.RR-02</t>
  </si>
  <si>
    <t xml:space="preserve">A.5.2</t>
  </si>
  <si>
    <t xml:space="preserve">Enumerate on-chain roles (e.g., AccessControl events) and reconcile.</t>
  </si>
  <si>
    <t xml:space="preserve">UCR-181</t>
  </si>
  <si>
    <t xml:space="preserve">Prefer tokens whose privileged roles are held by multisig (or MPC) rather than single EOAs; flag EOA-held admin as high risk.</t>
  </si>
  <si>
    <t xml:space="preserve">Decentralize Privileged Roles</t>
  </si>
  <si>
    <t xml:space="preserve">TIS-014 · Decentralize Privileged Roles</t>
  </si>
  <si>
    <t xml:space="preserve">Check role holders on-chain are contracts with threshold signing.</t>
  </si>
  <si>
    <t xml:space="preserve">UCR-182</t>
  </si>
  <si>
    <t xml:space="preserve">Critical actions</t>
  </si>
  <si>
    <t xml:space="preserve">Identify the parties/contracts controlling pause, allow/deny lists, upgrades, minting, burning on behalf of users and role management.</t>
  </si>
  <si>
    <t xml:space="preserve">Identify Parties Controlling Critical Actions</t>
  </si>
  <si>
    <t xml:space="preserve">TIS-015 · Identify Parties Controlling Critical Actions</t>
  </si>
  <si>
    <t xml:space="preserve">UCR-372 [Related] (BSSC SCS v1 req-identify-governance-participants)</t>
  </si>
  <si>
    <t xml:space="preserve">Map each critical function to its controller on-chain.</t>
  </si>
  <si>
    <t xml:space="preserve">UCR-183</t>
  </si>
  <si>
    <t xml:space="preserve">Record multisig address, signer count, quorum and signer independence; monitor for signer/threshold changes.</t>
  </si>
  <si>
    <t xml:space="preserve">Document Multisig</t>
  </si>
  <si>
    <t xml:space="preserve">TIS-016 · Document Multisig</t>
  </si>
  <si>
    <t xml:space="preserve">GV.RR-02; DE.CM-09</t>
  </si>
  <si>
    <t xml:space="preserve">UCR-097 [Related] (SEAL Frameworks Multisig for Protocols)</t>
  </si>
  <si>
    <t xml:space="preserve">Verify threshold on-chain; confirm alerting on owner/threshold changes.</t>
  </si>
  <si>
    <t xml:space="preserve">UCR-184</t>
  </si>
  <si>
    <t xml:space="preserve">Where a DAO controls critical functions, document controllers, proposal/voting process, parameters and any project override capability.</t>
  </si>
  <si>
    <t xml:space="preserve">Document DAO Governance</t>
  </si>
  <si>
    <t xml:space="preserve">TIS-017 · Document DAO Governance</t>
  </si>
  <si>
    <t xml:space="preserve">UCR-370 [Related] (BSSC SCS v1 req-document-governance)</t>
  </si>
  <si>
    <t xml:space="preserve">Review DAO governance docs and on-chain governor parameters.</t>
  </si>
  <si>
    <t xml:space="preserve">UCR-185</t>
  </si>
  <si>
    <t xml:space="preserve">Upgrade risk</t>
  </si>
  <si>
    <t xml:space="preserve">Token contracts SHOULD NOT be upgradeable; treat any upgradeability as elevated listing risk requiring compensating controls.</t>
  </si>
  <si>
    <t xml:space="preserve">Not upgradable</t>
  </si>
  <si>
    <t xml:space="preserve">BSSC TIS v1 — 4. Upgradability</t>
  </si>
  <si>
    <t xml:space="preserve">TIS-018 · Not upgradable</t>
  </si>
  <si>
    <t xml:space="preserve">Risk rating reflects upgradeability.</t>
  </si>
  <si>
    <t xml:space="preserve">UCR-186</t>
  </si>
  <si>
    <t xml:space="preserve">Upgrade documentation</t>
  </si>
  <si>
    <t xml:space="preserve">If upgradeable, require the full upgrade documentation set before integration: upgradable components, voluntary user upgrades, timelocks, upgrade logic, upgrade process, upgrade communications and ERC-20 proxying.</t>
  </si>
  <si>
    <t xml:space="preserve">Not upgradable (conditional lead-in)</t>
  </si>
  <si>
    <t xml:space="preserve">TIS-019 · Not upgradable (conditional lead-in)</t>
  </si>
  <si>
    <t xml:space="preserve">UCR-374 [Related] (BSSC SCS v1 req-document-upgradability)</t>
  </si>
  <si>
    <t xml:space="preserve">Listing due-diligence checklist: confirm all upgrade items present.</t>
  </si>
  <si>
    <t xml:space="preserve">UCR-187</t>
  </si>
  <si>
    <t xml:space="preserve">Identify which components are upgradeable.</t>
  </si>
  <si>
    <t xml:space="preserve">Document upgradable components</t>
  </si>
  <si>
    <t xml:space="preserve">TIS-020 · Document upgradable components</t>
  </si>
  <si>
    <t xml:space="preserve">UCR-375 [Related] (BSSC SCS v1 req-document-upgradable-components)</t>
  </si>
  <si>
    <t xml:space="preserve">Compare documentation with proxy/implementation inspection.</t>
  </si>
  <si>
    <t xml:space="preserve">UCR-188</t>
  </si>
  <si>
    <t xml:space="preserve">Determine whether holders can upgrade voluntarily and plan integrator handling.</t>
  </si>
  <si>
    <t xml:space="preserve">Can users upgrade voluntarily</t>
  </si>
  <si>
    <t xml:space="preserve">TIS-021 · Can users upgrade voluntarily</t>
  </si>
  <si>
    <t xml:space="preserve">Review issuer statement.</t>
  </si>
  <si>
    <t xml:space="preserve">UCR-189</t>
  </si>
  <si>
    <t xml:space="preserve">Determine where upgrades are instant vs time-locked; require timelock for integrations where possible and monitor queued actions.</t>
  </si>
  <si>
    <t xml:space="preserve">Document Timelocks</t>
  </si>
  <si>
    <t xml:space="preserve">BSSC TIS; OWASP SCSVS; OWASP SC Top 10:2026; SEAL; NIST CSF 2.0; ISO 27001:2022</t>
  </si>
  <si>
    <t xml:space="preserve">TIS-022 · Document Timelocks</t>
  </si>
  <si>
    <t xml:space="preserve">Inspect timelock contract delay; verify monitoring of queued transactions.</t>
  </si>
  <si>
    <t xml:space="preserve">UCR-190</t>
  </si>
  <si>
    <t xml:space="preserve">Obtain the design logic of the upgrade mechanism.</t>
  </si>
  <si>
    <t xml:space="preserve">Document upgrade logic</t>
  </si>
  <si>
    <t xml:space="preserve">TIS-023 · Document upgrade logic</t>
  </si>
  <si>
    <t xml:space="preserve">UCR-377 [Related] (BSSC SCS v1 req-document-upgrade-logic)</t>
  </si>
  <si>
    <t xml:space="preserve">Review design doc.</t>
  </si>
  <si>
    <t xml:space="preserve">UCR-191</t>
  </si>
  <si>
    <t xml:space="preserve">Obtain how upgrades are approved and implemented (signers, reviews, audits).</t>
  </si>
  <si>
    <t xml:space="preserve">Document upgrade process</t>
  </si>
  <si>
    <t xml:space="preserve">TIS-024 · Document upgrade process</t>
  </si>
  <si>
    <t xml:space="preserve">UCR-378 [Related] (BSSC SCS v1 req-document-upgrade-process)</t>
  </si>
  <si>
    <t xml:space="preserve">Review upgrade approval process.</t>
  </si>
  <si>
    <t xml:space="preserve">UCR-192</t>
  </si>
  <si>
    <t xml:space="preserve">Establish an issuer→integrator channel for advance notice of upgrades.</t>
  </si>
  <si>
    <t xml:space="preserve">Document upgrade communication</t>
  </si>
  <si>
    <t xml:space="preserve">TIS-025 · Document upgrade communication</t>
  </si>
  <si>
    <t xml:space="preserve">UCR-379 [Related] (BSSC SCS v1 req-document-upgrade-comms)</t>
  </si>
  <si>
    <t xml:space="preserve">Confirm notification channel and SLA in issuer agreement.</t>
  </si>
  <si>
    <t xml:space="preserve">UCR-193</t>
  </si>
  <si>
    <t xml:space="preserve">Determine whether the ERC-20 implementation is direct or behind a proxy.</t>
  </si>
  <si>
    <t xml:space="preserve">Document ERC-20 upgradability</t>
  </si>
  <si>
    <t xml:space="preserve">TIS-026 · Document ERC-20 upgradability</t>
  </si>
  <si>
    <t xml:space="preserve">Bytecode/proxy inspection.</t>
  </si>
  <si>
    <t xml:space="preserve">UCR-194</t>
  </si>
  <si>
    <t xml:space="preserve">Security posture</t>
  </si>
  <si>
    <t xml:space="preserve">Obtain issuer's vulnerability disclosure process, emergency contacts (responsiveness/availability) and disaster recovery plans.</t>
  </si>
  <si>
    <t xml:space="preserve">Document Security Posture and Procedures</t>
  </si>
  <si>
    <t xml:space="preserve">BSSC TIS v1 — 5. Security Posture</t>
  </si>
  <si>
    <t xml:space="preserve">BSSC TIS; SEAL; CIS v8.1; NIST CSF 2.0; ISO 27001:2022</t>
  </si>
  <si>
    <t xml:space="preserve">TIS-027 · Document Security Posture and Procedures</t>
  </si>
  <si>
    <t xml:space="preserve">CIS 15.4</t>
  </si>
  <si>
    <t xml:space="preserve">GV.SC-06; RS.CO-02</t>
  </si>
  <si>
    <t xml:space="preserve">A.5.19; A.5.24</t>
  </si>
  <si>
    <t xml:space="preserve">UCR-289 [Related] (BSSC SCS v1 req-identify-security-contact)</t>
  </si>
  <si>
    <t xml:space="preserve">Review documents; run test emergency contact.</t>
  </si>
  <si>
    <t xml:space="preserve">UCR-195</t>
  </si>
  <si>
    <t xml:space="preserve">Code assurance</t>
  </si>
  <si>
    <t xml:space="preserve">Require at least one independent security review of the currently deployed token code; verify deployed bytecode matches reviewed code.</t>
  </si>
  <si>
    <t xml:space="preserve">Contract Security Review</t>
  </si>
  <si>
    <t xml:space="preserve">BSSC TIS; OWASP SCSVS; EthTrust; SEAL; CIS v8.1; NIST CSF 2.0; ISO 27001:2022</t>
  </si>
  <si>
    <t xml:space="preserve">TIS-028 · Contract Security Review</t>
  </si>
  <si>
    <t xml:space="preserve">EthTrust [Q]</t>
  </si>
  <si>
    <t xml:space="preserve">ID.RA-01; GV.SC-07</t>
  </si>
  <si>
    <t xml:space="preserve">UCR-135 [Related] (BSSC SCS v1 req-security-audit); UCR-149 [Related] (BSSC GSP v2 req-review-software)</t>
  </si>
  <si>
    <t xml:space="preserve">Review audit report; diff audited commit vs verified source.</t>
  </si>
  <si>
    <t xml:space="preserve">UCR-196</t>
  </si>
  <si>
    <t xml:space="preserve">Prefer tokens with an EEA EthTrust Security Level [Q] conformance claim.</t>
  </si>
  <si>
    <t xml:space="preserve">Contract Security Review (EthTrust)</t>
  </si>
  <si>
    <t xml:space="preserve">TIS-029 · Contract Security Review (EthTrust)</t>
  </si>
  <si>
    <t xml:space="preserve">EthTrust [Q] (conformance claim)</t>
  </si>
  <si>
    <t xml:space="preserve">Check presence of EthTrust [Q] claim.</t>
  </si>
  <si>
    <t xml:space="preserve">UCR-197</t>
  </si>
  <si>
    <t xml:space="preserve">Prefer tokens that publish all security reviews.</t>
  </si>
  <si>
    <t xml:space="preserve">Contract Security Review (publish)</t>
  </si>
  <si>
    <t xml:space="preserve">TIS-030 · Contract Security Review (publish)</t>
  </si>
  <si>
    <t xml:space="preserve">Confirm public availability of reviews.</t>
  </si>
  <si>
    <t xml:space="preserve">UCR-198</t>
  </si>
  <si>
    <t xml:space="preserve">Vulnerability disclosure</t>
  </si>
  <si>
    <t xml:space="preserve">Prefer tokens with an active bug bounty programme.</t>
  </si>
  <si>
    <t xml:space="preserve">Bug Bounty</t>
  </si>
  <si>
    <t xml:space="preserve">BSSC TIS; SEAL; NIST CSF 2.0; ISO 27001:2022</t>
  </si>
  <si>
    <t xml:space="preserve">TIS-031 · Bug Bounty</t>
  </si>
  <si>
    <t xml:space="preserve">ID.RA-08</t>
  </si>
  <si>
    <t xml:space="preserve">UCR-294 [Related] (BSSC SCS v1 req-bug-bounty)</t>
  </si>
  <si>
    <t xml:space="preserve">Verify active bounty listing.</t>
  </si>
  <si>
    <t xml:space="preserve">UCR-199</t>
  </si>
  <si>
    <t xml:space="preserve">Standard conformance</t>
  </si>
  <si>
    <t xml:space="preserve">Verify full ERC-20 interface implementation and return-value behaviour.</t>
  </si>
  <si>
    <t xml:space="preserve">Implement ERC-20 methods</t>
  </si>
  <si>
    <t xml:space="preserve">BSSC TIS v1 — 6. Token Behaviors</t>
  </si>
  <si>
    <t xml:space="preserve">TIS-032 · Implement ERC-20 methods</t>
  </si>
  <si>
    <t xml:space="preserve">Automated interface/conformance tests on fork.</t>
  </si>
  <si>
    <t xml:space="preserve">UCR-200</t>
  </si>
  <si>
    <t xml:space="preserve">Event integrity</t>
  </si>
  <si>
    <t xml:space="preserve">Verify every balance change emits a Transfer event (mint from 0x0, burn to 0x0) so deposit indexers stay accurate.</t>
  </si>
  <si>
    <t xml:space="preserve">req-balance-changes-create-transfer-events</t>
  </si>
  <si>
    <t xml:space="preserve">TIS-033 · req-balance-changes-create-transfer-events</t>
  </si>
  <si>
    <t xml:space="preserve">PR.PS-06; DE.CM-09</t>
  </si>
  <si>
    <t xml:space="preserve">Fork tests reconcile balances against Transfer logs.</t>
  </si>
  <si>
    <t xml:space="preserve">UCR-201</t>
  </si>
  <si>
    <t xml:space="preserve">Accept optional Mint/Burn events; ensure indexers handle them without double counting.</t>
  </si>
  <si>
    <t xml:space="preserve">Supply Changes Create Mint or Burn Events</t>
  </si>
  <si>
    <t xml:space="preserve">TIS-034 · Supply Changes Create Mint or Burn Events</t>
  </si>
  <si>
    <t xml:space="preserve">Indexer test with mint/burn.</t>
  </si>
  <si>
    <t xml:space="preserve">UCR-202</t>
  </si>
  <si>
    <t xml:space="preserve">Code safety</t>
  </si>
  <si>
    <t xml:space="preserve">Verify conformance to EthTrust [S] No Overflow/Underflow.</t>
  </si>
  <si>
    <t xml:space="preserve">No over/underflow</t>
  </si>
  <si>
    <t xml:space="preserve">BSSC TIS; OWASP SCSVS; OWASP SC Top 10:2026; EthTrust; NIST CSF 2.0; ISO 27001:2022</t>
  </si>
  <si>
    <t xml:space="preserve">TIS-035 · No over/underflow</t>
  </si>
  <si>
    <t xml:space="preserve">Audit evidence / static analysis (e.g., Slither).</t>
  </si>
  <si>
    <t xml:space="preserve">UCR-203</t>
  </si>
  <si>
    <t xml:space="preserve">Verify conformance to EthTrust [S] Check-Effects-Interactions.</t>
  </si>
  <si>
    <t xml:space="preserve">Implement C-E-I</t>
  </si>
  <si>
    <t xml:space="preserve">TIS-036 · Implement C-E-I</t>
  </si>
  <si>
    <t xml:space="preserve">Audit evidence / static analysis.</t>
  </si>
  <si>
    <t xml:space="preserve">UCR-204</t>
  </si>
  <si>
    <t xml:space="preserve">Token contracts SHOULD NOT implement a fallback function; flag any token that does.</t>
  </si>
  <si>
    <t xml:space="preserve">No fallback function</t>
  </si>
  <si>
    <t xml:space="preserve">TIS-037 · No fallback function</t>
  </si>
  <si>
    <t xml:space="preserve">ABI/bytecode review.</t>
  </si>
  <si>
    <t xml:space="preserve">UCR-205</t>
  </si>
  <si>
    <t xml:space="preserve">If a fallback exists, obtain documentation of when it reverts.</t>
  </si>
  <si>
    <t xml:space="preserve">No fallback function (if present)</t>
  </si>
  <si>
    <t xml:space="preserve">TIS-038 · No fallback function (if present)</t>
  </si>
  <si>
    <t xml:space="preserve">Review documentation; fork test.</t>
  </si>
  <si>
    <t xml:space="preserve">UCR-206</t>
  </si>
  <si>
    <t xml:space="preserve">Token contracts MUST NOT implement transfer hooks or hooks on any method (e.g., ERC-777-style callbacks); reject tokens that do.</t>
  </si>
  <si>
    <t xml:space="preserve">No transfer or method hooks</t>
  </si>
  <si>
    <t xml:space="preserve">MUST NOT</t>
  </si>
  <si>
    <t xml:space="preserve">TIS-039 · No transfer or method hooks</t>
  </si>
  <si>
    <t xml:space="preserve">Code review for hooks/callbacks.</t>
  </si>
  <si>
    <t xml:space="preserve">UCR-207</t>
  </si>
  <si>
    <t xml:space="preserve">Verify conformance to EthTrust [S] No tx.origin.</t>
  </si>
  <si>
    <t xml:space="preserve">No tx.origin</t>
  </si>
  <si>
    <t xml:space="preserve">TIS-040 · No tx.origin</t>
  </si>
  <si>
    <t xml:space="preserve">Static analysis for tx.origin.</t>
  </si>
  <si>
    <t xml:space="preserve">UCR-208</t>
  </si>
  <si>
    <t xml:space="preserve">Tokens MUST NOT use non-standard transaction signatures; any exception requires audit evidence (next control).</t>
  </si>
  <si>
    <t xml:space="preserve">Use standard signatures</t>
  </si>
  <si>
    <t xml:space="preserve">TIS-041 · Use standard signatures</t>
  </si>
  <si>
    <t xml:space="preserve">ABI review.</t>
  </si>
  <si>
    <t xml:space="preserve">UCR-209</t>
  </si>
  <si>
    <t xml:space="preserve">If non-standard signatures are used, require audit evidence covering them.</t>
  </si>
  <si>
    <t xml:space="preserve">Use standard signatures (audited)</t>
  </si>
  <si>
    <t xml:space="preserve">BSSC TIS; OWASP SCSVS; SEAL; NIST CSF 2.0; ISO 27001:2022</t>
  </si>
  <si>
    <t xml:space="preserve">TIS-042 · Use standard signatures (audited)</t>
  </si>
  <si>
    <t xml:space="preserve">Review audit scope.</t>
  </si>
  <si>
    <t xml:space="preserve">UCR-210</t>
  </si>
  <si>
    <t xml:space="preserve">Arithmetic</t>
  </si>
  <si>
    <t xml:space="preserve">Token math SHOULD NOT use 96-bit integers; flag tokens that do.</t>
  </si>
  <si>
    <t xml:space="preserve">No 96-bit integer operations</t>
  </si>
  <si>
    <t xml:space="preserve">TIS-043 · No 96-bit integer operations</t>
  </si>
  <si>
    <t xml:space="preserve">SC07; SC09</t>
  </si>
  <si>
    <t xml:space="preserve">UCR-211</t>
  </si>
  <si>
    <t xml:space="preserve">Obtain documented integer size for math operations; align integrator precision handling.</t>
  </si>
  <si>
    <t xml:space="preserve">Specified integer size</t>
  </si>
  <si>
    <t xml:space="preserve">TIS-044 · Specified integer size</t>
  </si>
  <si>
    <t xml:space="preserve">Review documentation and decimals handling tests.</t>
  </si>
  <si>
    <t xml:space="preserve">UCR-212</t>
  </si>
  <si>
    <t xml:space="preserve">If 96-bit integers are used, require documentation and evidence of precision/overflow protections.</t>
  </si>
  <si>
    <t xml:space="preserve">Specified integer size (96-bit)</t>
  </si>
  <si>
    <t xml:space="preserve">TIS-045 · Specified integer size (96-bit)</t>
  </si>
  <si>
    <t xml:space="preserve">Review documentation and tests.</t>
  </si>
  <si>
    <t xml:space="preserve">UCR-213</t>
  </si>
  <si>
    <t xml:space="preserve">Transfer limits</t>
  </si>
  <si>
    <t xml:space="preserve">Obtain and configure per-user per-timeframe transaction limits in integrator systems.</t>
  </si>
  <si>
    <t xml:space="preserve">Specify transaction limits</t>
  </si>
  <si>
    <t xml:space="preserve">TIS-046 · Specify transaction limits</t>
  </si>
  <si>
    <t xml:space="preserve">A.8.9</t>
  </si>
  <si>
    <t xml:space="preserve">Fork test against stated limits.</t>
  </si>
  <si>
    <t xml:space="preserve">UCR-214</t>
  </si>
  <si>
    <t xml:space="preserve">Obtain and configure per-transaction amount thresholds.</t>
  </si>
  <si>
    <t xml:space="preserve">Define transaction size limits</t>
  </si>
  <si>
    <t xml:space="preserve">TIS-047 · Define transaction size limits</t>
  </si>
  <si>
    <t xml:space="preserve">Fork test against stated thresholds.</t>
  </si>
  <si>
    <t xml:space="preserve">UCR-215</t>
  </si>
  <si>
    <t xml:space="preserve">Blocklist/freeze</t>
  </si>
  <si>
    <t xml:space="preserve">Verify transfers from blocked/frozen addresses revert.</t>
  </si>
  <si>
    <t xml:space="preserve">Restrict Transfers from Blocked or Frozen Accounts</t>
  </si>
  <si>
    <t xml:space="preserve">TIS-048 · Restrict Transfers from Blocked or Frozen Accounts</t>
  </si>
  <si>
    <t xml:space="preserve">Fork test transfer from blocked address.</t>
  </si>
  <si>
    <t xml:space="preserve">UCR-216</t>
  </si>
  <si>
    <t xml:space="preserve">Verify transactions interacting with blocked accounts revert with a clear error; map errors in integrator handling.</t>
  </si>
  <si>
    <t xml:space="preserve">Revert Blocked Transfers</t>
  </si>
  <si>
    <t xml:space="preserve">TIS-049 · Revert Blocked Transfers</t>
  </si>
  <si>
    <t xml:space="preserve">Fork test; inspect revert reason.</t>
  </si>
  <si>
    <t xml:space="preserve">UCR-217</t>
  </si>
  <si>
    <t xml:space="preserve">Determine whether blocked addresses can receive deposits; prevent customer sends to frozen addresses.</t>
  </si>
  <si>
    <t xml:space="preserve">Document Whether Blocked Accounts Can Receive Transfers</t>
  </si>
  <si>
    <t xml:space="preserve">TIS-050 · Document Whether Blocked Accounts Can Receive Transfers</t>
  </si>
  <si>
    <t xml:space="preserve">UCR-218</t>
  </si>
  <si>
    <t xml:space="preserve">Protocol assessment</t>
  </si>
  <si>
    <t xml:space="preserve">Document technical and non-technical responsibilities to each protocol (duties, SLAs, governance participation, disclosure).</t>
  </si>
  <si>
    <t xml:space="preserve">req-document-protocol-responsibilities</t>
  </si>
  <si>
    <t xml:space="preserve">NOS-008 · req-document-protocol-responsibilities</t>
  </si>
  <si>
    <t xml:space="preserve">Review responsibility matrix (RACI) per protocol.</t>
  </si>
  <si>
    <t xml:space="preserve">UCR-219</t>
  </si>
  <si>
    <t xml:space="preserve">Pilot every new protocol and client version on an official/controlled testnet to validate performance, interoperability and security before mainnet.</t>
  </si>
  <si>
    <t xml:space="preserve">req-use-testnet</t>
  </si>
  <si>
    <t xml:space="preserve">BSSC NOS; NIST CSF 2.0; ISO 27001:2022; DORA</t>
  </si>
  <si>
    <t xml:space="preserve">NOS-010 · req-use-testnet</t>
  </si>
  <si>
    <t xml:space="preserve">PR.PS-06; ID.IM-02</t>
  </si>
  <si>
    <t xml:space="preserve">A.8.31; A.8.29</t>
  </si>
  <si>
    <t xml:space="preserve">UCR-140 [Related] (BSSC SCS v1 req-use-testnets)</t>
  </si>
  <si>
    <t xml:space="preserve">Inspect testnet run evidence (metrics, test reports) preceding each mainnet deployment.</t>
  </si>
  <si>
    <t xml:space="preserve">UCR-220</t>
  </si>
  <si>
    <t xml:space="preserve">Cryptographic agility</t>
  </si>
  <si>
    <t xml:space="preserve">Maintain a cryptographic inventory per protocol (signature schemes, hash functions, key exchange).</t>
  </si>
  <si>
    <t xml:space="preserve">req-document-protocol-crypto</t>
  </si>
  <si>
    <t xml:space="preserve">NOS-012 · req-document-protocol-crypto</t>
  </si>
  <si>
    <t xml:space="preserve">ID.AM-08; PR.DS-01</t>
  </si>
  <si>
    <t xml:space="preserve">UCR-124 [Related] (BSSC SCS v1 req-document-cryptography); UCR-023 [Related] (BSSC GSP v2 req-crypto-agility)</t>
  </si>
  <si>
    <t xml:space="preserve">Review crypto inventory completeness against protocol specs.</t>
  </si>
  <si>
    <t xml:space="preserve">UCR-221</t>
  </si>
  <si>
    <t xml:space="preserve">Assess each protocol's crypto-agility and post-quantum migration roadmap as part of onboarding risk.</t>
  </si>
  <si>
    <t xml:space="preserve">req-evaluate-protocol-pqc-plan</t>
  </si>
  <si>
    <t xml:space="preserve">NOS-013 · req-evaluate-protocol-pqc-plan</t>
  </si>
  <si>
    <t xml:space="preserve">UCR-019 [Related] (BSSC GSP v2 req-monitor-crypto); UCR-126 [Related] (BSSC SCS v1 req-assess-cryptography-risk)</t>
  </si>
  <si>
    <t xml:space="preserve">Review PQC readiness section in protocol risk assessments.</t>
  </si>
  <si>
    <t xml:space="preserve">UCR-222</t>
  </si>
  <si>
    <t xml:space="preserve">Consensus</t>
  </si>
  <si>
    <t xml:space="preserve">Perform all node duties (attesting, proposing, executing) strictly per each network's documented best practices; codify in config baselines.</t>
  </si>
  <si>
    <t xml:space="preserve">req-follow-protocol-conventions</t>
  </si>
  <si>
    <t xml:space="preserve">BSSC NOS v2 — 2. Network Participation</t>
  </si>
  <si>
    <t xml:space="preserve">BSSC NOS; SEAL; NIST CSF 2.0; ISO 27001:2022</t>
  </si>
  <si>
    <t xml:space="preserve">NOS-014 · req-follow-protocol-conventions</t>
  </si>
  <si>
    <t xml:space="preserve">Compare node configs to protocol-recommended baselines; review duty performance metrics.</t>
  </si>
  <si>
    <t xml:space="preserve">UCR-223</t>
  </si>
  <si>
    <t xml:space="preserve">Ensure nodes track the canonical/most recent accepted chain; alert on forks or head divergence.</t>
  </si>
  <si>
    <t xml:space="preserve">req-follow-protocol-consensus</t>
  </si>
  <si>
    <t xml:space="preserve">NOS-015 · req-follow-protocol-consensus</t>
  </si>
  <si>
    <t xml:space="preserve">UCR-095 [Related] (OWASP SCSVS SCSVS-DEFI-1 (S10.1.B1))</t>
  </si>
  <si>
    <t xml:space="preserve">Review chain-head monitoring alerts and fork-handling runbook.</t>
  </si>
  <si>
    <t xml:space="preserve">UCR-224</t>
  </si>
  <si>
    <t xml:space="preserve">For non-attesting nodes, log chain-head data so it can be verified against independent reference sources.</t>
  </si>
  <si>
    <t xml:space="preserve">(explanatory text under req-follow-protocol-consensus)</t>
  </si>
  <si>
    <t xml:space="preserve">NOS-016 · (explanatory text under req-follow-protocol-consensus)</t>
  </si>
  <si>
    <t xml:space="preserve">A.8.15</t>
  </si>
  <si>
    <t xml:space="preserve">Sample chain-head logs and compare to independent explorer/reference node.</t>
  </si>
  <si>
    <t xml:space="preserve">UCR-225</t>
  </si>
  <si>
    <t xml:space="preserve">Rewards and slashing</t>
  </si>
  <si>
    <t xml:space="preserve">Configure fee recipients/reward addresses so incentives are received per the chain's established protocol.</t>
  </si>
  <si>
    <t xml:space="preserve">req-follow-reward-conventions</t>
  </si>
  <si>
    <t xml:space="preserve">NOS-017 · req-follow-reward-conventions</t>
  </si>
  <si>
    <t xml:space="preserve">Reconcile configured reward addresses against on-chain receipts.</t>
  </si>
  <si>
    <t xml:space="preserve">UCR-226</t>
  </si>
  <si>
    <t xml:space="preserve">Maintain a verifiable, tamper-evident log of all reward and incentive events, reconciled to on-chain data.</t>
  </si>
  <si>
    <t xml:space="preserve">req-log-rewards</t>
  </si>
  <si>
    <t xml:space="preserve">BSSC NOS; SEAL; CCSS v9.0; NIST CSF 2.0; ISO 27001:2022</t>
  </si>
  <si>
    <t xml:space="preserve">NOS-018 · req-log-rewards</t>
  </si>
  <si>
    <t xml:space="preserve">DE.CM-09; PR.PS-04</t>
  </si>
  <si>
    <t xml:space="preserve">Perform reward reconciliation for a sample period.</t>
  </si>
  <si>
    <t xml:space="preserve">UCR-227</t>
  </si>
  <si>
    <t xml:space="preserve">Implement and document double-signing protections (slashing-protection DB, single-active-signer locks, fencing) especially during failover.</t>
  </si>
  <si>
    <t xml:space="preserve">req-document-doublesign-controls</t>
  </si>
  <si>
    <t xml:space="preserve">NOS-019 · req-document-doublesign-controls</t>
  </si>
  <si>
    <t xml:space="preserve">A.8.14</t>
  </si>
  <si>
    <t xml:space="preserve">Review slashing-protection config; observe a failover test with no duplicate signing.</t>
  </si>
  <si>
    <t xml:space="preserve">UCR-228</t>
  </si>
  <si>
    <t xml:space="preserve">Implement and document controls preventing slashing/penalties for missed duties (liveness monitoring, redundancy, maintenance windows).</t>
  </si>
  <si>
    <t xml:space="preserve">req-document-anti-slashing-controls</t>
  </si>
  <si>
    <t xml:space="preserve">NOS-020 · req-document-anti-slashing-controls</t>
  </si>
  <si>
    <t xml:space="preserve">PR.IR-03; DE.CM-01</t>
  </si>
  <si>
    <t xml:space="preserve">Review penalty history and liveness alerting configuration.</t>
  </si>
  <si>
    <t xml:space="preserve">UCR-229</t>
  </si>
  <si>
    <t xml:space="preserve">Network topology</t>
  </si>
  <si>
    <t xml:space="preserve">Maintain curated, diverse boot-peer lists to protect against eclipse/network fragmentation.</t>
  </si>
  <si>
    <t xml:space="preserve">req-maintain-boot-peers</t>
  </si>
  <si>
    <t xml:space="preserve">NOS-021 · req-maintain-boot-peers</t>
  </si>
  <si>
    <t xml:space="preserve">Inspect boot-peer lists and review cadence.</t>
  </si>
  <si>
    <t xml:space="preserve">UCR-230</t>
  </si>
  <si>
    <t xml:space="preserve">Configure peer discovery appropriately per node role (enable on discoverable nodes; disable on sentry-protected validators).</t>
  </si>
  <si>
    <t xml:space="preserve">req-configure-discovery</t>
  </si>
  <si>
    <t xml:space="preserve">NOS-022 · req-configure-discovery</t>
  </si>
  <si>
    <t xml:space="preserve">Review discovery flags per node role.</t>
  </si>
  <si>
    <t xml:space="preserve">UCR-231</t>
  </si>
  <si>
    <t xml:space="preserve">Periodically verify the discoverability configuration of all nodes (external scans vs intended state).</t>
  </si>
  <si>
    <t xml:space="preserve">req-verify-discovery-configuration</t>
  </si>
  <si>
    <t xml:space="preserve">NOS-023 · req-verify-discovery-configuration</t>
  </si>
  <si>
    <t xml:space="preserve">DE.CM-01</t>
  </si>
  <si>
    <t xml:space="preserve">Review external peer-scan results versus config inventory.</t>
  </si>
  <si>
    <t xml:space="preserve">UCR-232</t>
  </si>
  <si>
    <t xml:space="preserve">Decentralization</t>
  </si>
  <si>
    <t xml:space="preserve">Cap controlled consensus power at ≤50% hash power (PoW) and ≤33% stake (PoS), with equivalent limits on bridge validators; count subsidiaries, white-label and sub-operator arrangements.</t>
  </si>
  <si>
    <t xml:space="preserve">req-limit-consensus-power</t>
  </si>
  <si>
    <t xml:space="preserve">MUST / MUST NOT</t>
  </si>
  <si>
    <t xml:space="preserve">NOS-024 · req-limit-consensus-power</t>
  </si>
  <si>
    <t xml:space="preserve">GV.RM-04</t>
  </si>
  <si>
    <t xml:space="preserve">UCR-164 [Related] (OWASP SCSVS SCSVS-BRIDGE)</t>
  </si>
  <si>
    <t xml:space="preserve">Compute aggregated stake/hash share across all controlled entities; review governance limits.</t>
  </si>
  <si>
    <t xml:space="preserve">UCR-233</t>
  </si>
  <si>
    <t xml:space="preserve">Client diversity</t>
  </si>
  <si>
    <t xml:space="preserve">Deploy diverse client implementations (execution and consensus) where available.</t>
  </si>
  <si>
    <t xml:space="preserve">req-use-multiple-clients</t>
  </si>
  <si>
    <t xml:space="preserve">BSSC NOS v2 — 3. Resilience and Performance</t>
  </si>
  <si>
    <t xml:space="preserve">NOS-025 · req-use-multiple-clients</t>
  </si>
  <si>
    <t xml:space="preserve">DORA Art. 12</t>
  </si>
  <si>
    <t xml:space="preserve">Review client distribution report.</t>
  </si>
  <si>
    <t xml:space="preserve">UCR-234</t>
  </si>
  <si>
    <t xml:space="preserve">Do not run any single client on more than two-thirds of the deployment; alert when the threshold is approached.</t>
  </si>
  <si>
    <t xml:space="preserve">req-no-client-supermajority</t>
  </si>
  <si>
    <t xml:space="preserve">NOS-026 · req-no-client-supermajority</t>
  </si>
  <si>
    <t xml:space="preserve">Compute client share per network; check threshold alerting.</t>
  </si>
  <si>
    <t xml:space="preserve">UCR-235</t>
  </si>
  <si>
    <t xml:space="preserve">Software updates</t>
  </si>
  <si>
    <t xml:space="preserve">Document procedures for deploying, recovering and updating nodes (IaC, snapshots, resync).</t>
  </si>
  <si>
    <t xml:space="preserve">req-document-recovery</t>
  </si>
  <si>
    <t xml:space="preserve">NOS-031 · req-document-recovery</t>
  </si>
  <si>
    <t xml:space="preserve">CIS 7.3; CIS 7.4</t>
  </si>
  <si>
    <t xml:space="preserve">RC.RP-01; PR.PS-02</t>
  </si>
  <si>
    <t xml:space="preserve">Review runbooks; observe a rebuild-from-scratch exercise.</t>
  </si>
  <si>
    <t xml:space="preserve">UCR-236</t>
  </si>
  <si>
    <t xml:space="preserve">Record and justify any deviation from documented deployment, recovery or update procedures.</t>
  </si>
  <si>
    <t xml:space="preserve">req-document-procedural-deviation</t>
  </si>
  <si>
    <t xml:space="preserve">NOS-032 · req-document-procedural-deviation</t>
  </si>
  <si>
    <t xml:space="preserve">ID.IM-03</t>
  </si>
  <si>
    <t xml:space="preserve">Sample change tickets for deviation records.</t>
  </si>
  <si>
    <t xml:space="preserve">UCR-237</t>
  </si>
  <si>
    <t xml:space="preserve">Document contingency procedures for cryptographic migration, including post-quantum transitions.</t>
  </si>
  <si>
    <t xml:space="preserve">req-document-crypto-migration</t>
  </si>
  <si>
    <t xml:space="preserve">NOS-033 · req-document-crypto-migration</t>
  </si>
  <si>
    <t xml:space="preserve">ID.IM-04</t>
  </si>
  <si>
    <t xml:space="preserve">Review crypto-migration plan.</t>
  </si>
  <si>
    <t xml:space="preserve">UCR-238</t>
  </si>
  <si>
    <t xml:space="preserve">Maintain operational readiness to adopt updated cryptographic schemes on protocol governance timelines.</t>
  </si>
  <si>
    <t xml:space="preserve">req-prepare-crypto-migration</t>
  </si>
  <si>
    <t xml:space="preserve">NOS-034 · req-prepare-crypto-migration</t>
  </si>
  <si>
    <t xml:space="preserve">Review readiness assessment / tabletop on crypto upgrade.</t>
  </si>
  <si>
    <t xml:space="preserve">UCR-239</t>
  </si>
  <si>
    <t xml:space="preserve">Node capacity</t>
  </si>
  <si>
    <t xml:space="preserve">Provision sufficient CPU, memory, disk space/IOPS and bandwidth per protocol requirements with capacity alerts.</t>
  </si>
  <si>
    <t xml:space="preserve">req-provision-nodes</t>
  </si>
  <si>
    <t xml:space="preserve">NOS-035 · req-provision-nodes</t>
  </si>
  <si>
    <t xml:space="preserve">A.8.6</t>
  </si>
  <si>
    <t xml:space="preserve">Compare node specs to protocol requirements; review capacity alerts.</t>
  </si>
  <si>
    <t xml:space="preserve">UCR-240</t>
  </si>
  <si>
    <t xml:space="preserve">Document how nodes withstand activity spikes (forks, rushes) and reassess at least annually.</t>
  </si>
  <si>
    <t xml:space="preserve">req-resilient-nodes</t>
  </si>
  <si>
    <t xml:space="preserve">NOS-036 · req-resilient-nodes</t>
  </si>
  <si>
    <t xml:space="preserve">Review load test results and annual reassessment record.</t>
  </si>
  <si>
    <t xml:space="preserve">UCR-241</t>
  </si>
  <si>
    <t xml:space="preserve">Encrypt/authenticate node-to-node and node-to-signer communication (mTLS, VPN, private links) against MITM and DoS.</t>
  </si>
  <si>
    <t xml:space="preserve">req-secure-node-communication</t>
  </si>
  <si>
    <t xml:space="preserve">NOS-039 · req-secure-node-communication</t>
  </si>
  <si>
    <t xml:space="preserve">A.8.20; A.8.21</t>
  </si>
  <si>
    <t xml:space="preserve">Inspect TLS/mTLS configuration and network diagrams.</t>
  </si>
  <si>
    <t xml:space="preserve">UCR-242</t>
  </si>
  <si>
    <t xml:space="preserve">Register any unencrypted channel used for performance reasons with a documented risk assessment.</t>
  </si>
  <si>
    <t xml:space="preserve">req-document-plaintext-communication</t>
  </si>
  <si>
    <t xml:space="preserve">NOS-040 · req-document-plaintext-communication</t>
  </si>
  <si>
    <t xml:space="preserve">ID.RA-05</t>
  </si>
  <si>
    <t xml:space="preserve">A.8.21</t>
  </si>
  <si>
    <t xml:space="preserve">Review plaintext channel register and risk acceptances.</t>
  </si>
  <si>
    <t xml:space="preserve">UCR-243</t>
  </si>
  <si>
    <t xml:space="preserve">Restrict node control planes (admin APIs, SSH, orchestration) to authorized personnel via MFA, bastions and RBAC.</t>
  </si>
  <si>
    <t xml:space="preserve">req-restrict-control-access</t>
  </si>
  <si>
    <t xml:space="preserve">NOS-041 · req-restrict-control-access</t>
  </si>
  <si>
    <t xml:space="preserve">CIS 6.5; CIS 12.2</t>
  </si>
  <si>
    <t xml:space="preserve">A.8.2; A.8.5</t>
  </si>
  <si>
    <t xml:space="preserve">UCR-252 [Related] (BSSC GSP v2 req-verify-privileged-access)</t>
  </si>
  <si>
    <t xml:space="preserve">Review access lists, MFA enforcement and bastion logs.</t>
  </si>
  <si>
    <t xml:space="preserve">UCR-244</t>
  </si>
  <si>
    <t xml:space="preserve">Apply least privilege across all key management components.</t>
  </si>
  <si>
    <t xml:space="preserve">KMS-GEN-12</t>
  </si>
  <si>
    <t xml:space="preserve">KMS-012 · KMS-GEN-12</t>
  </si>
  <si>
    <t xml:space="preserve">A.8.2; A.5.15</t>
  </si>
  <si>
    <t xml:space="preserve">UCR-380 [Related] (BSSC SCS v1 req-limit-privileged-roles); UCR-249 [Related] (BSSC GSP v2 req-least-privilege)</t>
  </si>
  <si>
    <t xml:space="preserve">Access review sample.</t>
  </si>
  <si>
    <t xml:space="preserve">UCR-245</t>
  </si>
  <si>
    <t xml:space="preserve">Catalogue holders of Privileged Role keys and analyse for excessive access concentration.</t>
  </si>
  <si>
    <t xml:space="preserve">KMS-GEN-13</t>
  </si>
  <si>
    <t xml:space="preserve">KMS-013 · KMS-GEN-13</t>
  </si>
  <si>
    <t xml:space="preserve">CIS 5.1; CIS 5.4</t>
  </si>
  <si>
    <t xml:space="preserve">ID.AM-05; PR.AA-05</t>
  </si>
  <si>
    <t xml:space="preserve">Review privileged key-holder register.</t>
  </si>
  <si>
    <t xml:space="preserve">UCR-246</t>
  </si>
  <si>
    <t xml:space="preserve">Review key management access controls regularly (at least semi-annually for privileged access).</t>
  </si>
  <si>
    <t xml:space="preserve">KMS-GEN-14</t>
  </si>
  <si>
    <t xml:space="preserve">KMS-014 · KMS-GEN-14</t>
  </si>
  <si>
    <t xml:space="preserve">CIS 5.1; CIS 6.8</t>
  </si>
  <si>
    <t xml:space="preserve">UCR-250 [Related] (BSSC GSP v2 req-review-access)</t>
  </si>
  <si>
    <t xml:space="preserve">Review evidence of completed access reviews.</t>
  </si>
  <si>
    <t xml:space="preserve">UCR-247</t>
  </si>
  <si>
    <t xml:space="preserve">Restrict key access by role/responsibility to authorised personnel only.</t>
  </si>
  <si>
    <t xml:space="preserve">KMS-GEN-43</t>
  </si>
  <si>
    <t xml:space="preserve">KMS-043 · KMS-GEN-43</t>
  </si>
  <si>
    <t xml:space="preserve">CIS 6.1; CIS 6.2; CIS 6.8</t>
  </si>
  <si>
    <t xml:space="preserve">A.5.15; A.8.2</t>
  </si>
  <si>
    <t xml:space="preserve">RBAC review.</t>
  </si>
  <si>
    <t xml:space="preserve">UCR-248</t>
  </si>
  <si>
    <t xml:space="preserve">Key-holder lifecycle</t>
  </si>
  <si>
    <t xml:space="preserve">Define and review key-holder onboarding, operation and offboarding policies.</t>
  </si>
  <si>
    <t xml:space="preserve">KMS-KU-03</t>
  </si>
  <si>
    <t xml:space="preserve">KMS-076 · KMS-KU-03</t>
  </si>
  <si>
    <t xml:space="preserve">CIS 6.1; CIS 6.2</t>
  </si>
  <si>
    <t xml:space="preserve">PR.AA-01; GV.RR-04</t>
  </si>
  <si>
    <t xml:space="preserve">A.5.18; A.6.5</t>
  </si>
  <si>
    <t xml:space="preserve">Joiner/leaver sample.</t>
  </si>
  <si>
    <t xml:space="preserve">UCR-249</t>
  </si>
  <si>
    <t xml:space="preserve">Apply least privilege to all functions affecting correct system behaviour.</t>
  </si>
  <si>
    <t xml:space="preserve">req-least-privilege</t>
  </si>
  <si>
    <t xml:space="preserve">BSSC GSP; SEAL; CIS v8.1; NIST CSF 2.0; ISO 27001:2022</t>
  </si>
  <si>
    <t xml:space="preserve">GSP-019 · req-least-privilege</t>
  </si>
  <si>
    <t xml:space="preserve">UCR-380 [Related] (BSSC SCS v1 req-limit-privileged-roles); UCR-244 [Related] (BSSC KMS v1 KMS-GEN-12)</t>
  </si>
  <si>
    <t xml:space="preserve">Access review.</t>
  </si>
  <si>
    <t xml:space="preserve">UCR-250</t>
  </si>
  <si>
    <t xml:space="preserve">Review production access annually and privileged access every six months.</t>
  </si>
  <si>
    <t xml:space="preserve">req-review-access</t>
  </si>
  <si>
    <t xml:space="preserve">GSP-020 · req-review-access</t>
  </si>
  <si>
    <t xml:space="preserve">UCR-246 [Related] (BSSC KMS v1 KMS-GEN-14)</t>
  </si>
  <si>
    <t xml:space="preserve">UCR-251</t>
  </si>
  <si>
    <t xml:space="preserve">Revise access on role change and termination promptly.</t>
  </si>
  <si>
    <t xml:space="preserve">req-review-individual-access</t>
  </si>
  <si>
    <t xml:space="preserve">GSP-022 · req-review-individual-access</t>
  </si>
  <si>
    <t xml:space="preserve">Joiner/mover/leaver sample.</t>
  </si>
  <si>
    <t xml:space="preserve">UCR-252</t>
  </si>
  <si>
    <t xml:space="preserve">Require step-up verification (phishing-resistant MFA) for admin access and audit privileged use.</t>
  </si>
  <si>
    <t xml:space="preserve">req-verify-privileged-access</t>
  </si>
  <si>
    <t xml:space="preserve">GSP-023 · req-verify-privileged-access</t>
  </si>
  <si>
    <t xml:space="preserve">CIS 6.5; CIS 5.4</t>
  </si>
  <si>
    <t xml:space="preserve">PR.AA-03</t>
  </si>
  <si>
    <t xml:space="preserve">A.8.5; A.8.2</t>
  </si>
  <si>
    <t xml:space="preserve">UCR-243 [Related] (BSSC NOS v2 req-restrict-control-access); UCR-357 [Related] (SEAL Frameworks Awareness)</t>
  </si>
  <si>
    <t xml:space="preserve">MFA config; PAM logs.</t>
  </si>
  <si>
    <t xml:space="preserve">UCR-253</t>
  </si>
  <si>
    <t xml:space="preserve">Document and enforce password standards per NIST SP 800-63B (minimum length, breached-password screening, no forced composition rules) alongside MFA.</t>
  </si>
  <si>
    <t xml:space="preserve">req-password-standards</t>
  </si>
  <si>
    <t xml:space="preserve">GSP-031 · req-password-standards</t>
  </si>
  <si>
    <t xml:space="preserve">CIS 5.2</t>
  </si>
  <si>
    <t xml:space="preserve">A.5.17</t>
  </si>
  <si>
    <t xml:space="preserve">IdP policy.</t>
  </si>
  <si>
    <t xml:space="preserve">UCR-254</t>
  </si>
  <si>
    <t xml:space="preserve">Secrets management (non-key credentials)</t>
  </si>
  <si>
    <t xml:space="preserve">Store API keys, RPC/exchange credentials, cloud and CI secrets in a managed vault with least-privilege access, rotation, and leak detection; never in code or chat.</t>
  </si>
  <si>
    <t xml:space="preserve">SEAL Frameworks — Infrastructure</t>
  </si>
  <si>
    <t xml:space="preserve">OWASP Web3 Top 15; SEAL; CIS v8.1; NIST CSF 2.0; ISO 27001:2022</t>
  </si>
  <si>
    <t xml:space="preserve">WA02; WA07</t>
  </si>
  <si>
    <t xml:space="preserve">Infrastructure; DevSecOps</t>
  </si>
  <si>
    <t xml:space="preserve">CIS 3.11; CIS 16.1</t>
  </si>
  <si>
    <t xml:space="preserve">A.5.17; A.8.24</t>
  </si>
  <si>
    <t xml:space="preserve">UCR-332 [Related] (BSSC GSP v2 req-secure-software)</t>
  </si>
  <si>
    <t xml:space="preserve">Vault inventory; secret-scan results; rotation log.</t>
  </si>
  <si>
    <t xml:space="preserve">UCR-255</t>
  </si>
  <si>
    <t xml:space="preserve">Activity logging</t>
  </si>
  <si>
    <t xml:space="preserve">Retain node logs ≥90 days (or longer per regulation/policy) and security-relevant logs (access, auth, config changes) ≥180 days.</t>
  </si>
  <si>
    <t xml:space="preserve">req-retain-logs</t>
  </si>
  <si>
    <t xml:space="preserve">MUST / SHOULD</t>
  </si>
  <si>
    <t xml:space="preserve">NOS-043 · req-retain-logs</t>
  </si>
  <si>
    <t xml:space="preserve">CIS 8.10</t>
  </si>
  <si>
    <t xml:space="preserve">UCR-270 [Related] (BSSC GSP v2 req-event-logs); UCR-263 [Related] (BSSC KMS v1 KMS-GEN-10)</t>
  </si>
  <si>
    <t xml:space="preserve">Verify retention settings in log platform; retrieve a 180-day-old security log.</t>
  </si>
  <si>
    <t xml:space="preserve">UCR-256</t>
  </si>
  <si>
    <t xml:space="preserve">Aggregate node logs into a central SIEM/log platform.</t>
  </si>
  <si>
    <t xml:space="preserve">req-aggregate-logs</t>
  </si>
  <si>
    <t xml:space="preserve">NOS-044 · req-aggregate-logs</t>
  </si>
  <si>
    <t xml:space="preserve">CIS 8.9</t>
  </si>
  <si>
    <t xml:space="preserve">DE.AE-03</t>
  </si>
  <si>
    <t xml:space="preserve">A.8.15; A.8.16</t>
  </si>
  <si>
    <t xml:space="preserve">Confirm all nodes forward logs to SIEM.</t>
  </si>
  <si>
    <t xml:space="preserve">UCR-257</t>
  </si>
  <si>
    <t xml:space="preserve">Suppress or sanitize keys, secrets and PII in logs; scan logs for leaked secrets.</t>
  </si>
  <si>
    <t xml:space="preserve">req-dont-log-pii</t>
  </si>
  <si>
    <t xml:space="preserve">NOS-045 · req-dont-log-pii</t>
  </si>
  <si>
    <t xml:space="preserve">CIS 8.2; CIS 3.3</t>
  </si>
  <si>
    <t xml:space="preserve">A.8.11; A.8.15</t>
  </si>
  <si>
    <t xml:space="preserve">UCR-262 [Related] (BSSC KMS v1 KMS-GEN-08)</t>
  </si>
  <si>
    <t xml:space="preserve">Run secret/PII scanner on log samples.</t>
  </si>
  <si>
    <t xml:space="preserve">UCR-258</t>
  </si>
  <si>
    <t xml:space="preserve">Apply strict RBAC and immutability to logging systems.</t>
  </si>
  <si>
    <t xml:space="preserve">req-restrict-log-access</t>
  </si>
  <si>
    <t xml:space="preserve">NOS-046 · req-restrict-log-access</t>
  </si>
  <si>
    <t xml:space="preserve">CIS 8.9; CIS 3.3</t>
  </si>
  <si>
    <t xml:space="preserve">PR.AA-05; PR.PS-04</t>
  </si>
  <si>
    <t xml:space="preserve">Review log platform access lists and immutability settings.</t>
  </si>
  <si>
    <t xml:space="preserve">UCR-259</t>
  </si>
  <si>
    <t xml:space="preserve">Log all access events to nodes and control planes and review them regularly for unauthorized activity.</t>
  </si>
  <si>
    <t xml:space="preserve">req-log-access</t>
  </si>
  <si>
    <t xml:space="preserve">NOS-047 · req-log-access</t>
  </si>
  <si>
    <t xml:space="preserve">CIS 8.5; CIS 8.11</t>
  </si>
  <si>
    <t xml:space="preserve">DE.CM-03</t>
  </si>
  <si>
    <t xml:space="preserve">Review access-log review records and alerts.</t>
  </si>
  <si>
    <t xml:space="preserve">UCR-260</t>
  </si>
  <si>
    <t xml:space="preserve">Auditability</t>
  </si>
  <si>
    <t xml:space="preserve">Ensure every key management component is auditable.</t>
  </si>
  <si>
    <t xml:space="preserve">KMS-GEN-06</t>
  </si>
  <si>
    <t xml:space="preserve">KMS-006 · KMS-GEN-06</t>
  </si>
  <si>
    <t xml:space="preserve">CIS 8.2; CIS 8.9</t>
  </si>
  <si>
    <t xml:space="preserve">Confirm logging coverage inventory.</t>
  </si>
  <si>
    <t xml:space="preserve">UCR-261</t>
  </si>
  <si>
    <t xml:space="preserve">Record when Critical Actions occur and who authorised/executed them.</t>
  </si>
  <si>
    <t xml:space="preserve">KMS-GEN-07</t>
  </si>
  <si>
    <t xml:space="preserve">KMS-007 · KMS-GEN-07</t>
  </si>
  <si>
    <t xml:space="preserve">PR.PS-04; DE.CM-03</t>
  </si>
  <si>
    <t xml:space="preserve">Sample Critical Action log entries.</t>
  </si>
  <si>
    <t xml:space="preserve">UCR-262</t>
  </si>
  <si>
    <t xml:space="preserve">Never write key material, seeds, shares or sensitive values to logs; scan logs for secrets.</t>
  </si>
  <si>
    <t xml:space="preserve">KMS-GEN-08</t>
  </si>
  <si>
    <t xml:space="preserve">KMS-008 · KMS-GEN-08</t>
  </si>
  <si>
    <t xml:space="preserve">UCR-257 [Related] (BSSC NOS v2 req-dont-log-pii)</t>
  </si>
  <si>
    <t xml:space="preserve">Secret-scan log stores.</t>
  </si>
  <si>
    <t xml:space="preserve">UCR-263</t>
  </si>
  <si>
    <t xml:space="preserve">Protect audit logs from tampering and unauthorised access (WORM, hash-chaining, RBAC).</t>
  </si>
  <si>
    <t xml:space="preserve">KMS-GEN-10</t>
  </si>
  <si>
    <t xml:space="preserve">KMS-010 · KMS-GEN-10</t>
  </si>
  <si>
    <t xml:space="preserve">UCR-255 [Related] (BSSC NOS v2 req-retain-logs); UCR-270 [Related] (BSSC GSP v2 req-event-logs)</t>
  </si>
  <si>
    <t xml:space="preserve">Verify immutability settings and access lists.</t>
  </si>
  <si>
    <t xml:space="preserve">UCR-264</t>
  </si>
  <si>
    <t xml:space="preserve">Monitor and alert on incidents and abnormal behaviour for automated key components.</t>
  </si>
  <si>
    <t xml:space="preserve">KMS-GEN-11</t>
  </si>
  <si>
    <t xml:space="preserve">KMS-011 · KMS-GEN-11</t>
  </si>
  <si>
    <t xml:space="preserve">CIS 13.1</t>
  </si>
  <si>
    <t xml:space="preserve">DE.CM-09; DE.AE-02</t>
  </si>
  <si>
    <t xml:space="preserve">UCR-266 [Related] (BSSC SCS v1 req-use-monitoring); UCR-271 [Related] (BSSC GSP v2 req-monitor-realtime)</t>
  </si>
  <si>
    <t xml:space="preserve">Review alert rules and recent alert handling.</t>
  </si>
  <si>
    <t xml:space="preserve">UCR-265</t>
  </si>
  <si>
    <t xml:space="preserve">Usage logging</t>
  </si>
  <si>
    <t xml:space="preserve">Log key access/usage with automated alerting or regular manual review.</t>
  </si>
  <si>
    <t xml:space="preserve">KMS-KU-04</t>
  </si>
  <si>
    <t xml:space="preserve">KMS-077 · KMS-KU-04</t>
  </si>
  <si>
    <t xml:space="preserve">CIS 8.2; CIS 8.11</t>
  </si>
  <si>
    <t xml:space="preserve">Alert rule review; sample review records.</t>
  </si>
  <si>
    <t xml:space="preserve">UCR-266</t>
  </si>
  <si>
    <t xml:space="preserve">Deploy on-chain monitoring alerting responsible parties to identified risks (e.g., Forta/OpenZeppelin Defender/Hypernative).</t>
  </si>
  <si>
    <t xml:space="preserve">req-use-monitoring</t>
  </si>
  <si>
    <t xml:space="preserve">BSSC SCS; SEAL; CIS v8.1; NIST CSF 2.0; ISO 27001:2022</t>
  </si>
  <si>
    <t xml:space="preserve">SCS-049 · req-use-monitoring</t>
  </si>
  <si>
    <t xml:space="preserve">UCR-271 [Related] (BSSC GSP v2 req-monitor-realtime); UCR-264 [Related] (BSSC KMS v1 KMS-GEN-11)</t>
  </si>
  <si>
    <t xml:space="preserve">Monitor rules mapped to risk register; alert test.</t>
  </si>
  <si>
    <t xml:space="preserve">UCR-267</t>
  </si>
  <si>
    <t xml:space="preserve">Threat intelligence</t>
  </si>
  <si>
    <t xml:space="preserve">Subscribe to and integrate reputable threat intelligence (Crypto-ISAC, SEAL-ISAC, chain analytics).</t>
  </si>
  <si>
    <t xml:space="preserve">req-monitor-threat-intel</t>
  </si>
  <si>
    <t xml:space="preserve">GSP-012 · req-monitor-threat-intel</t>
  </si>
  <si>
    <t xml:space="preserve">ID.RA-02</t>
  </si>
  <si>
    <t xml:space="preserve">DORA Art. 45</t>
  </si>
  <si>
    <t xml:space="preserve">Feed subscriptions and integration.</t>
  </si>
  <si>
    <t xml:space="preserve">UCR-268</t>
  </si>
  <si>
    <t xml:space="preserve">Run regular, documented threat hunting.</t>
  </si>
  <si>
    <t xml:space="preserve">req-hunt-threats</t>
  </si>
  <si>
    <t xml:space="preserve">BSSC GSP; SEAL; CIS v8.1; NIST CSF 2.0; ISO 27001:2022; DORA</t>
  </si>
  <si>
    <t xml:space="preserve">GSP-013 · req-hunt-threats</t>
  </si>
  <si>
    <t xml:space="preserve">DE.AE-02</t>
  </si>
  <si>
    <t xml:space="preserve">A.5.7; A.8.16</t>
  </si>
  <si>
    <t xml:space="preserve">Hunt reports.</t>
  </si>
  <si>
    <t xml:space="preserve">UCR-269</t>
  </si>
  <si>
    <t xml:space="preserve">Establish protocols for sharing threat information with peers (TLP).</t>
  </si>
  <si>
    <t xml:space="preserve">req-share-threat-intel</t>
  </si>
  <si>
    <t xml:space="preserve">GSP-014 · req-share-threat-intel</t>
  </si>
  <si>
    <t xml:space="preserve">A.5.6</t>
  </si>
  <si>
    <t xml:space="preserve">Sharing agreements.</t>
  </si>
  <si>
    <t xml:space="preserve">UCR-270</t>
  </si>
  <si>
    <t xml:space="preserve">Log all security events in production systems and applications.</t>
  </si>
  <si>
    <t xml:space="preserve">req-event-logs</t>
  </si>
  <si>
    <t xml:space="preserve">BSSC GSP; SEAL; CCSS v9.0; CIS v8.1; NIST CSF 2.0; ISO 27001:2022</t>
  </si>
  <si>
    <t xml:space="preserve">GSP-036 · req-event-logs</t>
  </si>
  <si>
    <t xml:space="preserve">CIS 8.2</t>
  </si>
  <si>
    <t xml:space="preserve">UCR-255 [Related] (BSSC NOS v2 req-retain-logs); UCR-263 [Related] (BSSC KMS v1 KMS-GEN-10)</t>
  </si>
  <si>
    <t xml:space="preserve">SIEM source coverage.</t>
  </si>
  <si>
    <t xml:space="preserve">UCR-271</t>
  </si>
  <si>
    <t xml:space="preserve">Continuous monitoring</t>
  </si>
  <si>
    <t xml:space="preserve">Employ real-time threat monitoring (SOC/MDR, on-chain monitoring).</t>
  </si>
  <si>
    <t xml:space="preserve">req-monitor-realtime</t>
  </si>
  <si>
    <t xml:space="preserve">GSP-038 · req-monitor-realtime</t>
  </si>
  <si>
    <t xml:space="preserve">DE.CM-01; DE.CM-09</t>
  </si>
  <si>
    <t xml:space="preserve">UCR-266 [Related] (BSSC SCS v1 req-use-monitoring); UCR-264 [Related] (BSSC KMS v1 KMS-GEN-11)</t>
  </si>
  <si>
    <t xml:space="preserve">SOC coverage.</t>
  </si>
  <si>
    <t xml:space="preserve">UCR-272</t>
  </si>
  <si>
    <t xml:space="preserve">Maintain breach detection that alerts staff and triggers the IRP.</t>
  </si>
  <si>
    <t xml:space="preserve">req-intrusion-detection</t>
  </si>
  <si>
    <t xml:space="preserve">GSP-039 · req-intrusion-detection</t>
  </si>
  <si>
    <t xml:space="preserve">CIS 13.1; CIS 13.3</t>
  </si>
  <si>
    <t xml:space="preserve">DE.AE-08</t>
  </si>
  <si>
    <t xml:space="preserve">A.8.16; A.5.25</t>
  </si>
  <si>
    <t xml:space="preserve">UCR-292 [Duplicate] (BSSC SCS v1 req-monitoring-triggers-response)</t>
  </si>
  <si>
    <t xml:space="preserve">Detection → IR test.</t>
  </si>
  <si>
    <t xml:space="preserve">UCR-273</t>
  </si>
  <si>
    <t xml:space="preserve">Resilience</t>
  </si>
  <si>
    <t xml:space="preserve">Document continuity and failover procedures for each node type, including safe-failover (no double-sign).</t>
  </si>
  <si>
    <t xml:space="preserve">req-document-failover</t>
  </si>
  <si>
    <t xml:space="preserve">NOS-027 · req-document-failover</t>
  </si>
  <si>
    <t xml:space="preserve">RC.RP-01; PR.IR-03</t>
  </si>
  <si>
    <t xml:space="preserve">DORA Art. 11–12</t>
  </si>
  <si>
    <t xml:space="preserve">UCR-302 [Related] (BSSC GSP v2 req-document-continuity-plan)</t>
  </si>
  <si>
    <t xml:space="preserve">Review failover runbooks and latest test results.</t>
  </si>
  <si>
    <t xml:space="preserve">UCR-274</t>
  </si>
  <si>
    <t xml:space="preserve">Monitor node uptime/health with alerting and documented remediation procedures.</t>
  </si>
  <si>
    <t xml:space="preserve">req-document-uptime</t>
  </si>
  <si>
    <t xml:space="preserve">NOS-028 · req-document-uptime</t>
  </si>
  <si>
    <t xml:space="preserve">Review monitoring dashboards, alert rules and incident tickets.</t>
  </si>
  <si>
    <t xml:space="preserve">UCR-275</t>
  </si>
  <si>
    <t xml:space="preserve">Document fault-tolerance strategies (redundant infra, sentry nodes, DVT, hot/cold standby).</t>
  </si>
  <si>
    <t xml:space="preserve">req-document-fault-tolerance</t>
  </si>
  <si>
    <t xml:space="preserve">NOS-029 · req-document-fault-tolerance</t>
  </si>
  <si>
    <t xml:space="preserve">Review architecture docs for single points of failure.</t>
  </si>
  <si>
    <t xml:space="preserve">UCR-276</t>
  </si>
  <si>
    <t xml:space="preserve">Distribute nodes across multiple hosting providers, data centres and geographic regions.</t>
  </si>
  <si>
    <t xml:space="preserve">req-distribute-nodes</t>
  </si>
  <si>
    <t xml:space="preserve">NOS-030 · req-distribute-nodes</t>
  </si>
  <si>
    <t xml:space="preserve">Review node inventory by provider/region; concentration metrics.</t>
  </si>
  <si>
    <t xml:space="preserve">UCR-277</t>
  </si>
  <si>
    <t xml:space="preserve">Incident response</t>
  </si>
  <si>
    <t xml:space="preserve">Maintain a node-specific incident response plan (key compromise, slashing, client bug, chain split).</t>
  </si>
  <si>
    <t xml:space="preserve">req-document-irp</t>
  </si>
  <si>
    <t xml:space="preserve">BSSC NOS; SEAL; CCSS v9.0; CIS v8.1; NIST CSF 2.0; ISO 27001:2022; DORA</t>
  </si>
  <si>
    <t xml:space="preserve">NOS-048 · req-document-irp</t>
  </si>
  <si>
    <t xml:space="preserve">RS.MA-01</t>
  </si>
  <si>
    <t xml:space="preserve">A.5.24</t>
  </si>
  <si>
    <t xml:space="preserve">DORA Art. 17–19</t>
  </si>
  <si>
    <t xml:space="preserve">UCR-295 [Related] (BSSC SCS v1 req-plan-incident-response); UCR-299 [Related] (BSSC GSP v2 req-implement-irp); UCR-279 [Related] (BSSC KMS v1 KMS-GEN-19); UCR-307 [Related] (DORA (EU 2022/2554) Art. 17–19)</t>
  </si>
  <si>
    <t xml:space="preserve">Review IRP coverage of node scenarios.</t>
  </si>
  <si>
    <t xml:space="preserve">UCR-278</t>
  </si>
  <si>
    <t xml:space="preserve">Execute the documented IRP during incidents to maintain availability and return safely to operations; keep incident records.</t>
  </si>
  <si>
    <t xml:space="preserve">req-follow-irp</t>
  </si>
  <si>
    <t xml:space="preserve">NOS-049 · req-follow-irp</t>
  </si>
  <si>
    <t xml:space="preserve">RS.MA-01; RC.RP-01</t>
  </si>
  <si>
    <t xml:space="preserve">Review recent incident tickets for adherence to IRP steps.</t>
  </si>
  <si>
    <t xml:space="preserve">UCR-279</t>
  </si>
  <si>
    <t xml:space="preserve">Maintain an incident response plan covering the full key management process.</t>
  </si>
  <si>
    <t xml:space="preserve">KMS-GEN-19</t>
  </si>
  <si>
    <t xml:space="preserve">KMS-019 · KMS-GEN-19</t>
  </si>
  <si>
    <t xml:space="preserve">UCR-277 [Related] (BSSC NOS v2 req-document-irp); UCR-295 [Related] (BSSC SCS v1 req-plan-incident-response); UCR-299 [Related] (BSSC GSP v2 req-implement-irp)</t>
  </si>
  <si>
    <t xml:space="preserve">Review IRP scope.</t>
  </si>
  <si>
    <t xml:space="preserve">UCR-280</t>
  </si>
  <si>
    <t xml:space="preserve">Include guidance for elevated risk and for actual key misuse or destruction in the IRP.</t>
  </si>
  <si>
    <t xml:space="preserve">KMS-GEN-20</t>
  </si>
  <si>
    <t xml:space="preserve">KMS-020 · KMS-GEN-20</t>
  </si>
  <si>
    <t xml:space="preserve">A.5.24; A.5.26</t>
  </si>
  <si>
    <t xml:space="preserve">Review key-compromise playbook.</t>
  </si>
  <si>
    <t xml:space="preserve">UCR-281</t>
  </si>
  <si>
    <t xml:space="preserve">Enable immediate deactivation of critical automated key components (kill switch).</t>
  </si>
  <si>
    <t xml:space="preserve">KMS-GEN-21</t>
  </si>
  <si>
    <t xml:space="preserve">KMS-021 · KMS-GEN-21</t>
  </si>
  <si>
    <t xml:space="preserve">Test kill-switch in tabletop/drill.</t>
  </si>
  <si>
    <t xml:space="preserve">UCR-282</t>
  </si>
  <si>
    <t xml:space="preserve">Enable immediate revocation of physical/local and network/remote access.</t>
  </si>
  <si>
    <t xml:space="preserve">KMS-GEN-22</t>
  </si>
  <si>
    <t xml:space="preserve">KMS-022 · KMS-GEN-22</t>
  </si>
  <si>
    <t xml:space="preserve">A.5.18; A.7.2</t>
  </si>
  <si>
    <t xml:space="preserve">Drill access revocation timing.</t>
  </si>
  <si>
    <t xml:space="preserve">UCR-283</t>
  </si>
  <si>
    <t xml:space="preserve">Include notification of affected parties and regulators where required.</t>
  </si>
  <si>
    <t xml:space="preserve">KMS-GEN-23</t>
  </si>
  <si>
    <t xml:space="preserve">BSSC KMS; OWASP Web3 Top 15; SEAL; CCSS v9.0; CIS v8.1; NIST CSF 2.0; ISO 27001:2022; DORA; GDPR</t>
  </si>
  <si>
    <t xml:space="preserve">KMS-023 · KMS-GEN-23</t>
  </si>
  <si>
    <t xml:space="preserve">RS.CO-02</t>
  </si>
  <si>
    <t xml:space="preserve">A.5.26; A.5.31</t>
  </si>
  <si>
    <t xml:space="preserve">DORA Art. 19; GDPR Art. 33–34</t>
  </si>
  <si>
    <t xml:space="preserve">Review notification matrix.</t>
  </si>
  <si>
    <t xml:space="preserve">UCR-284</t>
  </si>
  <si>
    <t xml:space="preserve">Disaster recovery</t>
  </si>
  <si>
    <t xml:space="preserve">Maintain a disaster recovery plan for the full key management process.</t>
  </si>
  <si>
    <t xml:space="preserve">KMS-GEN-32</t>
  </si>
  <si>
    <t xml:space="preserve">BSSC KMS; SEAL; CIS v8.1; NIST CSF 2.0; ISO 27001:2022; DORA</t>
  </si>
  <si>
    <t xml:space="preserve">KMS-032 · KMS-GEN-32</t>
  </si>
  <si>
    <t xml:space="preserve">UCR-303 [Related] (BSSC GSP v2 req-document-disaster-recovery)</t>
  </si>
  <si>
    <t xml:space="preserve">Review DR plan.</t>
  </si>
  <si>
    <t xml:space="preserve">UCR-285</t>
  </si>
  <si>
    <t xml:space="preserve">Define redundancy for any component whose loss could cause key misuse or destruction.</t>
  </si>
  <si>
    <t xml:space="preserve">KMS-GEN-33</t>
  </si>
  <si>
    <t xml:space="preserve">KMS-033 · KMS-GEN-33</t>
  </si>
  <si>
    <t xml:space="preserve">Review redundancy design.</t>
  </si>
  <si>
    <t xml:space="preserve">UCR-286</t>
  </si>
  <si>
    <t xml:space="preserve">Provide geographic redundancy for those components.</t>
  </si>
  <si>
    <t xml:space="preserve">KMS-GEN-34</t>
  </si>
  <si>
    <t xml:space="preserve">KMS-034 · KMS-GEN-34</t>
  </si>
  <si>
    <t xml:space="preserve">Review site inventory.</t>
  </si>
  <si>
    <t xml:space="preserve">UCR-287</t>
  </si>
  <si>
    <t xml:space="preserve">Exercise the DR plan on a regular cadence.</t>
  </si>
  <si>
    <t xml:space="preserve">KMS-GEN-35</t>
  </si>
  <si>
    <t xml:space="preserve">KMS-035 · KMS-GEN-35</t>
  </si>
  <si>
    <t xml:space="preserve">RC.RP-01; ID.IM-02</t>
  </si>
  <si>
    <t xml:space="preserve">Review DR exercise reports.</t>
  </si>
  <si>
    <t xml:space="preserve">UCR-288</t>
  </si>
  <si>
    <t xml:space="preserve">Threat-model the DR infrastructure itself.</t>
  </si>
  <si>
    <t xml:space="preserve">KMS-GEN-36</t>
  </si>
  <si>
    <t xml:space="preserve">KMS-036 · KMS-GEN-36</t>
  </si>
  <si>
    <t xml:space="preserve">Review DR threat model.</t>
  </si>
  <si>
    <t xml:space="preserve">UCR-289</t>
  </si>
  <si>
    <t xml:space="preserve">Security contact</t>
  </si>
  <si>
    <t xml:space="preserve">Appoint a designated, qualified security contact.</t>
  </si>
  <si>
    <t xml:space="preserve">req-identify-security-contact</t>
  </si>
  <si>
    <t xml:space="preserve">SCS-045 · req-identify-security-contact</t>
  </si>
  <si>
    <t xml:space="preserve">CIS 17.2</t>
  </si>
  <si>
    <t xml:space="preserve">UCR-194 [Related] (BSSC TIS v1 Document Security Posture and Procedures)</t>
  </si>
  <si>
    <t xml:space="preserve">Named contact record.</t>
  </si>
  <si>
    <t xml:space="preserve">UCR-290</t>
  </si>
  <si>
    <t xml:space="preserve">Publish confidential security contact methods (security.txt, PGP).</t>
  </si>
  <si>
    <t xml:space="preserve">req-document-security-contact</t>
  </si>
  <si>
    <t xml:space="preserve">SCS-046 · req-document-security-contact</t>
  </si>
  <si>
    <t xml:space="preserve">A.5.24; A.6.8</t>
  </si>
  <si>
    <t xml:space="preserve">security.txt check.</t>
  </si>
  <si>
    <t xml:space="preserve">UCR-291</t>
  </si>
  <si>
    <t xml:space="preserve">Provide 24/7 security response coverage (on-call rota).</t>
  </si>
  <si>
    <t xml:space="preserve">req-24-7-security-response</t>
  </si>
  <si>
    <t xml:space="preserve">SCS-047 · req-24-7-security-response</t>
  </si>
  <si>
    <t xml:space="preserve">On-call schedule; test page.</t>
  </si>
  <si>
    <t xml:space="preserve">UCR-292</t>
  </si>
  <si>
    <t xml:space="preserve">Wire monitoring alerts to trigger incident response (paging, auto-pause).</t>
  </si>
  <si>
    <t xml:space="preserve">req-monitoring-triggers-response</t>
  </si>
  <si>
    <t xml:space="preserve">SCS-050 · req-monitoring-triggers-response</t>
  </si>
  <si>
    <t xml:space="preserve">Monitoring; Incident Management</t>
  </si>
  <si>
    <t xml:space="preserve">CIS 13.1; CIS 17.4</t>
  </si>
  <si>
    <t xml:space="preserve">DE.AE-08; RS.MA-01</t>
  </si>
  <si>
    <t xml:space="preserve">A.5.25</t>
  </si>
  <si>
    <t xml:space="preserve">UCR-272 [Duplicate] (BSSC GSP v2 req-intrusion-detection)</t>
  </si>
  <si>
    <t xml:space="preserve">Alert-to-IR runbook test.</t>
  </si>
  <si>
    <t xml:space="preserve">UCR-293</t>
  </si>
  <si>
    <t xml:space="preserve">Document a responsible disclosure programme for third parties.</t>
  </si>
  <si>
    <t xml:space="preserve">req-vulnerability-disclosure</t>
  </si>
  <si>
    <t xml:space="preserve">SCS-053 · req-vulnerability-disclosure</t>
  </si>
  <si>
    <t xml:space="preserve">CIS 7.1</t>
  </si>
  <si>
    <t xml:space="preserve">UCR-297 [Duplicate] (BSSC GSP v2 req-responsible-reporting); UCR-305 [Related] (SEAL Frameworks Safe Harbor)</t>
  </si>
  <si>
    <t xml:space="preserve">Published VDP.</t>
  </si>
  <si>
    <t xml:space="preserve">UCR-294</t>
  </si>
  <si>
    <t xml:space="preserve">Offer a bug bounty with incentives proportionate to TVL.</t>
  </si>
  <si>
    <t xml:space="preserve">req-bug-bounty</t>
  </si>
  <si>
    <t xml:space="preserve">SCS-054 · req-bug-bounty</t>
  </si>
  <si>
    <t xml:space="preserve">UCR-198 [Related] (BSSC TIS v1 Bug Bounty)</t>
  </si>
  <si>
    <t xml:space="preserve">Bounty listing and rewards table.</t>
  </si>
  <si>
    <t xml:space="preserve">UCR-295</t>
  </si>
  <si>
    <t xml:space="preserve">Implement an incident response plan (pause, war room, communications, recovery).</t>
  </si>
  <si>
    <t xml:space="preserve">req-plan-incident-response</t>
  </si>
  <si>
    <t xml:space="preserve">BSSC SCS; SEAL; CIS v8.1; NIST CSF 2.0; ISO 27001:2022; DORA</t>
  </si>
  <si>
    <t xml:space="preserve">SCS-055 · req-plan-incident-response</t>
  </si>
  <si>
    <t xml:space="preserve">DORA Art. 17</t>
  </si>
  <si>
    <t xml:space="preserve">UCR-277 [Related] (BSSC NOS v2 req-document-irp); UCR-299 [Related] (BSSC GSP v2 req-implement-irp); UCR-279 [Related] (BSSC KMS v1 KMS-GEN-19); UCR-306 [Related] (SEAL Frameworks Incident Management); UCR-385 [Related] (OWASP SCSVS SCSVS-GOV)</t>
  </si>
  <si>
    <t xml:space="preserve">IRP review.</t>
  </si>
  <si>
    <t xml:space="preserve">UCR-296</t>
  </si>
  <si>
    <t xml:space="preserve">Test and update the IRP at least annually.</t>
  </si>
  <si>
    <t xml:space="preserve">req-maintain-incident-response</t>
  </si>
  <si>
    <t xml:space="preserve">SCS-056 · req-maintain-incident-response</t>
  </si>
  <si>
    <t xml:space="preserve">CIS 17.7</t>
  </si>
  <si>
    <t xml:space="preserve">DORA Art. 11(6)</t>
  </si>
  <si>
    <t xml:space="preserve">UCR-300 [Duplicate] (BSSC GSP v2 req-maintain-irp)</t>
  </si>
  <si>
    <t xml:space="preserve">Tabletop exercise record.</t>
  </si>
  <si>
    <t xml:space="preserve">UCR-297</t>
  </si>
  <si>
    <t xml:space="preserve">Vulnerability reporting</t>
  </si>
  <si>
    <t xml:space="preserve">Provide a channel for external researchers to report vulnerabilities.</t>
  </si>
  <si>
    <t xml:space="preserve">req-responsible-reporting</t>
  </si>
  <si>
    <t xml:space="preserve">GSP-042 · req-responsible-reporting</t>
  </si>
  <si>
    <t xml:space="preserve">A.8.8; A.6.8</t>
  </si>
  <si>
    <t xml:space="preserve">UCR-293 [Duplicate] (BSSC SCS v1 req-vulnerability-disclosure)</t>
  </si>
  <si>
    <t xml:space="preserve">security.txt / VDP.</t>
  </si>
  <si>
    <t xml:space="preserve">UCR-298</t>
  </si>
  <si>
    <t xml:space="preserve">Triage and remediate reported vulnerabilities through a defined process.</t>
  </si>
  <si>
    <t xml:space="preserve">req-process-reports</t>
  </si>
  <si>
    <t xml:space="preserve">GSP-043 · req-process-reports</t>
  </si>
  <si>
    <t xml:space="preserve">Report tracking SLAs.</t>
  </si>
  <si>
    <t xml:space="preserve">UCR-299</t>
  </si>
  <si>
    <t xml:space="preserve">Maintain an IRP covering severity, scope analysis, reporting, communications and closure.</t>
  </si>
  <si>
    <t xml:space="preserve">req-implement-irp</t>
  </si>
  <si>
    <t xml:space="preserve">BSSC GSP v2 — 5. Respond</t>
  </si>
  <si>
    <t xml:space="preserve">GSP-044 · req-implement-irp</t>
  </si>
  <si>
    <t xml:space="preserve">UCR-277 [Related] (BSSC NOS v2 req-document-irp); UCR-295 [Related] (BSSC SCS v1 req-plan-incident-response); UCR-279 [Related] (BSSC KMS v1 KMS-GEN-19)</t>
  </si>
  <si>
    <t xml:space="preserve">UCR-300</t>
  </si>
  <si>
    <t xml:space="preserve">Test and update the IRP at least annually and train key staff.</t>
  </si>
  <si>
    <t xml:space="preserve">req-maintain-irp</t>
  </si>
  <si>
    <t xml:space="preserve">GSP-045 · req-maintain-irp</t>
  </si>
  <si>
    <t xml:space="preserve">ID.IM-02; PR.AT-02</t>
  </si>
  <si>
    <t xml:space="preserve">DORA Art. 11(6); 13(6)</t>
  </si>
  <si>
    <t xml:space="preserve">UCR-296 [Duplicate] (BSSC SCS v1 req-maintain-incident-response)</t>
  </si>
  <si>
    <t xml:space="preserve">Exercise records.</t>
  </si>
  <si>
    <t xml:space="preserve">UCR-301</t>
  </si>
  <si>
    <t xml:space="preserve">Run root-cause analysis for all incidents and improve controls.</t>
  </si>
  <si>
    <t xml:space="preserve">req-analyze-incidents</t>
  </si>
  <si>
    <t xml:space="preserve">GSP-046 · req-analyze-incidents</t>
  </si>
  <si>
    <t xml:space="preserve">CIS 17.8</t>
  </si>
  <si>
    <t xml:space="preserve">RS.AN-03; ID.IM-03</t>
  </si>
  <si>
    <t xml:space="preserve">A.5.27</t>
  </si>
  <si>
    <t xml:space="preserve">DORA Art. 13</t>
  </si>
  <si>
    <t xml:space="preserve">RCA reports.</t>
  </si>
  <si>
    <t xml:space="preserve">UCR-302</t>
  </si>
  <si>
    <t xml:space="preserve">Continuity</t>
  </si>
  <si>
    <t xml:space="preserve">Document a business continuity plan for critical processes.</t>
  </si>
  <si>
    <t xml:space="preserve">req-document-continuity-plan</t>
  </si>
  <si>
    <t xml:space="preserve">BSSC GSP v2 — 6. Recover</t>
  </si>
  <si>
    <t xml:space="preserve">GSP-047 · req-document-continuity-plan</t>
  </si>
  <si>
    <t xml:space="preserve">A.5.29; A.5.30</t>
  </si>
  <si>
    <t xml:space="preserve">DORA Art. 11</t>
  </si>
  <si>
    <t xml:space="preserve">UCR-273 [Related] (BSSC NOS v2 req-document-failover)</t>
  </si>
  <si>
    <t xml:space="preserve">BCP document.</t>
  </si>
  <si>
    <t xml:space="preserve">UCR-303</t>
  </si>
  <si>
    <t xml:space="preserve">Document DR plans with RTOs, RPOs and failover processes.</t>
  </si>
  <si>
    <t xml:space="preserve">req-document-disaster-recovery</t>
  </si>
  <si>
    <t xml:space="preserve">GSP-048 · req-document-disaster-recovery</t>
  </si>
  <si>
    <t xml:space="preserve">CIS 11.1; CIS 11.4</t>
  </si>
  <si>
    <t xml:space="preserve">A.5.30; A.8.14</t>
  </si>
  <si>
    <t xml:space="preserve">UCR-284 [Related] (BSSC KMS v1 KMS-GEN-32)</t>
  </si>
  <si>
    <t xml:space="preserve">DR plan.</t>
  </si>
  <si>
    <t xml:space="preserve">UCR-304</t>
  </si>
  <si>
    <t xml:space="preserve">Plan testing</t>
  </si>
  <si>
    <t xml:space="preserve">Review and test BCP/DR annually and after major changes.</t>
  </si>
  <si>
    <t xml:space="preserve">req-test-recovery-plans</t>
  </si>
  <si>
    <t xml:space="preserve">GSP-049 · req-test-recovery-plans</t>
  </si>
  <si>
    <t xml:space="preserve">ID.IM-02; RC.RP-01</t>
  </si>
  <si>
    <t xml:space="preserve">Test reports.</t>
  </si>
  <si>
    <t xml:space="preserve">UCR-305</t>
  </si>
  <si>
    <t xml:space="preserve">Whitehat safe harbor</t>
  </si>
  <si>
    <t xml:space="preserve">Adopt the SEAL Whitehat Safe Harbor agreement (or equivalent) defining rescue terms, bounty and recovery addresses for active exploits.</t>
  </si>
  <si>
    <t xml:space="preserve">SEAL Frameworks — Safe Harbor</t>
  </si>
  <si>
    <t xml:space="preserve">SEAL; NIST CSF 2.0; ISO 27001:2022</t>
  </si>
  <si>
    <t xml:space="preserve">UCR-293 [Related] (BSSC SCS v1 req-vulnerability-disclosure)</t>
  </si>
  <si>
    <t xml:space="preserve">Published safe-harbor adoption.</t>
  </si>
  <si>
    <t xml:space="preserve">UCR-306</t>
  </si>
  <si>
    <t xml:space="preserve">Web3 incident war room</t>
  </si>
  <si>
    <t xml:space="preserve">Pre-establish war-room roles, contacts (SEAL 911, exchanges, bridges, stablecoin issuers, chain-analytics firms) and playbooks to freeze/trace stolen funds.</t>
  </si>
  <si>
    <t xml:space="preserve">SEAL Frameworks — Incident Management</t>
  </si>
  <si>
    <t xml:space="preserve">SEAL; CCSS v9.0; CIS v8.1; NIST CSF 2.0; ISO 27001:2022; DORA</t>
  </si>
  <si>
    <t xml:space="preserve">CIS 17.2; CIS 17.4</t>
  </si>
  <si>
    <t xml:space="preserve">RS.CO-03</t>
  </si>
  <si>
    <t xml:space="preserve">UCR-295 [Related] (BSSC SCS v1 req-plan-incident-response)</t>
  </si>
  <si>
    <t xml:space="preserve">Contact list; playbook test.</t>
  </si>
  <si>
    <t xml:space="preserve">UCR-307</t>
  </si>
  <si>
    <t xml:space="preserve">ICT incident classification &amp; reporting</t>
  </si>
  <si>
    <t xml:space="preserve">Classify ICT incidents per DORA criteria and report major incidents to the competent authority within regulatory deadlines.</t>
  </si>
  <si>
    <t xml:space="preserve">Art. 17–19</t>
  </si>
  <si>
    <t xml:space="preserve">DORA (EU 2022/2554) — Art. 17–19</t>
  </si>
  <si>
    <t xml:space="preserve">EU-regulated CASP/financial entity</t>
  </si>
  <si>
    <t xml:space="preserve">SEAL; CIS v8.1; NIST CSF 2.0; ISO 27001:2022; DORA</t>
  </si>
  <si>
    <t xml:space="preserve">UCR-277 [Related] (BSSC NOS v2 req-document-irp)</t>
  </si>
  <si>
    <t xml:space="preserve">Classification matrix; reporting drill.</t>
  </si>
  <si>
    <t xml:space="preserve">UCR-308</t>
  </si>
  <si>
    <t xml:space="preserve">Expose only services essential to network operation (P2P ports); block RPC/admin/metrics from the internet.</t>
  </si>
  <si>
    <t xml:space="preserve">req-minimize-network-exposure</t>
  </si>
  <si>
    <t xml:space="preserve">NOS-042 · req-minimize-network-exposure</t>
  </si>
  <si>
    <t xml:space="preserve">CIS 4.4; CIS 4.8; CIS 12.2</t>
  </si>
  <si>
    <t xml:space="preserve">A.8.20; A.8.22</t>
  </si>
  <si>
    <t xml:space="preserve">External port scan vs. approved exposure list.</t>
  </si>
  <si>
    <t xml:space="preserve">UCR-309</t>
  </si>
  <si>
    <t xml:space="preserve">Platform hardening</t>
  </si>
  <si>
    <t xml:space="preserve">Dedicate hardware solely to key management.</t>
  </si>
  <si>
    <t xml:space="preserve">KMS-GEN-37</t>
  </si>
  <si>
    <t xml:space="preserve">KMS-037 · KMS-GEN-37</t>
  </si>
  <si>
    <t xml:space="preserve">CIS 4.1; CIS 4.8</t>
  </si>
  <si>
    <t xml:space="preserve">Asset inventory review.</t>
  </si>
  <si>
    <t xml:space="preserve">UCR-310</t>
  </si>
  <si>
    <t xml:space="preserve">Restrict key management hardware to the minimal feature set (disable unused ports/radios).</t>
  </si>
  <si>
    <t xml:space="preserve">KMS-GEN-38</t>
  </si>
  <si>
    <t xml:space="preserve">KMS-038 · KMS-GEN-38</t>
  </si>
  <si>
    <t xml:space="preserve">Hardening baseline review.</t>
  </si>
  <si>
    <t xml:space="preserve">UCR-311</t>
  </si>
  <si>
    <t xml:space="preserve">Run key management software in a dedicated environment.</t>
  </si>
  <si>
    <t xml:space="preserve">KMS-GEN-39</t>
  </si>
  <si>
    <t xml:space="preserve">KMS-039 · KMS-GEN-39</t>
  </si>
  <si>
    <t xml:space="preserve">UCR-312</t>
  </si>
  <si>
    <t xml:space="preserve">Minimise state, code and dependencies of key management software.</t>
  </si>
  <si>
    <t xml:space="preserve">KMS-GEN-40</t>
  </si>
  <si>
    <t xml:space="preserve">KMS-040 · KMS-GEN-40</t>
  </si>
  <si>
    <t xml:space="preserve">A.8.9; A.8.28</t>
  </si>
  <si>
    <t xml:space="preserve">SBOM review.</t>
  </si>
  <si>
    <t xml:space="preserve">UCR-313</t>
  </si>
  <si>
    <t xml:space="preserve">Vulnerability management</t>
  </si>
  <si>
    <t xml:space="preserve">Document vulnerability management with at least monthly assessments and remediation SLAs.</t>
  </si>
  <si>
    <t xml:space="preserve">req-manage-vulnerabilities</t>
  </si>
  <si>
    <t xml:space="preserve">GSP-018 · req-manage-vulnerabilities</t>
  </si>
  <si>
    <t xml:space="preserve">CIS 7.1; CIS 7.5</t>
  </si>
  <si>
    <t xml:space="preserve">ID.RA-01; ID.RA-08</t>
  </si>
  <si>
    <t xml:space="preserve">UCR-321 [Related] (CIS Controls v8.1 CIS 7.3; 7.4)</t>
  </si>
  <si>
    <t xml:space="preserve">Scan cadence and SLA metrics.</t>
  </si>
  <si>
    <t xml:space="preserve">UCR-314</t>
  </si>
  <si>
    <t xml:space="preserve">Use secure, authenticated internal and external communication channels.</t>
  </si>
  <si>
    <t xml:space="preserve">req-use-seecure-comms</t>
  </si>
  <si>
    <t xml:space="preserve">GSP-030 · req-use-seecure-comms</t>
  </si>
  <si>
    <t xml:space="preserve">A.5.14; A.8.21</t>
  </si>
  <si>
    <t xml:space="preserve">UCR-007 [Related] (BSSC NOS v2 req-communicate-securely)</t>
  </si>
  <si>
    <t xml:space="preserve">Channel inventory.</t>
  </si>
  <si>
    <t xml:space="preserve">UCR-315</t>
  </si>
  <si>
    <t xml:space="preserve">Enrol all devices in MDM with remote wipe.</t>
  </si>
  <si>
    <t xml:space="preserve">req-managed-devices</t>
  </si>
  <si>
    <t xml:space="preserve">GSP-034 · req-managed-devices</t>
  </si>
  <si>
    <t xml:space="preserve">CIS 1.1; CIS 4.11</t>
  </si>
  <si>
    <t xml:space="preserve">PR.PS-01; ID.AM-01</t>
  </si>
  <si>
    <t xml:space="preserve">A.8.1</t>
  </si>
  <si>
    <t xml:space="preserve">UCR-318 [Related] (SEAL Frameworks OpSec)</t>
  </si>
  <si>
    <t xml:space="preserve">MDM coverage report.</t>
  </si>
  <si>
    <t xml:space="preserve">UCR-316</t>
  </si>
  <si>
    <t xml:space="preserve">Protect internet-facing systems against DDoS, malware and bots (WAF, EDR, DDoS protection).</t>
  </si>
  <si>
    <t xml:space="preserve">req-anti-virus</t>
  </si>
  <si>
    <t xml:space="preserve">BSSC GSP; OWASP Web3 Top 15; SEAL; CIS v8.1; NIST CSF 2.0; ISO 27001:2022</t>
  </si>
  <si>
    <t xml:space="preserve">GSP-035 · req-anti-virus</t>
  </si>
  <si>
    <t xml:space="preserve">CIS 10.1; CIS 13.10</t>
  </si>
  <si>
    <t xml:space="preserve">PR.IR-01; DE.CM-01</t>
  </si>
  <si>
    <t xml:space="preserve">A.8.7; A.8.20</t>
  </si>
  <si>
    <t xml:space="preserve">EDR/WAF coverage.</t>
  </si>
  <si>
    <t xml:space="preserve">UCR-317</t>
  </si>
  <si>
    <t xml:space="preserve">Commission independent penetration tests at least every 12 months.</t>
  </si>
  <si>
    <t xml:space="preserve">req-test-penetration</t>
  </si>
  <si>
    <t xml:space="preserve">GSP-041 · req-test-penetration</t>
  </si>
  <si>
    <t xml:space="preserve">CIS 18.1; CIS 18.2</t>
  </si>
  <si>
    <t xml:space="preserve">UCR-011 [Related] (BSSC KMS v1 KMS-GEN-18); UCR-323 [Related] (DORA (EU 2022/2554) Art. 24–27)</t>
  </si>
  <si>
    <t xml:space="preserve">Pentest report &lt; 12 months.</t>
  </si>
  <si>
    <t xml:space="preserve">UCR-318</t>
  </si>
  <si>
    <t xml:space="preserve">Privileged access workstations</t>
  </si>
  <si>
    <t xml:space="preserve">Perform signing and production admin only from dedicated, hardened, MDM-managed devices with EDR, no email/browsing, and restricted software.</t>
  </si>
  <si>
    <t xml:space="preserve">SEAL Frameworks — OpSec</t>
  </si>
  <si>
    <t xml:space="preserve">Custodian/Exchange; Node/validator operator; Protocol/dApp/token developer</t>
  </si>
  <si>
    <t xml:space="preserve">WA03; WA04</t>
  </si>
  <si>
    <t xml:space="preserve">OpSec; Wallet Security</t>
  </si>
  <si>
    <t xml:space="preserve">CIS 4.1; CIS 5.4; CIS 10.1</t>
  </si>
  <si>
    <t xml:space="preserve">UCR-315 [Related] (BSSC GSP v2 req-managed-devices)</t>
  </si>
  <si>
    <t xml:space="preserve">Device inventory; configuration baseline.</t>
  </si>
  <si>
    <t xml:space="preserve">UCR-319</t>
  </si>
  <si>
    <t xml:space="preserve">Asset &amp; software inventory</t>
  </si>
  <si>
    <t xml:space="preserve">Maintain inventories of hosts, nodes, signers, HSMs, wallets, contracts, domains and software, reconciled automatically.</t>
  </si>
  <si>
    <t xml:space="preserve">CIS 1.1; 2.1</t>
  </si>
  <si>
    <t xml:space="preserve">CIS Controls v8.1 — CIS 1.1; 2.1</t>
  </si>
  <si>
    <t xml:space="preserve">CIS 1.1; CIS 2.1</t>
  </si>
  <si>
    <t xml:space="preserve">ID.AM-01; ID.AM-02</t>
  </si>
  <si>
    <t xml:space="preserve">DORA Art. 8</t>
  </si>
  <si>
    <t xml:space="preserve">UCR-369 [Related] (BSSC SCS v1 req-identify-contracts-used)</t>
  </si>
  <si>
    <t xml:space="preserve">Inventory vs discovery scan.</t>
  </si>
  <si>
    <t xml:space="preserve">UCR-320</t>
  </si>
  <si>
    <t xml:space="preserve">Host hardening (CIS Benchmarks)</t>
  </si>
  <si>
    <t xml:space="preserve">Harden node, signer and build hosts to CIS Benchmarks for the OS, Docker, Kubernetes and cloud provider; scan for drift.</t>
  </si>
  <si>
    <t xml:space="preserve">CIS Controls v8.1 — CIS 4.1</t>
  </si>
  <si>
    <t xml:space="preserve">Node/validator operator; Custodian/Exchange</t>
  </si>
  <si>
    <t xml:space="preserve">SEAL; CIS v8.1; NIST CSF 2.0; ISO 27001:2022</t>
  </si>
  <si>
    <t xml:space="preserve">UCR-001 [Related] (BSSC NOS v2 req-implement-basic-security)</t>
  </si>
  <si>
    <t xml:space="preserve">CIS-CAT/benchmark scan results.</t>
  </si>
  <si>
    <t xml:space="preserve">UCR-321</t>
  </si>
  <si>
    <t xml:space="preserve">Patch management</t>
  </si>
  <si>
    <t xml:space="preserve">Patch OS and application software (incl. node clients) within defined SLAs; track exceptions.</t>
  </si>
  <si>
    <t xml:space="preserve">CIS 7.3; 7.4</t>
  </si>
  <si>
    <t xml:space="preserve">CIS Controls v8.1 — CIS 7.3; 7.4</t>
  </si>
  <si>
    <t xml:space="preserve">ID.RA-01; PR.PS-02</t>
  </si>
  <si>
    <t xml:space="preserve">UCR-313 [Related] (BSSC GSP v2 req-manage-vulnerabilities)</t>
  </si>
  <si>
    <t xml:space="preserve">Patch compliance report.</t>
  </si>
  <si>
    <t xml:space="preserve">UCR-322</t>
  </si>
  <si>
    <t xml:space="preserve">Network segmentation</t>
  </si>
  <si>
    <t xml:space="preserve">Segment signer/HSM, node, and corporate networks; filter east-west traffic and restrict egress from signing zones.</t>
  </si>
  <si>
    <t xml:space="preserve">CIS 12.2; 13.4</t>
  </si>
  <si>
    <t xml:space="preserve">CIS Controls v8.1 — CIS 12.2; 13.4</t>
  </si>
  <si>
    <t xml:space="preserve">CIS 12.2; CIS 13.4</t>
  </si>
  <si>
    <t xml:space="preserve">UCR-028 [Related] (BSSC NOS v2 req-use-remote-signers)</t>
  </si>
  <si>
    <t xml:space="preserve">Network diagrams; firewall rule review.</t>
  </si>
  <si>
    <t xml:space="preserve">UCR-323</t>
  </si>
  <si>
    <t xml:space="preserve">Operational resilience testing</t>
  </si>
  <si>
    <t xml:space="preserve">Run an annual digital operational resilience testing programme, including threat-led penetration testing where designated.</t>
  </si>
  <si>
    <t xml:space="preserve">Art. 24–27</t>
  </si>
  <si>
    <t xml:space="preserve">DORA (EU 2022/2554) — Art. 24–27</t>
  </si>
  <si>
    <t xml:space="preserve">Test programme; TLPT report.</t>
  </si>
  <si>
    <t xml:space="preserve">UCR-324</t>
  </si>
  <si>
    <t xml:space="preserve">Software supply chain</t>
  </si>
  <si>
    <t xml:space="preserve">Maintain an SBOM and supply-chain risk analysis for all node components (clients, signers, sidecars, MEV relays, OS images, containers).</t>
  </si>
  <si>
    <t xml:space="preserve">req-document-supply-chains</t>
  </si>
  <si>
    <t xml:space="preserve">BSSC NOS; OWASP Web3 Top 15; SEAL; CIS v8.1; NIST CSF 2.0; ISO 27001:2022</t>
  </si>
  <si>
    <t xml:space="preserve">NOS-005 · req-document-supply-chains</t>
  </si>
  <si>
    <t xml:space="preserve">CIS 16.4; CIS 2.1</t>
  </si>
  <si>
    <t xml:space="preserve">GV.SC-04; ID.AM-02</t>
  </si>
  <si>
    <t xml:space="preserve">UCR-332 [Related] (BSSC GSP v2 req-secure-software); UCR-331 [Related] (BSSC GSP v2 req-monitor-dependencies)</t>
  </si>
  <si>
    <t xml:space="preserve">Review SBOMs per node build and supply-chain risk register.</t>
  </si>
  <si>
    <t xml:space="preserve">UCR-325</t>
  </si>
  <si>
    <t xml:space="preserve">Obtain node software only from official sources; verify release signatures/checksums and pin versions in build pipelines.</t>
  </si>
  <si>
    <t xml:space="preserve">req-use-official-software</t>
  </si>
  <si>
    <t xml:space="preserve">NOS-006 · req-use-official-software</t>
  </si>
  <si>
    <t xml:space="preserve">CIS 2.2; CIS 2.5</t>
  </si>
  <si>
    <t xml:space="preserve">PR.PS-02; GV.SC-05</t>
  </si>
  <si>
    <t xml:space="preserve">Inspect build pipeline for signature/hash verification; trace deployed binaries to official releases.</t>
  </si>
  <si>
    <t xml:space="preserve">UCR-326</t>
  </si>
  <si>
    <t xml:space="preserve">Define and follow a security assessment procedure (audit status, CVE history, code review) for every new protocol-related software package.</t>
  </si>
  <si>
    <t xml:space="preserve">req-document-protocol-software-security</t>
  </si>
  <si>
    <t xml:space="preserve">NOS-007 · req-document-protocol-software-security</t>
  </si>
  <si>
    <t xml:space="preserve">CIS 2.1; CIS 16.4</t>
  </si>
  <si>
    <t xml:space="preserve">GV.SC-07; ID.RA-01</t>
  </si>
  <si>
    <t xml:space="preserve">A.5.22</t>
  </si>
  <si>
    <t xml:space="preserve">Review completed software assessments for recently added packages.</t>
  </si>
  <si>
    <t xml:space="preserve">UCR-327</t>
  </si>
  <si>
    <t xml:space="preserve">Cryptographic code</t>
  </si>
  <si>
    <t xml:space="preserve">Vet cryptographic code via review, audit, testing, fuzzing or formal verification before use.</t>
  </si>
  <si>
    <t xml:space="preserve">KMS-GEN-41</t>
  </si>
  <si>
    <t xml:space="preserve">KMS-041 · KMS-GEN-41</t>
  </si>
  <si>
    <t xml:space="preserve">CIS 16.11</t>
  </si>
  <si>
    <t xml:space="preserve">PR.PS-06; GV.SC-07</t>
  </si>
  <si>
    <t xml:space="preserve">A.8.24; A.8.29</t>
  </si>
  <si>
    <t xml:space="preserve">Review crypto library assurance evidence.</t>
  </si>
  <si>
    <t xml:space="preserve">UCR-328</t>
  </si>
  <si>
    <t xml:space="preserve">Prefer mature, maintained open-source cryptographic libraries.</t>
  </si>
  <si>
    <t xml:space="preserve">KMS-GEN-42</t>
  </si>
  <si>
    <t xml:space="preserve">KMS-042 · KMS-GEN-42</t>
  </si>
  <si>
    <t xml:space="preserve">UCR-329</t>
  </si>
  <si>
    <t xml:space="preserve">Manage dependencies and tooling as third-party systems with version pinning and risk review.</t>
  </si>
  <si>
    <t xml:space="preserve">req-manage-dependencies-externally</t>
  </si>
  <si>
    <t xml:space="preserve">BSSC SCS; OWASP SCSVS; OWASP Web3 Top 15; SEAL; CIS v8.1; NIST CSF 2.0; ISO 27001:2022</t>
  </si>
  <si>
    <t xml:space="preserve">SCS-011 · req-manage-dependencies-externally</t>
  </si>
  <si>
    <t xml:space="preserve">A.5.21; A.5.22</t>
  </si>
  <si>
    <t xml:space="preserve">Lockfiles; supplier risk review.</t>
  </si>
  <si>
    <t xml:space="preserve">UCR-330</t>
  </si>
  <si>
    <t xml:space="preserve">Vendor management</t>
  </si>
  <si>
    <t xml:space="preserve">Document vendor/third-party risk management (custody, node, oracle, KYT providers).</t>
  </si>
  <si>
    <t xml:space="preserve">req-manage-vendors</t>
  </si>
  <si>
    <t xml:space="preserve">BSSC GSP; OWASP Web3 Top 15; SEAL; CIS v8.1; NIST CSF 2.0; ISO 27001:2022; DORA</t>
  </si>
  <si>
    <t xml:space="preserve">GSP-007 · req-manage-vendors</t>
  </si>
  <si>
    <t xml:space="preserve">CIS 15.1; CIS 15.2</t>
  </si>
  <si>
    <t xml:space="preserve">GV.SC-01; GV.SC-06</t>
  </si>
  <si>
    <t xml:space="preserve">A.5.19-A.5.22</t>
  </si>
  <si>
    <t xml:space="preserve">DORA Art. 28–30</t>
  </si>
  <si>
    <t xml:space="preserve">UCR-336 [Related] (DORA (EU 2022/2554) Art. 28)</t>
  </si>
  <si>
    <t xml:space="preserve">Vendor inventory and assessments.</t>
  </si>
  <si>
    <t xml:space="preserve">UCR-331</t>
  </si>
  <si>
    <t xml:space="preserve">Inventory and monitor third-party dependencies for CVEs (SCA).</t>
  </si>
  <si>
    <t xml:space="preserve">req-monitor-dependencies</t>
  </si>
  <si>
    <t xml:space="preserve">GSP-017 · req-monitor-dependencies</t>
  </si>
  <si>
    <t xml:space="preserve">CIS 16.4; CIS 7.1</t>
  </si>
  <si>
    <t xml:space="preserve">ID.RA-01; GV.SC-04</t>
  </si>
  <si>
    <t xml:space="preserve">UCR-324 [Related] (BSSC NOS v2 req-document-supply-chains); UCR-332 [Related] (BSSC GSP v2 req-secure-software); UCR-334 [Related] (SEAL Frameworks Supply Chain)</t>
  </si>
  <si>
    <t xml:space="preserve">SCA dashboard.</t>
  </si>
  <si>
    <t xml:space="preserve">UCR-332</t>
  </si>
  <si>
    <t xml:space="preserve">Ensure integrity of software components and dependencies (signed artifacts, SLSA provenance).</t>
  </si>
  <si>
    <t xml:space="preserve">req-secure-software</t>
  </si>
  <si>
    <t xml:space="preserve">GSP-032 · req-secure-software</t>
  </si>
  <si>
    <t xml:space="preserve">Supply Chain; DevSecOps</t>
  </si>
  <si>
    <t xml:space="preserve">CIS 2.5; CIS 16.4</t>
  </si>
  <si>
    <t xml:space="preserve">A.8.19; A.8.30</t>
  </si>
  <si>
    <t xml:space="preserve">UCR-324 [Related] (BSSC NOS v2 req-document-supply-chains); UCR-331 [Related] (BSSC GSP v2 req-monitor-dependencies); UCR-254 [Related] (SEAL Frameworks Infrastructure); UCR-359 [Related] (OWASP Web3 Top 15 WA02)</t>
  </si>
  <si>
    <t xml:space="preserve">Provenance attestations.</t>
  </si>
  <si>
    <t xml:space="preserve">UCR-333</t>
  </si>
  <si>
    <t xml:space="preserve">Repository &amp; CI/CD hardening</t>
  </si>
  <si>
    <t xml:space="preserve">Enforce branch protection, signed commits, required reviews, least-privilege CI tokens, secret scanning and isolated deploy keys; never store deployer keys in CI.</t>
  </si>
  <si>
    <t xml:space="preserve">OWASP SCSVS; OWASP Web3 Top 15; SEAL; CIS v8.1; NIST CSF 2.0; ISO 27001:2022</t>
  </si>
  <si>
    <t xml:space="preserve">DevSecOps; Supply Chain</t>
  </si>
  <si>
    <t xml:space="preserve">CIS 16.1; CIS 2.5</t>
  </si>
  <si>
    <t xml:space="preserve">A.8.4; A.8.25</t>
  </si>
  <si>
    <t xml:space="preserve">UCR-116 [Related] (BSSC SCS v1 req-use-version-control)</t>
  </si>
  <si>
    <t xml:space="preserve">Repo settings audit; secret-scan results.</t>
  </si>
  <si>
    <t xml:space="preserve">UCR-334</t>
  </si>
  <si>
    <t xml:space="preserve">Dependency pinning &amp; provenance</t>
  </si>
  <si>
    <t xml:space="preserve">Pin dependencies with lockfiles and hashes, verify provenance (SLSA), delay adoption of fresh releases, and monitor for malicious packages.</t>
  </si>
  <si>
    <t xml:space="preserve">SEAL Frameworks — Supply Chain</t>
  </si>
  <si>
    <t xml:space="preserve">GV.SC-05</t>
  </si>
  <si>
    <t xml:space="preserve">UCR-331 [Related] (BSSC GSP v2 req-monitor-dependencies)</t>
  </si>
  <si>
    <t xml:space="preserve">Lockfile review; SCA alerts.</t>
  </si>
  <si>
    <t xml:space="preserve">UCR-335</t>
  </si>
  <si>
    <t xml:space="preserve">AI agents &amp; coding assistants</t>
  </si>
  <si>
    <t xml:space="preserve">Prevent AI agents/coding assistants from accessing keys or production signing; sandbox tool use, review all generated code, and defend against prompt injection.</t>
  </si>
  <si>
    <t xml:space="preserve">SEAL Frameworks — AI Security</t>
  </si>
  <si>
    <t xml:space="preserve">UCR-120 [Related] (BSSC SCS v1 req-log-automation)</t>
  </si>
  <si>
    <t xml:space="preserve">AI usage policy; agent permission review.</t>
  </si>
  <si>
    <t xml:space="preserve">UCR-336</t>
  </si>
  <si>
    <t xml:space="preserve">ICT third-party register</t>
  </si>
  <si>
    <t xml:space="preserve">Maintain the register of information for all ICT third-party arrangements (cloud, node/RPC, custody tech, KYT) with exit strategies.</t>
  </si>
  <si>
    <t xml:space="preserve">Art. 28</t>
  </si>
  <si>
    <t xml:space="preserve">DORA (EU 2022/2554) — Art. 28</t>
  </si>
  <si>
    <t xml:space="preserve">OWASP Web3 Top 15; SEAL; CIS v8.1; NIST CSF 2.0; ISO 27001:2022; DORA</t>
  </si>
  <si>
    <t xml:space="preserve">CIS 15.1</t>
  </si>
  <si>
    <t xml:space="preserve">GV.SC-04</t>
  </si>
  <si>
    <t xml:space="preserve">A.5.19; A.5.22</t>
  </si>
  <si>
    <t xml:space="preserve">UCR-330 [Related] (BSSC GSP v2 req-manage-vendors)</t>
  </si>
  <si>
    <t xml:space="preserve">Register extract; exit plans.</t>
  </si>
  <si>
    <t xml:space="preserve">UCR-337</t>
  </si>
  <si>
    <t xml:space="preserve">Data classification</t>
  </si>
  <si>
    <t xml:space="preserve">Define data classification tiers, criteria, access limits and protections.</t>
  </si>
  <si>
    <t xml:space="preserve">req-define-data-risk</t>
  </si>
  <si>
    <t xml:space="preserve">BSSC GSP; CIS v8.1; NIST CSF 2.0; ISO 27001:2022</t>
  </si>
  <si>
    <t xml:space="preserve">GSP-004 · req-define-data-risk</t>
  </si>
  <si>
    <t xml:space="preserve">CIS 3.1; CIS 3.7</t>
  </si>
  <si>
    <t xml:space="preserve">ID.AM-07; GV.PO-01</t>
  </si>
  <si>
    <t xml:space="preserve">A.5.12; A.5.13</t>
  </si>
  <si>
    <t xml:space="preserve">Classification policy.</t>
  </si>
  <si>
    <t xml:space="preserve">UCR-338</t>
  </si>
  <si>
    <t xml:space="preserve">Restrict sensitive data/PII access to those with business need.</t>
  </si>
  <si>
    <t xml:space="preserve">req-restrict-pii</t>
  </si>
  <si>
    <t xml:space="preserve">GSP-021 · req-restrict-pii</t>
  </si>
  <si>
    <t xml:space="preserve">CIS 3.3</t>
  </si>
  <si>
    <t xml:space="preserve">A.5.15; A.8.3</t>
  </si>
  <si>
    <t xml:space="preserve">Access lists for PII stores.</t>
  </si>
  <si>
    <t xml:space="preserve">UCR-339</t>
  </si>
  <si>
    <t xml:space="preserve">Data protection</t>
  </si>
  <si>
    <t xml:space="preserve">Deploy DLP for email, web and removable media.</t>
  </si>
  <si>
    <t xml:space="preserve">req-prevent-exfiltration</t>
  </si>
  <si>
    <t xml:space="preserve">GSP-027 · req-prevent-exfiltration</t>
  </si>
  <si>
    <t xml:space="preserve">CIS 3.13</t>
  </si>
  <si>
    <t xml:space="preserve">A.8.12</t>
  </si>
  <si>
    <t xml:space="preserve">DLP policy and incident reports.</t>
  </si>
  <si>
    <t xml:space="preserve">UCR-340</t>
  </si>
  <si>
    <t xml:space="preserve">Prevent customer data export from production; minimise necessary copies.</t>
  </si>
  <si>
    <t xml:space="preserve">req-protect-customer-data</t>
  </si>
  <si>
    <t xml:space="preserve">GSP-028 · req-protect-customer-data</t>
  </si>
  <si>
    <t xml:space="preserve">A.8.11; A.8.12</t>
  </si>
  <si>
    <t xml:space="preserve">Data flow review.</t>
  </si>
  <si>
    <t xml:space="preserve">UCR-341</t>
  </si>
  <si>
    <t xml:space="preserve">Privacy compliance</t>
  </si>
  <si>
    <t xml:space="preserve">Identify applicable privacy laws (GDPR, CCPA) and implement compliance processes.</t>
  </si>
  <si>
    <t xml:space="preserve">req-comply-privacy-regulation</t>
  </si>
  <si>
    <t xml:space="preserve">BSSC GSP v2 — 7. Privacy</t>
  </si>
  <si>
    <t xml:space="preserve">BSSC GSP; SEAL; CIS v8.1; NIST CSF 2.0; ISO 27001:2022; GDPR</t>
  </si>
  <si>
    <t xml:space="preserve">GSP-050 · req-comply-privacy-regulation</t>
  </si>
  <si>
    <t xml:space="preserve">CIS 3.1</t>
  </si>
  <si>
    <t xml:space="preserve">GDPR</t>
  </si>
  <si>
    <t xml:space="preserve">Privacy compliance register.</t>
  </si>
  <si>
    <t xml:space="preserve">UCR-342</t>
  </si>
  <si>
    <t xml:space="preserve">PII</t>
  </si>
  <si>
    <t xml:space="preserve">Treat on-chain data linkable to individuals (addresses, transactions) as PII.</t>
  </si>
  <si>
    <t xml:space="preserve">req-manage-pii</t>
  </si>
  <si>
    <t xml:space="preserve">GSP-051 · req-manage-pii</t>
  </si>
  <si>
    <t xml:space="preserve">ID.AM-07</t>
  </si>
  <si>
    <t xml:space="preserve">GDPR Art. 5, 25</t>
  </si>
  <si>
    <t xml:space="preserve">Data inventory classifies addresses.</t>
  </si>
  <si>
    <t xml:space="preserve">UCR-343</t>
  </si>
  <si>
    <t xml:space="preserve">Process personal data only for defined, communicated purposes.</t>
  </si>
  <si>
    <t xml:space="preserve">req-define-pii-use</t>
  </si>
  <si>
    <t xml:space="preserve">GSP-052 · req-define-pii-use</t>
  </si>
  <si>
    <t xml:space="preserve">Privacy notice / RoPA.</t>
  </si>
  <si>
    <t xml:space="preserve">UCR-344</t>
  </si>
  <si>
    <t xml:space="preserve">Never use personal data for incompatible purposes.</t>
  </si>
  <si>
    <t xml:space="preserve">req-follow-usage-policy</t>
  </si>
  <si>
    <t xml:space="preserve">GSP-053 · req-follow-usage-policy</t>
  </si>
  <si>
    <t xml:space="preserve">Data use audit.</t>
  </si>
  <si>
    <t xml:space="preserve">UCR-345</t>
  </si>
  <si>
    <t xml:space="preserve">Obtain consent/disclosure for new incompatible purposes.</t>
  </si>
  <si>
    <t xml:space="preserve">req-renew-consent</t>
  </si>
  <si>
    <t xml:space="preserve">GSP-054 · req-renew-consent</t>
  </si>
  <si>
    <t xml:space="preserve">Consent records.</t>
  </si>
  <si>
    <t xml:space="preserve">UCR-346</t>
  </si>
  <si>
    <t xml:space="preserve">Inform users before on-chain submission what personal data is stored and why.</t>
  </si>
  <si>
    <t xml:space="preserve">req-pii-use-transparency</t>
  </si>
  <si>
    <t xml:space="preserve">GSP-055 · req-pii-use-transparency</t>
  </si>
  <si>
    <t xml:space="preserve">GDPR Art. 13–14</t>
  </si>
  <si>
    <t xml:space="preserve">UX disclosure review.</t>
  </si>
  <si>
    <t xml:space="preserve">UCR-347</t>
  </si>
  <si>
    <t xml:space="preserve">Minimise personal data stored on-chain (hashes/commitments, off-chain storage).</t>
  </si>
  <si>
    <t xml:space="preserve">req-minimize-pii-stored</t>
  </si>
  <si>
    <t xml:space="preserve">GSP-056 · req-minimize-pii-stored</t>
  </si>
  <si>
    <t xml:space="preserve">A.5.34; A.8.11</t>
  </si>
  <si>
    <t xml:space="preserve">Design review of on-chain payloads.</t>
  </si>
  <si>
    <t xml:space="preserve">UCR-348</t>
  </si>
  <si>
    <t xml:space="preserve">Media sanitization</t>
  </si>
  <si>
    <t xml:space="preserve">Sanitize or destroy all media that held key material or sensitive data using NIST SP 800-88 methods, with certificates of destruction.</t>
  </si>
  <si>
    <t xml:space="preserve">CCSS v9.0 — 2.02 Data Sanitization</t>
  </si>
  <si>
    <t xml:space="preserve">Custodian/Exchange; Node/validator operator</t>
  </si>
  <si>
    <t xml:space="preserve">SEAL; CCSS v9.0; CIS v8.1; NIST CSF 2.0; ISO 27001:2022</t>
  </si>
  <si>
    <t xml:space="preserve">A.7.14; A.8.10</t>
  </si>
  <si>
    <t xml:space="preserve">UCR-093 [Related] (BSSC KMS v1 KMS-KX-04)</t>
  </si>
  <si>
    <t xml:space="preserve">UCR-349</t>
  </si>
  <si>
    <t xml:space="preserve">Physical security</t>
  </si>
  <si>
    <t xml:space="preserve">Physically secure key storage environments (access control, CCTV, dual custody).</t>
  </si>
  <si>
    <t xml:space="preserve">KMS-KS-03</t>
  </si>
  <si>
    <t xml:space="preserve">KMS-062 · KMS-KS-03</t>
  </si>
  <si>
    <t xml:space="preserve">PR.AA-06</t>
  </si>
  <si>
    <t xml:space="preserve">A.7.1; A.7.2; A.7.4</t>
  </si>
  <si>
    <t xml:space="preserve">Site inspection.</t>
  </si>
  <si>
    <t xml:space="preserve">UCR-350</t>
  </si>
  <si>
    <t xml:space="preserve">Locate HSMs where unauthorised physical access is prevented.</t>
  </si>
  <si>
    <t xml:space="preserve">KMS-KS-06</t>
  </si>
  <si>
    <t xml:space="preserve">KMS-065 · KMS-KS-06</t>
  </si>
  <si>
    <t xml:space="preserve">A.7.3; A.7.4</t>
  </si>
  <si>
    <t xml:space="preserve">UCR-351</t>
  </si>
  <si>
    <t xml:space="preserve">Run periodic enhanced background checks for staff with access to customer funds.</t>
  </si>
  <si>
    <t xml:space="preserve">req-background-checks</t>
  </si>
  <si>
    <t xml:space="preserve">BSSC GSP; OWASP Web3 Top 15; SEAL; CCSS v9.0; NIST CSF 2.0; ISO 27001:2022</t>
  </si>
  <si>
    <t xml:space="preserve">GSP-024 · req-background-checks</t>
  </si>
  <si>
    <t xml:space="preserve">WA12; WA15</t>
  </si>
  <si>
    <t xml:space="preserve">GV.RR-04</t>
  </si>
  <si>
    <t xml:space="preserve">A.6.1</t>
  </si>
  <si>
    <t xml:space="preserve">UCR-355 [Related] (SEAL Frameworks Insider Threats (DPRK IT Workers))</t>
  </si>
  <si>
    <t xml:space="preserve">HR screening records.</t>
  </si>
  <si>
    <t xml:space="preserve">UCR-352</t>
  </si>
  <si>
    <t xml:space="preserve">Training</t>
  </si>
  <si>
    <t xml:space="preserve">Require annual security awareness training (incl. social engineering, wallet drainers).</t>
  </si>
  <si>
    <t xml:space="preserve">req-train-everyone</t>
  </si>
  <si>
    <t xml:space="preserve">GSP-025 · req-train-everyone</t>
  </si>
  <si>
    <t xml:space="preserve">CIS 14.1</t>
  </si>
  <si>
    <t xml:space="preserve">PR.AT-01</t>
  </si>
  <si>
    <t xml:space="preserve">A.6.3</t>
  </si>
  <si>
    <t xml:space="preserve">UCR-354 [Related] (OWASP Web3 Top 15 WA05)</t>
  </si>
  <si>
    <t xml:space="preserve">Completion rates.</t>
  </si>
  <si>
    <t xml:space="preserve">UCR-353</t>
  </si>
  <si>
    <t xml:space="preserve">Provide developers additional secure SDLC / smart contract security training.</t>
  </si>
  <si>
    <t xml:space="preserve">req-security-training</t>
  </si>
  <si>
    <t xml:space="preserve">GSP-026 · req-security-training</t>
  </si>
  <si>
    <t xml:space="preserve">CIS 16.9</t>
  </si>
  <si>
    <t xml:space="preserve">PR.AT-02</t>
  </si>
  <si>
    <t xml:space="preserve">A.6.3; A.8.25</t>
  </si>
  <si>
    <t xml:space="preserve">Training records.</t>
  </si>
  <si>
    <t xml:space="preserve">UCR-354</t>
  </si>
  <si>
    <t xml:space="preserve">Fake-interview &amp; meeting malware</t>
  </si>
  <si>
    <t xml:space="preserve">Prohibit installing software or running code supplied by external parties during calls/interviews; use isolated devices for untrusted repos.</t>
  </si>
  <si>
    <t xml:space="preserve">OWASP Web3 Top 15 — WA05</t>
  </si>
  <si>
    <t xml:space="preserve">Awareness; OpSec</t>
  </si>
  <si>
    <t xml:space="preserve">CIS 2.5; CIS 10.1</t>
  </si>
  <si>
    <t xml:space="preserve">UCR-352 [Related] (BSSC GSP v2 req-train-everyone)</t>
  </si>
  <si>
    <t xml:space="preserve">Policy + awareness test results.</t>
  </si>
  <si>
    <t xml:space="preserve">UCR-355</t>
  </si>
  <si>
    <t xml:space="preserve">Hiring &amp; contractor verification</t>
  </si>
  <si>
    <t xml:space="preserve">Verify identity of hires/contractors (live video, document checks, references), watch for DPRK IT-worker indicators, and run coding tests only in isolated sandboxes.</t>
  </si>
  <si>
    <t xml:space="preserve">SEAL Frameworks — Insider Threats (DPRK IT Workers)</t>
  </si>
  <si>
    <t xml:space="preserve">OWASP Web3 Top 15; SEAL; NIST CSF 2.0; ISO 27001:2022</t>
  </si>
  <si>
    <t xml:space="preserve">WA05; WA15</t>
  </si>
  <si>
    <t xml:space="preserve">UCR-351 [Related] (BSSC GSP v2 req-background-checks)</t>
  </si>
  <si>
    <t xml:space="preserve">HR verification records; interview environment config.</t>
  </si>
  <si>
    <t xml:space="preserve">UCR-356</t>
  </si>
  <si>
    <t xml:space="preserve">Coercion &amp; duress (wrench attacks)</t>
  </si>
  <si>
    <t xml:space="preserve">Protect key personnel from physical coercion: minimise public exposure of holdings and roles, duress procedures, multi-party controls that one coerced person cannot satisfy, travel security.</t>
  </si>
  <si>
    <t xml:space="preserve">SEAL Frameworks — Physical Security</t>
  </si>
  <si>
    <t xml:space="preserve">Physical Security; Privacy</t>
  </si>
  <si>
    <t xml:space="preserve">A.7.4</t>
  </si>
  <si>
    <t xml:space="preserve">UCR-045 [Related] (BSSC KMS v1 KMS-GEN-44)</t>
  </si>
  <si>
    <t xml:space="preserve">Duress procedure; exec privacy review.</t>
  </si>
  <si>
    <t xml:space="preserve">UCR-357</t>
  </si>
  <si>
    <t xml:space="preserve">Phishing-resistant authentication</t>
  </si>
  <si>
    <t xml:space="preserve">Require phishing-resistant MFA (FIDO2/passkeys) for all staff, admin, registrar, cloud, code-hosting and social accounts.</t>
  </si>
  <si>
    <t xml:space="preserve">SEAL Frameworks — Awareness</t>
  </si>
  <si>
    <t xml:space="preserve">OpSec; Awareness</t>
  </si>
  <si>
    <t xml:space="preserve">CIS 6.3; CIS 6.4; CIS 6.5</t>
  </si>
  <si>
    <t xml:space="preserve">A.8.5</t>
  </si>
  <si>
    <t xml:space="preserve">IdP policy; MFA coverage report.</t>
  </si>
  <si>
    <t xml:space="preserve">UCR-358</t>
  </si>
  <si>
    <t xml:space="preserve">DNS &amp; domain protection</t>
  </si>
  <si>
    <t xml:space="preserve">Enable registrar lock and registry lock, DNSSEC and CAA records; enforce MFA on registrar accounts; monitor DNS/certificate changes (CT logs).</t>
  </si>
  <si>
    <t xml:space="preserve">OWASP Web3 Top 15 — WA13</t>
  </si>
  <si>
    <t xml:space="preserve">Registrar settings; CT monitoring alerts.</t>
  </si>
  <si>
    <t xml:space="preserve">UCR-359</t>
  </si>
  <si>
    <t xml:space="preserve">Front-end integrity</t>
  </si>
  <si>
    <t xml:space="preserve">Serve the dApp with strict CSP and Subresource Integrity, pin and review third-party scripts, sign/verify builds, and offer an immutable (e.g., IPFS) build hash users can verify.</t>
  </si>
  <si>
    <t xml:space="preserve">OWASP Web3 Top 15 — WA02</t>
  </si>
  <si>
    <t xml:space="preserve">WA02; WA13</t>
  </si>
  <si>
    <t xml:space="preserve">Supply Chain; Infrastructure</t>
  </si>
  <si>
    <t xml:space="preserve">CIS 16.4; CIS 16.11</t>
  </si>
  <si>
    <t xml:space="preserve">A.8.26</t>
  </si>
  <si>
    <t xml:space="preserve">CSP/SRI headers scan; build provenance.</t>
  </si>
  <si>
    <t xml:space="preserve">UCR-360</t>
  </si>
  <si>
    <t xml:space="preserve">Transaction clarity &amp; approval phishing</t>
  </si>
  <si>
    <t xml:space="preserve">Show human-readable transaction previews/simulation, request minimal token approvals (no unlimited by default), and support EIP-712 clear signing.</t>
  </si>
  <si>
    <t xml:space="preserve">OWASP Web3 Top 15 — WA06</t>
  </si>
  <si>
    <t xml:space="preserve">WA06; WA04</t>
  </si>
  <si>
    <t xml:space="preserve">UX review; approval amount defaults.</t>
  </si>
  <si>
    <t xml:space="preserve">UCR-361</t>
  </si>
  <si>
    <t xml:space="preserve">Brand &amp; token impersonation monitoring</t>
  </si>
  <si>
    <t xml:space="preserve">Monitor for look-alike domains, fake tokens/airdrops and impersonating social accounts; maintain takedown procedures and publish official channels/addresses.</t>
  </si>
  <si>
    <t xml:space="preserve">OWASP Web3 Top 15 — WA10</t>
  </si>
  <si>
    <t xml:space="preserve">WA10; WA09</t>
  </si>
  <si>
    <t xml:space="preserve">UCR-173 [Related] (BSSC TIS v1 Deployment Address)</t>
  </si>
  <si>
    <t xml:space="preserve">Monitoring service reports; takedown log.</t>
  </si>
  <si>
    <t xml:space="preserve">UCR-362</t>
  </si>
  <si>
    <t xml:space="preserve">Customer account &amp; withdrawal protection</t>
  </si>
  <si>
    <t xml:space="preserve">Protect customer accounts: phishing-resistant MFA, withdrawal-address allowlists with cooling-off for new addresses, address-poisoning detection, and anomaly-based withdrawal holds.</t>
  </si>
  <si>
    <t xml:space="preserve">WA07; WA08</t>
  </si>
  <si>
    <t xml:space="preserve">OWASP Web3 Top 15 — WA07; WA08</t>
  </si>
  <si>
    <t xml:space="preserve">WA07; WA08; WA06</t>
  </si>
  <si>
    <t xml:space="preserve">CIS 6.3</t>
  </si>
  <si>
    <t xml:space="preserve">PR.AA-03; DE.AE-02</t>
  </si>
  <si>
    <t xml:space="preserve">Account security settings; withdrawal hold metrics.</t>
  </si>
  <si>
    <t xml:space="preserve">UCR-363</t>
  </si>
  <si>
    <t xml:space="preserve">Community channel security</t>
  </si>
  <si>
    <t xml:space="preserve">Harden Discord/Telegram/X accounts (MFA, limited admins, bot permission review, link restrictions) and pre-plan compromised-account response.</t>
  </si>
  <si>
    <t xml:space="preserve">SEAL Frameworks — Community Management</t>
  </si>
  <si>
    <t xml:space="preserve">WA08; WA10</t>
  </si>
  <si>
    <t xml:space="preserve">CIS 5.4; CIS 6.5</t>
  </si>
  <si>
    <t xml:space="preserve">Admin roster; bot permission audit.</t>
  </si>
  <si>
    <t xml:space="preserve">UCR-364</t>
  </si>
  <si>
    <t xml:space="preserve">ENS / naming security</t>
  </si>
  <si>
    <t xml:space="preserve">Hold ENS names in a multisig, enable fuses/expiry monitoring, and verify contenthash/resolver changes.</t>
  </si>
  <si>
    <t xml:space="preserve">SEAL Frameworks — ENS</t>
  </si>
  <si>
    <t xml:space="preserve">ENS ownership and expiry check.</t>
  </si>
  <si>
    <t xml:space="preserve">UCR-365</t>
  </si>
  <si>
    <t xml:space="preserve">Document protocol mechanics: upgrade path, governance and voting, kill-switches/emergency halts, and operator actions for each.</t>
  </si>
  <si>
    <t xml:space="preserve">req-document-protocol-operation</t>
  </si>
  <si>
    <t xml:space="preserve">NOS-009 · req-document-protocol-operation</t>
  </si>
  <si>
    <t xml:space="preserve">Review protocol runbooks for upgrade, vote and halt scenarios.</t>
  </si>
  <si>
    <t xml:space="preserve">UCR-366</t>
  </si>
  <si>
    <t xml:space="preserve">Disclose governance participation criteria, proposal criteria, voting history (where safe) and conflicts of interest including abstentions.</t>
  </si>
  <si>
    <t xml:space="preserve">req-document-governance-positions</t>
  </si>
  <si>
    <t xml:space="preserve">NOS-054 · req-document-governance-positions</t>
  </si>
  <si>
    <t xml:space="preserve">Review published governance disclosures.</t>
  </si>
  <si>
    <t xml:space="preserve">UCR-367</t>
  </si>
  <si>
    <t xml:space="preserve">Source code</t>
  </si>
  <si>
    <t xml:space="preserve">Make source code publicly available.</t>
  </si>
  <si>
    <t xml:space="preserve">req-publish-source</t>
  </si>
  <si>
    <t xml:space="preserve">BSSC SCS; NIST CSF 2.0; ISO 27001:2022</t>
  </si>
  <si>
    <t xml:space="preserve">SCS-042 · req-publish-source</t>
  </si>
  <si>
    <t xml:space="preserve">Public repo check.</t>
  </si>
  <si>
    <t xml:space="preserve">UCR-368</t>
  </si>
  <si>
    <t xml:space="preserve">Public documentation</t>
  </si>
  <si>
    <t xml:space="preserve">Publish system documentation: functionality, economic model, service levels and risks.</t>
  </si>
  <si>
    <t xml:space="preserve">req-document-overall-system</t>
  </si>
  <si>
    <t xml:space="preserve">SCS-043 · req-document-overall-system</t>
  </si>
  <si>
    <t xml:space="preserve">Docs review.</t>
  </si>
  <si>
    <t xml:space="preserve">UCR-369</t>
  </si>
  <si>
    <t xml:space="preserve">Address book</t>
  </si>
  <si>
    <t xml:space="preserve">Publish an address book of all contracts in the current version.</t>
  </si>
  <si>
    <t xml:space="preserve">req-identify-contracts-used</t>
  </si>
  <si>
    <t xml:space="preserve">BSSC SCS; OWASP Web3 Top 15; CIS v8.1; NIST CSF 2.0; ISO 27001:2022</t>
  </si>
  <si>
    <t xml:space="preserve">SCS-044 · req-identify-contracts-used</t>
  </si>
  <si>
    <t xml:space="preserve">CIS 2.1</t>
  </si>
  <si>
    <t xml:space="preserve">UCR-319 [Related] (CIS Controls v8.1 CIS 1.1; 2.1)</t>
  </si>
  <si>
    <t xml:space="preserve">Address book vs on-chain.</t>
  </si>
  <si>
    <t xml:space="preserve">UCR-370</t>
  </si>
  <si>
    <t xml:space="preserve">Governance disclosure</t>
  </si>
  <si>
    <t xml:space="preserve">Document decision-making, approvers, implementation, timeframes, user participation, disputes and exit mechanisms.</t>
  </si>
  <si>
    <t xml:space="preserve">req-document-governance</t>
  </si>
  <si>
    <t xml:space="preserve">BSSC SCS v1 — 5. Governance</t>
  </si>
  <si>
    <t xml:space="preserve">SCS-057 · req-document-governance</t>
  </si>
  <si>
    <t xml:space="preserve">GV.RR-02; GV.OC-02</t>
  </si>
  <si>
    <t xml:space="preserve">A.5.1; A.5.2</t>
  </si>
  <si>
    <t xml:space="preserve">UCR-184 [Related] (BSSC TIS v1 Document DAO Governance); UCR-384 [Related] (OWASP SC Top 10:2026 SC02; SC04)</t>
  </si>
  <si>
    <t xml:space="preserve">Governance doc review.</t>
  </si>
  <si>
    <t xml:space="preserve">UCR-371</t>
  </si>
  <si>
    <t xml:space="preserve">Notify users of expected changes in advance and update documentation promptly.</t>
  </si>
  <si>
    <t xml:space="preserve">req-update-documentation</t>
  </si>
  <si>
    <t xml:space="preserve">SCS-058 · req-update-documentation</t>
  </si>
  <si>
    <t xml:space="preserve">Change notice history.</t>
  </si>
  <si>
    <t xml:space="preserve">UCR-372</t>
  </si>
  <si>
    <t xml:space="preserve">Document all entities controlling or governing the system.</t>
  </si>
  <si>
    <t xml:space="preserve">req-identify-governance-participants</t>
  </si>
  <si>
    <t xml:space="preserve">SCS-059 · req-identify-governance-participants</t>
  </si>
  <si>
    <t xml:space="preserve">UCR-182 [Related] (BSSC TIS v1 Identify Parties Controlling Critical Actions)</t>
  </si>
  <si>
    <t xml:space="preserve">Participant list vs on-chain roles.</t>
  </si>
  <si>
    <t xml:space="preserve">UCR-373</t>
  </si>
  <si>
    <t xml:space="preserve">Upgrades</t>
  </si>
  <si>
    <t xml:space="preserve">Implement user-protecting safeguards when scope changes (timelocks, opt-out/exit windows).</t>
  </si>
  <si>
    <t xml:space="preserve">req-use-safeguards</t>
  </si>
  <si>
    <t xml:space="preserve">BSSC SCS; OWASP SCSVS; OWASP SC Top 10:2026; SEAL; NIST CSF 2.0; ISO 27001:2022</t>
  </si>
  <si>
    <t xml:space="preserve">SCS-060 · req-use-safeguards</t>
  </si>
  <si>
    <t xml:space="preserve">UCR-386 [Related] (OWASP SCSVS SCSVS-GOV)</t>
  </si>
  <si>
    <t xml:space="preserve">Timelock delay on-chain.</t>
  </si>
  <si>
    <t xml:space="preserve">UCR-374</t>
  </si>
  <si>
    <t xml:space="preserve">If upgradeable, document: upgradable components, user safeguards, upgrade design logic, approval/implementation process, and upgrade communications (req-document-upgrade-* rows).</t>
  </si>
  <si>
    <t xml:space="preserve">req-document-upgradability</t>
  </si>
  <si>
    <t xml:space="preserve">SCS-061 · req-document-upgradability</t>
  </si>
  <si>
    <t xml:space="preserve">UCR-186 [Related] (BSSC TIS v1 Not upgradable (conditional lead-in)); UCR-383 [Related] (OWASP SC Top 10:2026 SC10)</t>
  </si>
  <si>
    <t xml:space="preserve">Document set present.</t>
  </si>
  <si>
    <t xml:space="preserve">UCR-375</t>
  </si>
  <si>
    <t xml:space="preserve">req-document-upgradable-components</t>
  </si>
  <si>
    <t xml:space="preserve">SCS-062 · req-document-upgradable-components</t>
  </si>
  <si>
    <t xml:space="preserve">UCR-187 [Related] (BSSC TIS v1 Document upgradable components)</t>
  </si>
  <si>
    <t xml:space="preserve">Proxy inspection.</t>
  </si>
  <si>
    <t xml:space="preserve">UCR-376</t>
  </si>
  <si>
    <t xml:space="preserve">Describe user safeguards around upgrades.</t>
  </si>
  <si>
    <t xml:space="preserve">req-document-upgrade-safeguards</t>
  </si>
  <si>
    <t xml:space="preserve">SCS-063 · req-document-upgrade-safeguards</t>
  </si>
  <si>
    <t xml:space="preserve">Doc review.</t>
  </si>
  <si>
    <t xml:space="preserve">UCR-377</t>
  </si>
  <si>
    <t xml:space="preserve">Explain the upgrade mechanism design logic.</t>
  </si>
  <si>
    <t xml:space="preserve">req-document-upgrade-logic</t>
  </si>
  <si>
    <t xml:space="preserve">SCS-064 · req-document-upgrade-logic</t>
  </si>
  <si>
    <t xml:space="preserve">UCR-190 [Related] (BSSC TIS v1 Document upgrade logic)</t>
  </si>
  <si>
    <t xml:space="preserve">UCR-378</t>
  </si>
  <si>
    <t xml:space="preserve">Describe upgrade approval and implementation process.</t>
  </si>
  <si>
    <t xml:space="preserve">req-document-upgrade-process</t>
  </si>
  <si>
    <t xml:space="preserve">SCS-065 · req-document-upgrade-process</t>
  </si>
  <si>
    <t xml:space="preserve">UCR-191 [Related] (BSSC TIS v1 Document upgrade process)</t>
  </si>
  <si>
    <t xml:space="preserve">Doc review; sample upgrade.</t>
  </si>
  <si>
    <t xml:space="preserve">UCR-379</t>
  </si>
  <si>
    <t xml:space="preserve">Describe when/how upcoming upgrades are communicated.</t>
  </si>
  <si>
    <t xml:space="preserve">req-document-upgrade-comms</t>
  </si>
  <si>
    <t xml:space="preserve">SCS-066 · req-document-upgrade-comms</t>
  </si>
  <si>
    <t xml:space="preserve">UCR-192 [Related] (BSSC TIS v1 Document upgrade communication)</t>
  </si>
  <si>
    <t xml:space="preserve">UCR-380</t>
  </si>
  <si>
    <t xml:space="preserve">Limit privileged roles to the minimum necessary functions.</t>
  </si>
  <si>
    <t xml:space="preserve">req-limit-privileged-roles</t>
  </si>
  <si>
    <t xml:space="preserve">BSSC SCS; OWASP SCSVS; OWASP SC Top 10:2026; OWASP Web3 Top 15; SEAL; CCSS v9.0; CIS v8.1; NIST CSF 2.0; ISO 27001:2022</t>
  </si>
  <si>
    <t xml:space="preserve">SCS-067 · req-limit-privileged-roles</t>
  </si>
  <si>
    <t xml:space="preserve">CIS 5.4; CIS 6.8</t>
  </si>
  <si>
    <t xml:space="preserve">UCR-249 [Related] (BSSC GSP v2 req-least-privilege); UCR-244 [Related] (BSSC KMS v1 KMS-GEN-12); UCR-150 [Related] (OWASP SC Top 10:2026 SC01)</t>
  </si>
  <si>
    <t xml:space="preserve">On-chain role enumeration.</t>
  </si>
  <si>
    <t xml:space="preserve">UCR-381</t>
  </si>
  <si>
    <t xml:space="preserve">Hold privileged roles via multisig/MPC (no single EOA admin).</t>
  </si>
  <si>
    <t xml:space="preserve">req-decentralize-privileged-roles</t>
  </si>
  <si>
    <t xml:space="preserve">SCS-068 · req-decentralize-privileged-roles</t>
  </si>
  <si>
    <t xml:space="preserve">UCR-181 [Related] (BSSC TIS v1 Decentralize Privileged Roles); UCR-096 [Related] (SEAL Frameworks Multisig for Protocols); UCR-100 [Related] (SEAL Frameworks Multisig for Protocols)</t>
  </si>
  <si>
    <t xml:space="preserve">Role holder threshold check.</t>
  </si>
  <si>
    <t xml:space="preserve">UCR-382</t>
  </si>
  <si>
    <t xml:space="preserve">Hold entities in privileged roles to appropriate security and compliance standards (KMS for signer keys).</t>
  </si>
  <si>
    <t xml:space="preserve">req-secure-privileged-roles</t>
  </si>
  <si>
    <t xml:space="preserve">SCS-069 · req-secure-privileged-roles</t>
  </si>
  <si>
    <t xml:space="preserve">WA01; WA03</t>
  </si>
  <si>
    <t xml:space="preserve">GV.SC-05; PR.AA-05</t>
  </si>
  <si>
    <t xml:space="preserve">A.5.19; A.8.2</t>
  </si>
  <si>
    <t xml:space="preserve">Signer security attestation.</t>
  </si>
  <si>
    <t xml:space="preserve">UCR-383</t>
  </si>
  <si>
    <t xml:space="preserve">Proxy &amp; upgrade safety</t>
  </si>
  <si>
    <t xml:space="preserve">Protect initializers (disable on implementations), validate storage-layout compatibility on every upgrade, and restrict upgrade authority to a timelocked multisig.</t>
  </si>
  <si>
    <t xml:space="preserve">OWASP SC Top 10:2026 — SC10</t>
  </si>
  <si>
    <t xml:space="preserve">OpenZeppelin upgrades validation in CI; initializer tests.</t>
  </si>
  <si>
    <t xml:space="preserve">UCR-384</t>
  </si>
  <si>
    <t xml:space="preserve">Governance-attack defences</t>
  </si>
  <si>
    <t xml:space="preserve">Set quorum/proposal thresholds and voting delays that resist vote buying and flash-loan voting; simulate and review every proposal's calldata before execution; monitor delegate concentration.</t>
  </si>
  <si>
    <t xml:space="preserve">SC02; SC04</t>
  </si>
  <si>
    <t xml:space="preserve">OWASP SC Top 10:2026 — SC02; SC04</t>
  </si>
  <si>
    <t xml:space="preserve">Monitoring; Multisig for Protocols</t>
  </si>
  <si>
    <t xml:space="preserve">GV.RM-04; DE.CM-09</t>
  </si>
  <si>
    <t xml:space="preserve">Governance parameters; proposal review records.</t>
  </si>
  <si>
    <t xml:space="preserve">UCR-385</t>
  </si>
  <si>
    <t xml:space="preserve">Emergency controls</t>
  </si>
  <si>
    <t xml:space="preserve">Implement a narrowly-scoped pause/circuit breaker held by a separate guardian multisig, with documented triggers and automatic expiry; test it regularly.</t>
  </si>
  <si>
    <t xml:space="preserve">OWASP SCSVS — SCSVS-GOV</t>
  </si>
  <si>
    <t xml:space="preserve">Pause drill record; role review.</t>
  </si>
  <si>
    <t xml:space="preserve">UCR-386</t>
  </si>
  <si>
    <t xml:space="preserve">Timelocks on admin actions</t>
  </si>
  <si>
    <t xml:space="preserve">Route parameter changes, upgrades and role grants through a timelock (e.g., ≥48h for non-emergency) with public monitoring of queued actions.</t>
  </si>
  <si>
    <t xml:space="preserve">OWASP SCSVS; OWASP SC Top 10:2026; OWASP Web3 Top 15; SEAL; NIST CSF 2.0; ISO 27001:2022</t>
  </si>
  <si>
    <t xml:space="preserve">UCR-373 [Related] (BSSC SCS v1 req-use-safeguards)</t>
  </si>
  <si>
    <t xml:space="preserve">On-chain timelock delay; alert on queue events.</t>
  </si>
  <si>
    <t xml:space="preserve">Version used</t>
  </si>
  <si>
    <t xml:space="preserve">Source</t>
  </si>
  <si>
    <t xml:space="preserve">How used in register</t>
  </si>
  <si>
    <t xml:space="preserve">Verification note</t>
  </si>
  <si>
    <t xml:space="preserve">BSSC Node Operation Standard (NOS)</t>
  </si>
  <si>
    <t xml:space="preserve">v2, 2026-05-14</t>
  </si>
  <si>
    <t xml:space="preserve">https://specs.blockchainssc.org/nos/</t>
  </si>
  <si>
    <t xml:space="preserve">Backbone (1 control per requirement)</t>
  </si>
  <si>
    <t xml:space="preserve">53 req- anchors verified against live spec</t>
  </si>
  <si>
    <t xml:space="preserve">BSSC Token Integration Standard (TIS)</t>
  </si>
  <si>
    <t xml:space="preserve">v1, 2025-05-13</t>
  </si>
  <si>
    <t xml:space="preserve">https://specs.blockchainssc.org/tis/</t>
  </si>
  <si>
    <t xml:space="preserve">Backbone</t>
  </si>
  <si>
    <t xml:space="preserve">Headings verified; only 1 req- anchor in source</t>
  </si>
  <si>
    <t xml:space="preserve">BSSC Key Management Standard (KMS)</t>
  </si>
  <si>
    <t xml:space="preserve">https://specs.blockchainssc.org/kms/</t>
  </si>
  <si>
    <t xml:space="preserve">No IDs in source; KMS-xx IDs assigned in document order</t>
  </si>
  <si>
    <t xml:space="preserve">BSSC Smart Contract Security Standard (SCS)</t>
  </si>
  <si>
    <t xml:space="preserve">v1, 2026-05-14</t>
  </si>
  <si>
    <t xml:space="preserve">https://specs.blockchainssc.org/scs/</t>
  </si>
  <si>
    <t xml:space="preserve">69 req- anchors verified</t>
  </si>
  <si>
    <t xml:space="preserve">BSSC General Security &amp; Privacy Guidelines (GSP)</t>
  </si>
  <si>
    <t xml:space="preserve">https://specs.blockchainssc.org/gsp/</t>
  </si>
  <si>
    <t xml:space="preserve">56 req- anchors verified</t>
  </si>
  <si>
    <t xml:space="preserve">OWASP Smart Contract Top 10</t>
  </si>
  <si>
    <t xml:space="preserve">2026 edition</t>
  </si>
  <si>
    <t xml:space="preserve">https://scs.owasp.org/sctop10</t>
  </si>
  <si>
    <t xml:space="preserve">Mapping + supplementary controls</t>
  </si>
  <si>
    <t xml:space="preserve">SC01–SC10 names verified</t>
  </si>
  <si>
    <t xml:space="preserve">OWASP Smart Contract Security Verification Standard (SCSVS)</t>
  </si>
  <si>
    <t xml:space="preserve">Current (2024 refactor; no version label)</t>
  </si>
  <si>
    <t xml:space="preserve">https://scs.owasp.org/SCSVS/</t>
  </si>
  <si>
    <t xml:space="preserve">Mapped at area level (SCSVS-ARCH … SCSVS-COMP)</t>
  </si>
  <si>
    <t xml:space="preserve">11 areas / 35 controls verified. Note: area codes do not always match area titles (e.g., SCSVS-ORACLE = 'Arithmetic and Logic Security')</t>
  </si>
  <si>
    <t xml:space="preserve">OWASP Alternate Top 15: Web3 Attack Vectors</t>
  </si>
  <si>
    <t xml:space="preserve">2026</t>
  </si>
  <si>
    <t xml:space="preserve">https://scs.owasp.org/sctop10/Web3-Attack-Vectors-Top15/</t>
  </si>
  <si>
    <t xml:space="preserve">WA01–WA15 names verified</t>
  </si>
  <si>
    <t xml:space="preserve">EthTrust Security Levels</t>
  </si>
  <si>
    <t xml:space="preserve">Latest published spec (EEA; maintained by W3C EthTrust CG since Apr 2026)</t>
  </si>
  <si>
    <t xml:space="preserve">https://github.com/w3c-cg/EthTrust</t>
  </si>
  <si>
    <t xml:space="preserve">Mapped by level [S]/[M]/[Q] and named requirements cited by BSSC TIS</t>
  </si>
  <si>
    <t xml:space="preserve">Version number not stated on CG pages – confirm before certification use</t>
  </si>
  <si>
    <t xml:space="preserve">SEAL Frameworks (Security Alliance)</t>
  </si>
  <si>
    <t xml:space="preserve">Living document</t>
  </si>
  <si>
    <t xml:space="preserve">https://frameworks.securityalliance.org/</t>
  </si>
  <si>
    <t xml:space="preserve">20 framework names verified</t>
  </si>
  <si>
    <t xml:space="preserve">CryptoCurrency Security Standard (CCSS)</t>
  </si>
  <si>
    <t xml:space="preserve">v9.0 (Dec 2024)</t>
  </si>
  <si>
    <t xml:space="preserve">https://cryptoconsortium.org/</t>
  </si>
  <si>
    <t xml:space="preserve">Mapping (aspect level) + supplementary</t>
  </si>
  <si>
    <t xml:space="preserve">10 aspects verified; prior BSSC workbook used legacy numbering – corrected here</t>
  </si>
  <si>
    <t xml:space="preserve">CIS Critical Security Controls</t>
  </si>
  <si>
    <t xml:space="preserve">v8.1</t>
  </si>
  <si>
    <t xml:space="preserve">https://www.cisecurity.org/controls/cis-controls-list</t>
  </si>
  <si>
    <t xml:space="preserve">Mapping (safeguard level) + supplementary</t>
  </si>
  <si>
    <t xml:space="preserve">18 control names verified; safeguard numbers per v8.1</t>
  </si>
  <si>
    <t xml:space="preserve">NIST Cybersecurity Framework</t>
  </si>
  <si>
    <t xml:space="preserve">2.0</t>
  </si>
  <si>
    <t xml:space="preserve">https://www.nist.gov/cyberframework</t>
  </si>
  <si>
    <t xml:space="preserve">Mapping (subcategory)</t>
  </si>
  <si>
    <t xml:space="preserve">Indicative</t>
  </si>
  <si>
    <t xml:space="preserve">ISO/IEC 27001</t>
  </si>
  <si>
    <t xml:space="preserve">2022</t>
  </si>
  <si>
    <t xml:space="preserve">https://www.iso.org/standard/27001</t>
  </si>
  <si>
    <t xml:space="preserve">Mapping (Annex A / clauses)</t>
  </si>
  <si>
    <t xml:space="preserve">DORA – Regulation (EU) 2022/2554</t>
  </si>
  <si>
    <t xml:space="preserve">In force (applies from 2025-01-17)</t>
  </si>
  <si>
    <t xml:space="preserve">https://eur-lex.europa.eu/eli/reg/2022/2554/oj</t>
  </si>
  <si>
    <t xml:space="preserve">Mapping (article) + supplementary</t>
  </si>
  <si>
    <t xml:space="preserve">Article-level; legal review recommended</t>
  </si>
  <si>
    <t xml:space="preserve">MiCA – Regulation (EU) 2023/1114</t>
  </si>
  <si>
    <t xml:space="preserve">In force</t>
  </si>
  <si>
    <t xml:space="preserve">https://eur-lex.europa.eu/eli/reg/2023/1114/oj</t>
  </si>
  <si>
    <t xml:space="preserve">FATF Recommendations 15 &amp; 16 / EU TFR 2023/1113</t>
  </si>
  <si>
    <t xml:space="preserve">Current</t>
  </si>
  <si>
    <t xml:space="preserve">https://www.fatf-gafi.org/</t>
  </si>
  <si>
    <t xml:space="preserve">Supplementary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</si>
</sst>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3E6A8A"/>
        <bgColor rgb="FF0563C1"/>
      </patternFill>
    </fill>
    <fill>
      <patternFill patternType="solid">
        <fgColor rgb="FFFFF9DB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E6A8A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4CCC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9DB"/>
      <rgbColor rgb="FFDDEBF7"/>
      <rgbColor rgb="FF660066"/>
      <rgbColor rgb="FFFF8080"/>
      <rgbColor rgb="FF0563C1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3E6A8A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pecs.blockchainssc.org/nos/" TargetMode="External"/><Relationship Id="rId2" Type="http://schemas.openxmlformats.org/officeDocument/2006/relationships/hyperlink" Target="https://specs.blockchainssc.org/nos/" TargetMode="External"/><Relationship Id="rId3" Type="http://schemas.openxmlformats.org/officeDocument/2006/relationships/hyperlink" Target="https://specs.blockchainssc.org/nos/" TargetMode="External"/><Relationship Id="rId4" Type="http://schemas.openxmlformats.org/officeDocument/2006/relationships/hyperlink" Target="https://specs.blockchainssc.org/nos/" TargetMode="External"/><Relationship Id="rId5" Type="http://schemas.openxmlformats.org/officeDocument/2006/relationships/hyperlink" Target="https://specs.blockchainssc.org/nos/" TargetMode="External"/><Relationship Id="rId6" Type="http://schemas.openxmlformats.org/officeDocument/2006/relationships/hyperlink" Target="https://specs.blockchainssc.org/nos/" TargetMode="External"/><Relationship Id="rId7" Type="http://schemas.openxmlformats.org/officeDocument/2006/relationships/hyperlink" Target="https://specs.blockchainssc.org/nos/" TargetMode="External"/><Relationship Id="rId8" Type="http://schemas.openxmlformats.org/officeDocument/2006/relationships/hyperlink" Target="https://specs.blockchainssc.org/kms/" TargetMode="External"/><Relationship Id="rId9" Type="http://schemas.openxmlformats.org/officeDocument/2006/relationships/hyperlink" Target="https://specs.blockchainssc.org/kms/" TargetMode="External"/><Relationship Id="rId10" Type="http://schemas.openxmlformats.org/officeDocument/2006/relationships/hyperlink" Target="https://specs.blockchainssc.org/kms/" TargetMode="External"/><Relationship Id="rId11" Type="http://schemas.openxmlformats.org/officeDocument/2006/relationships/hyperlink" Target="https://specs.blockchainssc.org/kms/" TargetMode="External"/><Relationship Id="rId12" Type="http://schemas.openxmlformats.org/officeDocument/2006/relationships/hyperlink" Target="https://specs.blockchainssc.org/scs/" TargetMode="External"/><Relationship Id="rId13" Type="http://schemas.openxmlformats.org/officeDocument/2006/relationships/hyperlink" Target="https://specs.blockchainssc.org/scs/" TargetMode="External"/><Relationship Id="rId14" Type="http://schemas.openxmlformats.org/officeDocument/2006/relationships/hyperlink" Target="https://specs.blockchainssc.org/gsp/" TargetMode="External"/><Relationship Id="rId15" Type="http://schemas.openxmlformats.org/officeDocument/2006/relationships/hyperlink" Target="https://specs.blockchainssc.org/gsp/" TargetMode="External"/><Relationship Id="rId16" Type="http://schemas.openxmlformats.org/officeDocument/2006/relationships/hyperlink" Target="https://specs.blockchainssc.org/gsp/" TargetMode="External"/><Relationship Id="rId17" Type="http://schemas.openxmlformats.org/officeDocument/2006/relationships/hyperlink" Target="https://specs.blockchainssc.org/gsp/" TargetMode="External"/><Relationship Id="rId18" Type="http://schemas.openxmlformats.org/officeDocument/2006/relationships/hyperlink" Target="https://specs.blockchainssc.org/gsp/" TargetMode="External"/><Relationship Id="rId19" Type="http://schemas.openxmlformats.org/officeDocument/2006/relationships/hyperlink" Target="https://specs.blockchainssc.org/gsp/" TargetMode="External"/><Relationship Id="rId20" Type="http://schemas.openxmlformats.org/officeDocument/2006/relationships/hyperlink" Target="https://specs.blockchainssc.org/gsp/" TargetMode="External"/><Relationship Id="rId21" Type="http://schemas.openxmlformats.org/officeDocument/2006/relationships/hyperlink" Target="https://specs.blockchainssc.org/gsp/" TargetMode="External"/><Relationship Id="rId22" Type="http://schemas.openxmlformats.org/officeDocument/2006/relationships/hyperlink" Target="https://specs.blockchainssc.org/gsp/" TargetMode="External"/><Relationship Id="rId23" Type="http://schemas.openxmlformats.org/officeDocument/2006/relationships/hyperlink" Target="https://specs.blockchainssc.org/gsp/" TargetMode="External"/><Relationship Id="rId24" Type="http://schemas.openxmlformats.org/officeDocument/2006/relationships/hyperlink" Target="https://frameworks.securityalliance.org/" TargetMode="External"/><Relationship Id="rId25" Type="http://schemas.openxmlformats.org/officeDocument/2006/relationships/hyperlink" Target="https://cryptoconsortium.org/" TargetMode="External"/><Relationship Id="rId26" Type="http://schemas.openxmlformats.org/officeDocument/2006/relationships/hyperlink" Target="https://www.fatf-gafi.org/" TargetMode="External"/><Relationship Id="rId27" Type="http://schemas.openxmlformats.org/officeDocument/2006/relationships/hyperlink" Target="https://specs.blockchainssc.org/nos/" TargetMode="External"/><Relationship Id="rId28" Type="http://schemas.openxmlformats.org/officeDocument/2006/relationships/hyperlink" Target="https://specs.blockchainssc.org/nos/" TargetMode="External"/><Relationship Id="rId29" Type="http://schemas.openxmlformats.org/officeDocument/2006/relationships/hyperlink" Target="https://specs.blockchainssc.org/nos/" TargetMode="External"/><Relationship Id="rId30" Type="http://schemas.openxmlformats.org/officeDocument/2006/relationships/hyperlink" Target="https://specs.blockchainssc.org/nos/" TargetMode="External"/><Relationship Id="rId31" Type="http://schemas.openxmlformats.org/officeDocument/2006/relationships/hyperlink" Target="https://specs.blockchainssc.org/kms/" TargetMode="External"/><Relationship Id="rId32" Type="http://schemas.openxmlformats.org/officeDocument/2006/relationships/hyperlink" Target="https://specs.blockchainssc.org/kms/" TargetMode="External"/><Relationship Id="rId33" Type="http://schemas.openxmlformats.org/officeDocument/2006/relationships/hyperlink" Target="https://specs.blockchainssc.org/kms/" TargetMode="External"/><Relationship Id="rId34" Type="http://schemas.openxmlformats.org/officeDocument/2006/relationships/hyperlink" Target="https://specs.blockchainssc.org/kms/" TargetMode="External"/><Relationship Id="rId35" Type="http://schemas.openxmlformats.org/officeDocument/2006/relationships/hyperlink" Target="https://specs.blockchainssc.org/kms/" TargetMode="External"/><Relationship Id="rId36" Type="http://schemas.openxmlformats.org/officeDocument/2006/relationships/hyperlink" Target="https://specs.blockchainssc.org/kms/" TargetMode="External"/><Relationship Id="rId37" Type="http://schemas.openxmlformats.org/officeDocument/2006/relationships/hyperlink" Target="https://specs.blockchainssc.org/kms/" TargetMode="External"/><Relationship Id="rId38" Type="http://schemas.openxmlformats.org/officeDocument/2006/relationships/hyperlink" Target="https://specs.blockchainssc.org/kms/" TargetMode="External"/><Relationship Id="rId39" Type="http://schemas.openxmlformats.org/officeDocument/2006/relationships/hyperlink" Target="https://specs.blockchainssc.org/kms/" TargetMode="External"/><Relationship Id="rId40" Type="http://schemas.openxmlformats.org/officeDocument/2006/relationships/hyperlink" Target="https://specs.blockchainssc.org/kms/" TargetMode="External"/><Relationship Id="rId41" Type="http://schemas.openxmlformats.org/officeDocument/2006/relationships/hyperlink" Target="https://specs.blockchainssc.org/kms/" TargetMode="External"/><Relationship Id="rId42" Type="http://schemas.openxmlformats.org/officeDocument/2006/relationships/hyperlink" Target="https://specs.blockchainssc.org/kms/" TargetMode="External"/><Relationship Id="rId43" Type="http://schemas.openxmlformats.org/officeDocument/2006/relationships/hyperlink" Target="https://specs.blockchainssc.org/kms/" TargetMode="External"/><Relationship Id="rId44" Type="http://schemas.openxmlformats.org/officeDocument/2006/relationships/hyperlink" Target="https://specs.blockchainssc.org/kms/" TargetMode="External"/><Relationship Id="rId45" Type="http://schemas.openxmlformats.org/officeDocument/2006/relationships/hyperlink" Target="https://specs.blockchainssc.org/kms/" TargetMode="External"/><Relationship Id="rId46" Type="http://schemas.openxmlformats.org/officeDocument/2006/relationships/hyperlink" Target="https://specs.blockchainssc.org/kms/" TargetMode="External"/><Relationship Id="rId47" Type="http://schemas.openxmlformats.org/officeDocument/2006/relationships/hyperlink" Target="https://specs.blockchainssc.org/kms/" TargetMode="External"/><Relationship Id="rId48" Type="http://schemas.openxmlformats.org/officeDocument/2006/relationships/hyperlink" Target="https://specs.blockchainssc.org/kms/" TargetMode="External"/><Relationship Id="rId49" Type="http://schemas.openxmlformats.org/officeDocument/2006/relationships/hyperlink" Target="https://specs.blockchainssc.org/kms/" TargetMode="External"/><Relationship Id="rId50" Type="http://schemas.openxmlformats.org/officeDocument/2006/relationships/hyperlink" Target="https://specs.blockchainssc.org/kms/" TargetMode="External"/><Relationship Id="rId51" Type="http://schemas.openxmlformats.org/officeDocument/2006/relationships/hyperlink" Target="https://specs.blockchainssc.org/kms/" TargetMode="External"/><Relationship Id="rId52" Type="http://schemas.openxmlformats.org/officeDocument/2006/relationships/hyperlink" Target="https://specs.blockchainssc.org/kms/" TargetMode="External"/><Relationship Id="rId53" Type="http://schemas.openxmlformats.org/officeDocument/2006/relationships/hyperlink" Target="https://specs.blockchainssc.org/kms/" TargetMode="External"/><Relationship Id="rId54" Type="http://schemas.openxmlformats.org/officeDocument/2006/relationships/hyperlink" Target="https://specs.blockchainssc.org/kms/" TargetMode="External"/><Relationship Id="rId55" Type="http://schemas.openxmlformats.org/officeDocument/2006/relationships/hyperlink" Target="https://specs.blockchainssc.org/kms/" TargetMode="External"/><Relationship Id="rId56" Type="http://schemas.openxmlformats.org/officeDocument/2006/relationships/hyperlink" Target="https://specs.blockchainssc.org/kms/" TargetMode="External"/><Relationship Id="rId57" Type="http://schemas.openxmlformats.org/officeDocument/2006/relationships/hyperlink" Target="https://specs.blockchainssc.org/kms/" TargetMode="External"/><Relationship Id="rId58" Type="http://schemas.openxmlformats.org/officeDocument/2006/relationships/hyperlink" Target="https://specs.blockchainssc.org/kms/" TargetMode="External"/><Relationship Id="rId59" Type="http://schemas.openxmlformats.org/officeDocument/2006/relationships/hyperlink" Target="https://specs.blockchainssc.org/kms/" TargetMode="External"/><Relationship Id="rId60" Type="http://schemas.openxmlformats.org/officeDocument/2006/relationships/hyperlink" Target="https://specs.blockchainssc.org/kms/" TargetMode="External"/><Relationship Id="rId61" Type="http://schemas.openxmlformats.org/officeDocument/2006/relationships/hyperlink" Target="https://specs.blockchainssc.org/kms/" TargetMode="External"/><Relationship Id="rId62" Type="http://schemas.openxmlformats.org/officeDocument/2006/relationships/hyperlink" Target="https://specs.blockchainssc.org/kms/" TargetMode="External"/><Relationship Id="rId63" Type="http://schemas.openxmlformats.org/officeDocument/2006/relationships/hyperlink" Target="https://specs.blockchainssc.org/kms/" TargetMode="External"/><Relationship Id="rId64" Type="http://schemas.openxmlformats.org/officeDocument/2006/relationships/hyperlink" Target="https://specs.blockchainssc.org/kms/" TargetMode="External"/><Relationship Id="rId65" Type="http://schemas.openxmlformats.org/officeDocument/2006/relationships/hyperlink" Target="https://specs.blockchainssc.org/kms/" TargetMode="External"/><Relationship Id="rId66" Type="http://schemas.openxmlformats.org/officeDocument/2006/relationships/hyperlink" Target="https://specs.blockchainssc.org/kms/" TargetMode="External"/><Relationship Id="rId67" Type="http://schemas.openxmlformats.org/officeDocument/2006/relationships/hyperlink" Target="https://specs.blockchainssc.org/kms/" TargetMode="External"/><Relationship Id="rId68" Type="http://schemas.openxmlformats.org/officeDocument/2006/relationships/hyperlink" Target="https://specs.blockchainssc.org/kms/" TargetMode="External"/><Relationship Id="rId69" Type="http://schemas.openxmlformats.org/officeDocument/2006/relationships/hyperlink" Target="https://specs.blockchainssc.org/kms/" TargetMode="External"/><Relationship Id="rId70" Type="http://schemas.openxmlformats.org/officeDocument/2006/relationships/hyperlink" Target="https://specs.blockchainssc.org/kms/" TargetMode="External"/><Relationship Id="rId71" Type="http://schemas.openxmlformats.org/officeDocument/2006/relationships/hyperlink" Target="https://specs.blockchainssc.org/kms/" TargetMode="External"/><Relationship Id="rId72" Type="http://schemas.openxmlformats.org/officeDocument/2006/relationships/hyperlink" Target="https://specs.blockchainssc.org/kms/" TargetMode="External"/><Relationship Id="rId73" Type="http://schemas.openxmlformats.org/officeDocument/2006/relationships/hyperlink" Target="https://specs.blockchainssc.org/kms/" TargetMode="External"/><Relationship Id="rId74" Type="http://schemas.openxmlformats.org/officeDocument/2006/relationships/hyperlink" Target="https://specs.blockchainssc.org/kms/" TargetMode="External"/><Relationship Id="rId75" Type="http://schemas.openxmlformats.org/officeDocument/2006/relationships/hyperlink" Target="https://specs.blockchainssc.org/kms/" TargetMode="External"/><Relationship Id="rId76" Type="http://schemas.openxmlformats.org/officeDocument/2006/relationships/hyperlink" Target="https://specs.blockchainssc.org/kms/" TargetMode="External"/><Relationship Id="rId77" Type="http://schemas.openxmlformats.org/officeDocument/2006/relationships/hyperlink" Target="https://specs.blockchainssc.org/kms/" TargetMode="External"/><Relationship Id="rId78" Type="http://schemas.openxmlformats.org/officeDocument/2006/relationships/hyperlink" Target="https://specs.blockchainssc.org/kms/" TargetMode="External"/><Relationship Id="rId79" Type="http://schemas.openxmlformats.org/officeDocument/2006/relationships/hyperlink" Target="https://specs.blockchainssc.org/kms/" TargetMode="External"/><Relationship Id="rId80" Type="http://schemas.openxmlformats.org/officeDocument/2006/relationships/hyperlink" Target="https://specs.blockchainssc.org/kms/" TargetMode="External"/><Relationship Id="rId81" Type="http://schemas.openxmlformats.org/officeDocument/2006/relationships/hyperlink" Target="https://specs.blockchainssc.org/kms/" TargetMode="External"/><Relationship Id="rId82" Type="http://schemas.openxmlformats.org/officeDocument/2006/relationships/hyperlink" Target="https://specs.blockchainssc.org/kms/" TargetMode="External"/><Relationship Id="rId83" Type="http://schemas.openxmlformats.org/officeDocument/2006/relationships/hyperlink" Target="https://specs.blockchainssc.org/kms/" TargetMode="External"/><Relationship Id="rId84" Type="http://schemas.openxmlformats.org/officeDocument/2006/relationships/hyperlink" Target="https://specs.blockchainssc.org/kms/" TargetMode="External"/><Relationship Id="rId85" Type="http://schemas.openxmlformats.org/officeDocument/2006/relationships/hyperlink" Target="https://specs.blockchainssc.org/kms/" TargetMode="External"/><Relationship Id="rId86" Type="http://schemas.openxmlformats.org/officeDocument/2006/relationships/hyperlink" Target="https://specs.blockchainssc.org/kms/" TargetMode="External"/><Relationship Id="rId87" Type="http://schemas.openxmlformats.org/officeDocument/2006/relationships/hyperlink" Target="https://specs.blockchainssc.org/kms/" TargetMode="External"/><Relationship Id="rId88" Type="http://schemas.openxmlformats.org/officeDocument/2006/relationships/hyperlink" Target="https://specs.blockchainssc.org/kms/" TargetMode="External"/><Relationship Id="rId89" Type="http://schemas.openxmlformats.org/officeDocument/2006/relationships/hyperlink" Target="https://specs.blockchainssc.org/kms/" TargetMode="External"/><Relationship Id="rId90" Type="http://schemas.openxmlformats.org/officeDocument/2006/relationships/hyperlink" Target="https://specs.blockchainssc.org/kms/" TargetMode="External"/><Relationship Id="rId91" Type="http://schemas.openxmlformats.org/officeDocument/2006/relationships/hyperlink" Target="https://specs.blockchainssc.org/kms/" TargetMode="External"/><Relationship Id="rId92" Type="http://schemas.openxmlformats.org/officeDocument/2006/relationships/hyperlink" Target="https://specs.blockchainssc.org/kms/" TargetMode="External"/><Relationship Id="rId93" Type="http://schemas.openxmlformats.org/officeDocument/2006/relationships/hyperlink" Target="https://specs.blockchainssc.org/kms/" TargetMode="External"/><Relationship Id="rId94" Type="http://schemas.openxmlformats.org/officeDocument/2006/relationships/hyperlink" Target="https://specs.blockchainssc.org/gsp/" TargetMode="External"/><Relationship Id="rId95" Type="http://schemas.openxmlformats.org/officeDocument/2006/relationships/hyperlink" Target="https://scs.owasp.org/SCSVS/" TargetMode="External"/><Relationship Id="rId96" Type="http://schemas.openxmlformats.org/officeDocument/2006/relationships/hyperlink" Target="https://frameworks.securityalliance.org/" TargetMode="External"/><Relationship Id="rId97" Type="http://schemas.openxmlformats.org/officeDocument/2006/relationships/hyperlink" Target="https://frameworks.securityalliance.org/" TargetMode="External"/><Relationship Id="rId98" Type="http://schemas.openxmlformats.org/officeDocument/2006/relationships/hyperlink" Target="https://frameworks.securityalliance.org/" TargetMode="External"/><Relationship Id="rId99" Type="http://schemas.openxmlformats.org/officeDocument/2006/relationships/hyperlink" Target="https://frameworks.securityalliance.org/" TargetMode="External"/><Relationship Id="rId100" Type="http://schemas.openxmlformats.org/officeDocument/2006/relationships/hyperlink" Target="https://frameworks.securityalliance.org/" TargetMode="External"/><Relationship Id="rId101" Type="http://schemas.openxmlformats.org/officeDocument/2006/relationships/hyperlink" Target="https://frameworks.securityalliance.org/" TargetMode="External"/><Relationship Id="rId102" Type="http://schemas.openxmlformats.org/officeDocument/2006/relationships/hyperlink" Target="https://frameworks.securityalliance.org/" TargetMode="External"/><Relationship Id="rId103" Type="http://schemas.openxmlformats.org/officeDocument/2006/relationships/hyperlink" Target="https://cryptoconsortium.org/" TargetMode="External"/><Relationship Id="rId104" Type="http://schemas.openxmlformats.org/officeDocument/2006/relationships/hyperlink" Target="https://eur-lex.europa.eu/" TargetMode="External"/><Relationship Id="rId105" Type="http://schemas.openxmlformats.org/officeDocument/2006/relationships/hyperlink" Target="https://specs.blockchainssc.org/scs/" TargetMode="External"/><Relationship Id="rId106" Type="http://schemas.openxmlformats.org/officeDocument/2006/relationships/hyperlink" Target="https://specs.blockchainssc.org/scs/" TargetMode="External"/><Relationship Id="rId107" Type="http://schemas.openxmlformats.org/officeDocument/2006/relationships/hyperlink" Target="https://specs.blockchainssc.org/scs/" TargetMode="External"/><Relationship Id="rId108" Type="http://schemas.openxmlformats.org/officeDocument/2006/relationships/hyperlink" Target="https://specs.blockchainssc.org/scs/" TargetMode="External"/><Relationship Id="rId109" Type="http://schemas.openxmlformats.org/officeDocument/2006/relationships/hyperlink" Target="https://specs.blockchainssc.org/scs/" TargetMode="External"/><Relationship Id="rId110" Type="http://schemas.openxmlformats.org/officeDocument/2006/relationships/hyperlink" Target="https://specs.blockchainssc.org/scs/" TargetMode="External"/><Relationship Id="rId111" Type="http://schemas.openxmlformats.org/officeDocument/2006/relationships/hyperlink" Target="https://specs.blockchainssc.org/scs/" TargetMode="External"/><Relationship Id="rId112" Type="http://schemas.openxmlformats.org/officeDocument/2006/relationships/hyperlink" Target="https://specs.blockchainssc.org/scs/" TargetMode="External"/><Relationship Id="rId113" Type="http://schemas.openxmlformats.org/officeDocument/2006/relationships/hyperlink" Target="https://specs.blockchainssc.org/scs/" TargetMode="External"/><Relationship Id="rId114" Type="http://schemas.openxmlformats.org/officeDocument/2006/relationships/hyperlink" Target="https://specs.blockchainssc.org/scs/" TargetMode="External"/><Relationship Id="rId115" Type="http://schemas.openxmlformats.org/officeDocument/2006/relationships/hyperlink" Target="https://specs.blockchainssc.org/scs/" TargetMode="External"/><Relationship Id="rId116" Type="http://schemas.openxmlformats.org/officeDocument/2006/relationships/hyperlink" Target="https://specs.blockchainssc.org/scs/" TargetMode="External"/><Relationship Id="rId117" Type="http://schemas.openxmlformats.org/officeDocument/2006/relationships/hyperlink" Target="https://specs.blockchainssc.org/scs/" TargetMode="External"/><Relationship Id="rId118" Type="http://schemas.openxmlformats.org/officeDocument/2006/relationships/hyperlink" Target="https://specs.blockchainssc.org/scs/" TargetMode="External"/><Relationship Id="rId119" Type="http://schemas.openxmlformats.org/officeDocument/2006/relationships/hyperlink" Target="https://specs.blockchainssc.org/scs/" TargetMode="External"/><Relationship Id="rId120" Type="http://schemas.openxmlformats.org/officeDocument/2006/relationships/hyperlink" Target="https://specs.blockchainssc.org/scs/" TargetMode="External"/><Relationship Id="rId121" Type="http://schemas.openxmlformats.org/officeDocument/2006/relationships/hyperlink" Target="https://specs.blockchainssc.org/scs/" TargetMode="External"/><Relationship Id="rId122" Type="http://schemas.openxmlformats.org/officeDocument/2006/relationships/hyperlink" Target="https://specs.blockchainssc.org/scs/" TargetMode="External"/><Relationship Id="rId123" Type="http://schemas.openxmlformats.org/officeDocument/2006/relationships/hyperlink" Target="https://specs.blockchainssc.org/scs/" TargetMode="External"/><Relationship Id="rId124" Type="http://schemas.openxmlformats.org/officeDocument/2006/relationships/hyperlink" Target="https://specs.blockchainssc.org/scs/" TargetMode="External"/><Relationship Id="rId125" Type="http://schemas.openxmlformats.org/officeDocument/2006/relationships/hyperlink" Target="https://specs.blockchainssc.org/scs/" TargetMode="External"/><Relationship Id="rId126" Type="http://schemas.openxmlformats.org/officeDocument/2006/relationships/hyperlink" Target="https://specs.blockchainssc.org/scs/" TargetMode="External"/><Relationship Id="rId127" Type="http://schemas.openxmlformats.org/officeDocument/2006/relationships/hyperlink" Target="https://specs.blockchainssc.org/scs/" TargetMode="External"/><Relationship Id="rId128" Type="http://schemas.openxmlformats.org/officeDocument/2006/relationships/hyperlink" Target="https://specs.blockchainssc.org/scs/" TargetMode="External"/><Relationship Id="rId129" Type="http://schemas.openxmlformats.org/officeDocument/2006/relationships/hyperlink" Target="https://specs.blockchainssc.org/scs/" TargetMode="External"/><Relationship Id="rId130" Type="http://schemas.openxmlformats.org/officeDocument/2006/relationships/hyperlink" Target="https://specs.blockchainssc.org/scs/" TargetMode="External"/><Relationship Id="rId131" Type="http://schemas.openxmlformats.org/officeDocument/2006/relationships/hyperlink" Target="https://specs.blockchainssc.org/scs/" TargetMode="External"/><Relationship Id="rId132" Type="http://schemas.openxmlformats.org/officeDocument/2006/relationships/hyperlink" Target="https://specs.blockchainssc.org/scs/" TargetMode="External"/><Relationship Id="rId133" Type="http://schemas.openxmlformats.org/officeDocument/2006/relationships/hyperlink" Target="https://specs.blockchainssc.org/scs/" TargetMode="External"/><Relationship Id="rId134" Type="http://schemas.openxmlformats.org/officeDocument/2006/relationships/hyperlink" Target="https://specs.blockchainssc.org/scs/" TargetMode="External"/><Relationship Id="rId135" Type="http://schemas.openxmlformats.org/officeDocument/2006/relationships/hyperlink" Target="https://specs.blockchainssc.org/scs/" TargetMode="External"/><Relationship Id="rId136" Type="http://schemas.openxmlformats.org/officeDocument/2006/relationships/hyperlink" Target="https://specs.blockchainssc.org/scs/" TargetMode="External"/><Relationship Id="rId137" Type="http://schemas.openxmlformats.org/officeDocument/2006/relationships/hyperlink" Target="https://specs.blockchainssc.org/scs/" TargetMode="External"/><Relationship Id="rId138" Type="http://schemas.openxmlformats.org/officeDocument/2006/relationships/hyperlink" Target="https://specs.blockchainssc.org/scs/" TargetMode="External"/><Relationship Id="rId139" Type="http://schemas.openxmlformats.org/officeDocument/2006/relationships/hyperlink" Target="https://specs.blockchainssc.org/scs/" TargetMode="External"/><Relationship Id="rId140" Type="http://schemas.openxmlformats.org/officeDocument/2006/relationships/hyperlink" Target="https://specs.blockchainssc.org/scs/" TargetMode="External"/><Relationship Id="rId141" Type="http://schemas.openxmlformats.org/officeDocument/2006/relationships/hyperlink" Target="https://specs.blockchainssc.org/scs/" TargetMode="External"/><Relationship Id="rId142" Type="http://schemas.openxmlformats.org/officeDocument/2006/relationships/hyperlink" Target="https://specs.blockchainssc.org/scs/" TargetMode="External"/><Relationship Id="rId143" Type="http://schemas.openxmlformats.org/officeDocument/2006/relationships/hyperlink" Target="https://specs.blockchainssc.org/scs/" TargetMode="External"/><Relationship Id="rId144" Type="http://schemas.openxmlformats.org/officeDocument/2006/relationships/hyperlink" Target="https://specs.blockchainssc.org/scs/" TargetMode="External"/><Relationship Id="rId145" Type="http://schemas.openxmlformats.org/officeDocument/2006/relationships/hyperlink" Target="https://specs.blockchainssc.org/scs/" TargetMode="External"/><Relationship Id="rId146" Type="http://schemas.openxmlformats.org/officeDocument/2006/relationships/hyperlink" Target="https://specs.blockchainssc.org/gsp/" TargetMode="External"/><Relationship Id="rId147" Type="http://schemas.openxmlformats.org/officeDocument/2006/relationships/hyperlink" Target="https://specs.blockchainssc.org/gsp/" TargetMode="External"/><Relationship Id="rId148" Type="http://schemas.openxmlformats.org/officeDocument/2006/relationships/hyperlink" Target="https://specs.blockchainssc.org/gsp/" TargetMode="External"/><Relationship Id="rId149" Type="http://schemas.openxmlformats.org/officeDocument/2006/relationships/hyperlink" Target="https://specs.blockchainssc.org/gsp/" TargetMode="External"/><Relationship Id="rId150" Type="http://schemas.openxmlformats.org/officeDocument/2006/relationships/hyperlink" Target="https://scs.owasp.org/sctop10" TargetMode="External"/><Relationship Id="rId151" Type="http://schemas.openxmlformats.org/officeDocument/2006/relationships/hyperlink" Target="https://scs.owasp.org/sctop10" TargetMode="External"/><Relationship Id="rId152" Type="http://schemas.openxmlformats.org/officeDocument/2006/relationships/hyperlink" Target="https://scs.owasp.org/sctop10" TargetMode="External"/><Relationship Id="rId153" Type="http://schemas.openxmlformats.org/officeDocument/2006/relationships/hyperlink" Target="https://scs.owasp.org/sctop10" TargetMode="External"/><Relationship Id="rId154" Type="http://schemas.openxmlformats.org/officeDocument/2006/relationships/hyperlink" Target="https://scs.owasp.org/sctop10" TargetMode="External"/><Relationship Id="rId155" Type="http://schemas.openxmlformats.org/officeDocument/2006/relationships/hyperlink" Target="https://scs.owasp.org/sctop10" TargetMode="External"/><Relationship Id="rId156" Type="http://schemas.openxmlformats.org/officeDocument/2006/relationships/hyperlink" Target="https://scs.owasp.org/sctop10" TargetMode="External"/><Relationship Id="rId157" Type="http://schemas.openxmlformats.org/officeDocument/2006/relationships/hyperlink" Target="https://scs.owasp.org/sctop10" TargetMode="External"/><Relationship Id="rId158" Type="http://schemas.openxmlformats.org/officeDocument/2006/relationships/hyperlink" Target="https://scs.owasp.org/sctop10" TargetMode="External"/><Relationship Id="rId159" Type="http://schemas.openxmlformats.org/officeDocument/2006/relationships/hyperlink" Target="https://scs.owasp.org/sctop10" TargetMode="External"/><Relationship Id="rId160" Type="http://schemas.openxmlformats.org/officeDocument/2006/relationships/hyperlink" Target="https://scs.owasp.org/sctop10" TargetMode="External"/><Relationship Id="rId161" Type="http://schemas.openxmlformats.org/officeDocument/2006/relationships/hyperlink" Target="https://scs.owasp.org/SCSVS/" TargetMode="External"/><Relationship Id="rId162" Type="http://schemas.openxmlformats.org/officeDocument/2006/relationships/hyperlink" Target="https://scs.owasp.org/SCSVS/" TargetMode="External"/><Relationship Id="rId163" Type="http://schemas.openxmlformats.org/officeDocument/2006/relationships/hyperlink" Target="https://scs.owasp.org/SCSVS/" TargetMode="External"/><Relationship Id="rId164" Type="http://schemas.openxmlformats.org/officeDocument/2006/relationships/hyperlink" Target="https://scs.owasp.org/SCSVS/" TargetMode="External"/><Relationship Id="rId165" Type="http://schemas.openxmlformats.org/officeDocument/2006/relationships/hyperlink" Target="https://scs.owasp.org/SCSVS/" TargetMode="External"/><Relationship Id="rId166" Type="http://schemas.openxmlformats.org/officeDocument/2006/relationships/hyperlink" Target="https://frameworks.securityalliance.org/" TargetMode="External"/><Relationship Id="rId167" Type="http://schemas.openxmlformats.org/officeDocument/2006/relationships/hyperlink" Target="https://frameworks.securityalliance.org/" TargetMode="External"/><Relationship Id="rId168" Type="http://schemas.openxmlformats.org/officeDocument/2006/relationships/hyperlink" Target="https://specs.blockchainssc.org/tis/" TargetMode="External"/><Relationship Id="rId169" Type="http://schemas.openxmlformats.org/officeDocument/2006/relationships/hyperlink" Target="https://specs.blockchainssc.org/tis/" TargetMode="External"/><Relationship Id="rId170" Type="http://schemas.openxmlformats.org/officeDocument/2006/relationships/hyperlink" Target="https://specs.blockchainssc.org/tis/" TargetMode="External"/><Relationship Id="rId171" Type="http://schemas.openxmlformats.org/officeDocument/2006/relationships/hyperlink" Target="https://specs.blockchainssc.org/tis/" TargetMode="External"/><Relationship Id="rId172" Type="http://schemas.openxmlformats.org/officeDocument/2006/relationships/hyperlink" Target="https://specs.blockchainssc.org/tis/" TargetMode="External"/><Relationship Id="rId173" Type="http://schemas.openxmlformats.org/officeDocument/2006/relationships/hyperlink" Target="https://specs.blockchainssc.org/tis/" TargetMode="External"/><Relationship Id="rId174" Type="http://schemas.openxmlformats.org/officeDocument/2006/relationships/hyperlink" Target="https://specs.blockchainssc.org/tis/" TargetMode="External"/><Relationship Id="rId175" Type="http://schemas.openxmlformats.org/officeDocument/2006/relationships/hyperlink" Target="https://specs.blockchainssc.org/tis/" TargetMode="External"/><Relationship Id="rId176" Type="http://schemas.openxmlformats.org/officeDocument/2006/relationships/hyperlink" Target="https://specs.blockchainssc.org/tis/" TargetMode="External"/><Relationship Id="rId177" Type="http://schemas.openxmlformats.org/officeDocument/2006/relationships/hyperlink" Target="https://specs.blockchainssc.org/tis/" TargetMode="External"/><Relationship Id="rId178" Type="http://schemas.openxmlformats.org/officeDocument/2006/relationships/hyperlink" Target="https://specs.blockchainssc.org/tis/" TargetMode="External"/><Relationship Id="rId179" Type="http://schemas.openxmlformats.org/officeDocument/2006/relationships/hyperlink" Target="https://specs.blockchainssc.org/tis/" TargetMode="External"/><Relationship Id="rId180" Type="http://schemas.openxmlformats.org/officeDocument/2006/relationships/hyperlink" Target="https://specs.blockchainssc.org/tis/" TargetMode="External"/><Relationship Id="rId181" Type="http://schemas.openxmlformats.org/officeDocument/2006/relationships/hyperlink" Target="https://specs.blockchainssc.org/tis/" TargetMode="External"/><Relationship Id="rId182" Type="http://schemas.openxmlformats.org/officeDocument/2006/relationships/hyperlink" Target="https://specs.blockchainssc.org/tis/" TargetMode="External"/><Relationship Id="rId183" Type="http://schemas.openxmlformats.org/officeDocument/2006/relationships/hyperlink" Target="https://specs.blockchainssc.org/tis/" TargetMode="External"/><Relationship Id="rId184" Type="http://schemas.openxmlformats.org/officeDocument/2006/relationships/hyperlink" Target="https://specs.blockchainssc.org/tis/" TargetMode="External"/><Relationship Id="rId185" Type="http://schemas.openxmlformats.org/officeDocument/2006/relationships/hyperlink" Target="https://specs.blockchainssc.org/tis/" TargetMode="External"/><Relationship Id="rId186" Type="http://schemas.openxmlformats.org/officeDocument/2006/relationships/hyperlink" Target="https://specs.blockchainssc.org/tis/" TargetMode="External"/><Relationship Id="rId187" Type="http://schemas.openxmlformats.org/officeDocument/2006/relationships/hyperlink" Target="https://specs.blockchainssc.org/tis/" TargetMode="External"/><Relationship Id="rId188" Type="http://schemas.openxmlformats.org/officeDocument/2006/relationships/hyperlink" Target="https://specs.blockchainssc.org/tis/" TargetMode="External"/><Relationship Id="rId189" Type="http://schemas.openxmlformats.org/officeDocument/2006/relationships/hyperlink" Target="https://specs.blockchainssc.org/tis/" TargetMode="External"/><Relationship Id="rId190" Type="http://schemas.openxmlformats.org/officeDocument/2006/relationships/hyperlink" Target="https://specs.blockchainssc.org/tis/" TargetMode="External"/><Relationship Id="rId191" Type="http://schemas.openxmlformats.org/officeDocument/2006/relationships/hyperlink" Target="https://specs.blockchainssc.org/tis/" TargetMode="External"/><Relationship Id="rId192" Type="http://schemas.openxmlformats.org/officeDocument/2006/relationships/hyperlink" Target="https://specs.blockchainssc.org/tis/" TargetMode="External"/><Relationship Id="rId193" Type="http://schemas.openxmlformats.org/officeDocument/2006/relationships/hyperlink" Target="https://specs.blockchainssc.org/tis/" TargetMode="External"/><Relationship Id="rId194" Type="http://schemas.openxmlformats.org/officeDocument/2006/relationships/hyperlink" Target="https://specs.blockchainssc.org/tis/" TargetMode="External"/><Relationship Id="rId195" Type="http://schemas.openxmlformats.org/officeDocument/2006/relationships/hyperlink" Target="https://specs.blockchainssc.org/tis/" TargetMode="External"/><Relationship Id="rId196" Type="http://schemas.openxmlformats.org/officeDocument/2006/relationships/hyperlink" Target="https://specs.blockchainssc.org/tis/" TargetMode="External"/><Relationship Id="rId197" Type="http://schemas.openxmlformats.org/officeDocument/2006/relationships/hyperlink" Target="https://specs.blockchainssc.org/tis/" TargetMode="External"/><Relationship Id="rId198" Type="http://schemas.openxmlformats.org/officeDocument/2006/relationships/hyperlink" Target="https://specs.blockchainssc.org/tis/" TargetMode="External"/><Relationship Id="rId199" Type="http://schemas.openxmlformats.org/officeDocument/2006/relationships/hyperlink" Target="https://specs.blockchainssc.org/tis/" TargetMode="External"/><Relationship Id="rId200" Type="http://schemas.openxmlformats.org/officeDocument/2006/relationships/hyperlink" Target="https://specs.blockchainssc.org/tis/" TargetMode="External"/><Relationship Id="rId201" Type="http://schemas.openxmlformats.org/officeDocument/2006/relationships/hyperlink" Target="https://specs.blockchainssc.org/tis/" TargetMode="External"/><Relationship Id="rId202" Type="http://schemas.openxmlformats.org/officeDocument/2006/relationships/hyperlink" Target="https://specs.blockchainssc.org/tis/" TargetMode="External"/><Relationship Id="rId203" Type="http://schemas.openxmlformats.org/officeDocument/2006/relationships/hyperlink" Target="https://specs.blockchainssc.org/tis/" TargetMode="External"/><Relationship Id="rId204" Type="http://schemas.openxmlformats.org/officeDocument/2006/relationships/hyperlink" Target="https://specs.blockchainssc.org/tis/" TargetMode="External"/><Relationship Id="rId205" Type="http://schemas.openxmlformats.org/officeDocument/2006/relationships/hyperlink" Target="https://specs.blockchainssc.org/tis/" TargetMode="External"/><Relationship Id="rId206" Type="http://schemas.openxmlformats.org/officeDocument/2006/relationships/hyperlink" Target="https://specs.blockchainssc.org/tis/" TargetMode="External"/><Relationship Id="rId207" Type="http://schemas.openxmlformats.org/officeDocument/2006/relationships/hyperlink" Target="https://specs.blockchainssc.org/tis/" TargetMode="External"/><Relationship Id="rId208" Type="http://schemas.openxmlformats.org/officeDocument/2006/relationships/hyperlink" Target="https://specs.blockchainssc.org/tis/" TargetMode="External"/><Relationship Id="rId209" Type="http://schemas.openxmlformats.org/officeDocument/2006/relationships/hyperlink" Target="https://specs.blockchainssc.org/tis/" TargetMode="External"/><Relationship Id="rId210" Type="http://schemas.openxmlformats.org/officeDocument/2006/relationships/hyperlink" Target="https://specs.blockchainssc.org/tis/" TargetMode="External"/><Relationship Id="rId211" Type="http://schemas.openxmlformats.org/officeDocument/2006/relationships/hyperlink" Target="https://specs.blockchainssc.org/tis/" TargetMode="External"/><Relationship Id="rId212" Type="http://schemas.openxmlformats.org/officeDocument/2006/relationships/hyperlink" Target="https://specs.blockchainssc.org/tis/" TargetMode="External"/><Relationship Id="rId213" Type="http://schemas.openxmlformats.org/officeDocument/2006/relationships/hyperlink" Target="https://specs.blockchainssc.org/tis/" TargetMode="External"/><Relationship Id="rId214" Type="http://schemas.openxmlformats.org/officeDocument/2006/relationships/hyperlink" Target="https://specs.blockchainssc.org/tis/" TargetMode="External"/><Relationship Id="rId215" Type="http://schemas.openxmlformats.org/officeDocument/2006/relationships/hyperlink" Target="https://specs.blockchainssc.org/tis/" TargetMode="External"/><Relationship Id="rId216" Type="http://schemas.openxmlformats.org/officeDocument/2006/relationships/hyperlink" Target="https://specs.blockchainssc.org/tis/" TargetMode="External"/><Relationship Id="rId217" Type="http://schemas.openxmlformats.org/officeDocument/2006/relationships/hyperlink" Target="https://specs.blockchainssc.org/tis/" TargetMode="External"/><Relationship Id="rId218" Type="http://schemas.openxmlformats.org/officeDocument/2006/relationships/hyperlink" Target="https://specs.blockchainssc.org/nos/" TargetMode="External"/><Relationship Id="rId219" Type="http://schemas.openxmlformats.org/officeDocument/2006/relationships/hyperlink" Target="https://specs.blockchainssc.org/nos/" TargetMode="External"/><Relationship Id="rId220" Type="http://schemas.openxmlformats.org/officeDocument/2006/relationships/hyperlink" Target="https://specs.blockchainssc.org/nos/" TargetMode="External"/><Relationship Id="rId221" Type="http://schemas.openxmlformats.org/officeDocument/2006/relationships/hyperlink" Target="https://specs.blockchainssc.org/nos/" TargetMode="External"/><Relationship Id="rId222" Type="http://schemas.openxmlformats.org/officeDocument/2006/relationships/hyperlink" Target="https://specs.blockchainssc.org/nos/" TargetMode="External"/><Relationship Id="rId223" Type="http://schemas.openxmlformats.org/officeDocument/2006/relationships/hyperlink" Target="https://specs.blockchainssc.org/nos/" TargetMode="External"/><Relationship Id="rId224" Type="http://schemas.openxmlformats.org/officeDocument/2006/relationships/hyperlink" Target="https://specs.blockchainssc.org/nos/" TargetMode="External"/><Relationship Id="rId225" Type="http://schemas.openxmlformats.org/officeDocument/2006/relationships/hyperlink" Target="https://specs.blockchainssc.org/nos/" TargetMode="External"/><Relationship Id="rId226" Type="http://schemas.openxmlformats.org/officeDocument/2006/relationships/hyperlink" Target="https://specs.blockchainssc.org/nos/" TargetMode="External"/><Relationship Id="rId227" Type="http://schemas.openxmlformats.org/officeDocument/2006/relationships/hyperlink" Target="https://specs.blockchainssc.org/nos/" TargetMode="External"/><Relationship Id="rId228" Type="http://schemas.openxmlformats.org/officeDocument/2006/relationships/hyperlink" Target="https://specs.blockchainssc.org/nos/" TargetMode="External"/><Relationship Id="rId229" Type="http://schemas.openxmlformats.org/officeDocument/2006/relationships/hyperlink" Target="https://specs.blockchainssc.org/nos/" TargetMode="External"/><Relationship Id="rId230" Type="http://schemas.openxmlformats.org/officeDocument/2006/relationships/hyperlink" Target="https://specs.blockchainssc.org/nos/" TargetMode="External"/><Relationship Id="rId231" Type="http://schemas.openxmlformats.org/officeDocument/2006/relationships/hyperlink" Target="https://specs.blockchainssc.org/nos/" TargetMode="External"/><Relationship Id="rId232" Type="http://schemas.openxmlformats.org/officeDocument/2006/relationships/hyperlink" Target="https://specs.blockchainssc.org/nos/" TargetMode="External"/><Relationship Id="rId233" Type="http://schemas.openxmlformats.org/officeDocument/2006/relationships/hyperlink" Target="https://specs.blockchainssc.org/nos/" TargetMode="External"/><Relationship Id="rId234" Type="http://schemas.openxmlformats.org/officeDocument/2006/relationships/hyperlink" Target="https://specs.blockchainssc.org/nos/" TargetMode="External"/><Relationship Id="rId235" Type="http://schemas.openxmlformats.org/officeDocument/2006/relationships/hyperlink" Target="https://specs.blockchainssc.org/nos/" TargetMode="External"/><Relationship Id="rId236" Type="http://schemas.openxmlformats.org/officeDocument/2006/relationships/hyperlink" Target="https://specs.blockchainssc.org/nos/" TargetMode="External"/><Relationship Id="rId237" Type="http://schemas.openxmlformats.org/officeDocument/2006/relationships/hyperlink" Target="https://specs.blockchainssc.org/nos/" TargetMode="External"/><Relationship Id="rId238" Type="http://schemas.openxmlformats.org/officeDocument/2006/relationships/hyperlink" Target="https://specs.blockchainssc.org/nos/" TargetMode="External"/><Relationship Id="rId239" Type="http://schemas.openxmlformats.org/officeDocument/2006/relationships/hyperlink" Target="https://specs.blockchainssc.org/nos/" TargetMode="External"/><Relationship Id="rId240" Type="http://schemas.openxmlformats.org/officeDocument/2006/relationships/hyperlink" Target="https://specs.blockchainssc.org/nos/" TargetMode="External"/><Relationship Id="rId241" Type="http://schemas.openxmlformats.org/officeDocument/2006/relationships/hyperlink" Target="https://specs.blockchainssc.org/nos/" TargetMode="External"/><Relationship Id="rId242" Type="http://schemas.openxmlformats.org/officeDocument/2006/relationships/hyperlink" Target="https://specs.blockchainssc.org/nos/" TargetMode="External"/><Relationship Id="rId243" Type="http://schemas.openxmlformats.org/officeDocument/2006/relationships/hyperlink" Target="https://specs.blockchainssc.org/nos/" TargetMode="External"/><Relationship Id="rId244" Type="http://schemas.openxmlformats.org/officeDocument/2006/relationships/hyperlink" Target="https://specs.blockchainssc.org/kms/" TargetMode="External"/><Relationship Id="rId245" Type="http://schemas.openxmlformats.org/officeDocument/2006/relationships/hyperlink" Target="https://specs.blockchainssc.org/kms/" TargetMode="External"/><Relationship Id="rId246" Type="http://schemas.openxmlformats.org/officeDocument/2006/relationships/hyperlink" Target="https://specs.blockchainssc.org/kms/" TargetMode="External"/><Relationship Id="rId247" Type="http://schemas.openxmlformats.org/officeDocument/2006/relationships/hyperlink" Target="https://specs.blockchainssc.org/kms/" TargetMode="External"/><Relationship Id="rId248" Type="http://schemas.openxmlformats.org/officeDocument/2006/relationships/hyperlink" Target="https://specs.blockchainssc.org/kms/" TargetMode="External"/><Relationship Id="rId249" Type="http://schemas.openxmlformats.org/officeDocument/2006/relationships/hyperlink" Target="https://specs.blockchainssc.org/gsp/" TargetMode="External"/><Relationship Id="rId250" Type="http://schemas.openxmlformats.org/officeDocument/2006/relationships/hyperlink" Target="https://specs.blockchainssc.org/gsp/" TargetMode="External"/><Relationship Id="rId251" Type="http://schemas.openxmlformats.org/officeDocument/2006/relationships/hyperlink" Target="https://specs.blockchainssc.org/gsp/" TargetMode="External"/><Relationship Id="rId252" Type="http://schemas.openxmlformats.org/officeDocument/2006/relationships/hyperlink" Target="https://specs.blockchainssc.org/gsp/" TargetMode="External"/><Relationship Id="rId253" Type="http://schemas.openxmlformats.org/officeDocument/2006/relationships/hyperlink" Target="https://specs.blockchainssc.org/gsp/" TargetMode="External"/><Relationship Id="rId254" Type="http://schemas.openxmlformats.org/officeDocument/2006/relationships/hyperlink" Target="https://frameworks.securityalliance.org/" TargetMode="External"/><Relationship Id="rId255" Type="http://schemas.openxmlformats.org/officeDocument/2006/relationships/hyperlink" Target="https://specs.blockchainssc.org/nos/" TargetMode="External"/><Relationship Id="rId256" Type="http://schemas.openxmlformats.org/officeDocument/2006/relationships/hyperlink" Target="https://specs.blockchainssc.org/nos/" TargetMode="External"/><Relationship Id="rId257" Type="http://schemas.openxmlformats.org/officeDocument/2006/relationships/hyperlink" Target="https://specs.blockchainssc.org/nos/" TargetMode="External"/><Relationship Id="rId258" Type="http://schemas.openxmlformats.org/officeDocument/2006/relationships/hyperlink" Target="https://specs.blockchainssc.org/nos/" TargetMode="External"/><Relationship Id="rId259" Type="http://schemas.openxmlformats.org/officeDocument/2006/relationships/hyperlink" Target="https://specs.blockchainssc.org/nos/" TargetMode="External"/><Relationship Id="rId260" Type="http://schemas.openxmlformats.org/officeDocument/2006/relationships/hyperlink" Target="https://specs.blockchainssc.org/kms/" TargetMode="External"/><Relationship Id="rId261" Type="http://schemas.openxmlformats.org/officeDocument/2006/relationships/hyperlink" Target="https://specs.blockchainssc.org/kms/" TargetMode="External"/><Relationship Id="rId262" Type="http://schemas.openxmlformats.org/officeDocument/2006/relationships/hyperlink" Target="https://specs.blockchainssc.org/kms/" TargetMode="External"/><Relationship Id="rId263" Type="http://schemas.openxmlformats.org/officeDocument/2006/relationships/hyperlink" Target="https://specs.blockchainssc.org/kms/" TargetMode="External"/><Relationship Id="rId264" Type="http://schemas.openxmlformats.org/officeDocument/2006/relationships/hyperlink" Target="https://specs.blockchainssc.org/kms/" TargetMode="External"/><Relationship Id="rId265" Type="http://schemas.openxmlformats.org/officeDocument/2006/relationships/hyperlink" Target="https://specs.blockchainssc.org/kms/" TargetMode="External"/><Relationship Id="rId266" Type="http://schemas.openxmlformats.org/officeDocument/2006/relationships/hyperlink" Target="https://specs.blockchainssc.org/scs/" TargetMode="External"/><Relationship Id="rId267" Type="http://schemas.openxmlformats.org/officeDocument/2006/relationships/hyperlink" Target="https://specs.blockchainssc.org/gsp/" TargetMode="External"/><Relationship Id="rId268" Type="http://schemas.openxmlformats.org/officeDocument/2006/relationships/hyperlink" Target="https://specs.blockchainssc.org/gsp/" TargetMode="External"/><Relationship Id="rId269" Type="http://schemas.openxmlformats.org/officeDocument/2006/relationships/hyperlink" Target="https://specs.blockchainssc.org/gsp/" TargetMode="External"/><Relationship Id="rId270" Type="http://schemas.openxmlformats.org/officeDocument/2006/relationships/hyperlink" Target="https://specs.blockchainssc.org/gsp/" TargetMode="External"/><Relationship Id="rId271" Type="http://schemas.openxmlformats.org/officeDocument/2006/relationships/hyperlink" Target="https://specs.blockchainssc.org/gsp/" TargetMode="External"/><Relationship Id="rId272" Type="http://schemas.openxmlformats.org/officeDocument/2006/relationships/hyperlink" Target="https://specs.blockchainssc.org/gsp/" TargetMode="External"/><Relationship Id="rId273" Type="http://schemas.openxmlformats.org/officeDocument/2006/relationships/hyperlink" Target="https://specs.blockchainssc.org/nos/" TargetMode="External"/><Relationship Id="rId274" Type="http://schemas.openxmlformats.org/officeDocument/2006/relationships/hyperlink" Target="https://specs.blockchainssc.org/nos/" TargetMode="External"/><Relationship Id="rId275" Type="http://schemas.openxmlformats.org/officeDocument/2006/relationships/hyperlink" Target="https://specs.blockchainssc.org/nos/" TargetMode="External"/><Relationship Id="rId276" Type="http://schemas.openxmlformats.org/officeDocument/2006/relationships/hyperlink" Target="https://specs.blockchainssc.org/nos/" TargetMode="External"/><Relationship Id="rId277" Type="http://schemas.openxmlformats.org/officeDocument/2006/relationships/hyperlink" Target="https://specs.blockchainssc.org/nos/" TargetMode="External"/><Relationship Id="rId278" Type="http://schemas.openxmlformats.org/officeDocument/2006/relationships/hyperlink" Target="https://specs.blockchainssc.org/nos/" TargetMode="External"/><Relationship Id="rId279" Type="http://schemas.openxmlformats.org/officeDocument/2006/relationships/hyperlink" Target="https://specs.blockchainssc.org/kms/" TargetMode="External"/><Relationship Id="rId280" Type="http://schemas.openxmlformats.org/officeDocument/2006/relationships/hyperlink" Target="https://specs.blockchainssc.org/kms/" TargetMode="External"/><Relationship Id="rId281" Type="http://schemas.openxmlformats.org/officeDocument/2006/relationships/hyperlink" Target="https://specs.blockchainssc.org/kms/" TargetMode="External"/><Relationship Id="rId282" Type="http://schemas.openxmlformats.org/officeDocument/2006/relationships/hyperlink" Target="https://specs.blockchainssc.org/kms/" TargetMode="External"/><Relationship Id="rId283" Type="http://schemas.openxmlformats.org/officeDocument/2006/relationships/hyperlink" Target="https://specs.blockchainssc.org/kms/" TargetMode="External"/><Relationship Id="rId284" Type="http://schemas.openxmlformats.org/officeDocument/2006/relationships/hyperlink" Target="https://specs.blockchainssc.org/kms/" TargetMode="External"/><Relationship Id="rId285" Type="http://schemas.openxmlformats.org/officeDocument/2006/relationships/hyperlink" Target="https://specs.blockchainssc.org/kms/" TargetMode="External"/><Relationship Id="rId286" Type="http://schemas.openxmlformats.org/officeDocument/2006/relationships/hyperlink" Target="https://specs.blockchainssc.org/kms/" TargetMode="External"/><Relationship Id="rId287" Type="http://schemas.openxmlformats.org/officeDocument/2006/relationships/hyperlink" Target="https://specs.blockchainssc.org/kms/" TargetMode="External"/><Relationship Id="rId288" Type="http://schemas.openxmlformats.org/officeDocument/2006/relationships/hyperlink" Target="https://specs.blockchainssc.org/kms/" TargetMode="External"/><Relationship Id="rId289" Type="http://schemas.openxmlformats.org/officeDocument/2006/relationships/hyperlink" Target="https://specs.blockchainssc.org/scs/" TargetMode="External"/><Relationship Id="rId290" Type="http://schemas.openxmlformats.org/officeDocument/2006/relationships/hyperlink" Target="https://specs.blockchainssc.org/scs/" TargetMode="External"/><Relationship Id="rId291" Type="http://schemas.openxmlformats.org/officeDocument/2006/relationships/hyperlink" Target="https://specs.blockchainssc.org/scs/" TargetMode="External"/><Relationship Id="rId292" Type="http://schemas.openxmlformats.org/officeDocument/2006/relationships/hyperlink" Target="https://specs.blockchainssc.org/scs/" TargetMode="External"/><Relationship Id="rId293" Type="http://schemas.openxmlformats.org/officeDocument/2006/relationships/hyperlink" Target="https://specs.blockchainssc.org/scs/" TargetMode="External"/><Relationship Id="rId294" Type="http://schemas.openxmlformats.org/officeDocument/2006/relationships/hyperlink" Target="https://specs.blockchainssc.org/scs/" TargetMode="External"/><Relationship Id="rId295" Type="http://schemas.openxmlformats.org/officeDocument/2006/relationships/hyperlink" Target="https://specs.blockchainssc.org/scs/" TargetMode="External"/><Relationship Id="rId296" Type="http://schemas.openxmlformats.org/officeDocument/2006/relationships/hyperlink" Target="https://specs.blockchainssc.org/scs/" TargetMode="External"/><Relationship Id="rId297" Type="http://schemas.openxmlformats.org/officeDocument/2006/relationships/hyperlink" Target="https://specs.blockchainssc.org/gsp/" TargetMode="External"/><Relationship Id="rId298" Type="http://schemas.openxmlformats.org/officeDocument/2006/relationships/hyperlink" Target="https://specs.blockchainssc.org/gsp/" TargetMode="External"/><Relationship Id="rId299" Type="http://schemas.openxmlformats.org/officeDocument/2006/relationships/hyperlink" Target="https://specs.blockchainssc.org/gsp/" TargetMode="External"/><Relationship Id="rId300" Type="http://schemas.openxmlformats.org/officeDocument/2006/relationships/hyperlink" Target="https://specs.blockchainssc.org/gsp/" TargetMode="External"/><Relationship Id="rId301" Type="http://schemas.openxmlformats.org/officeDocument/2006/relationships/hyperlink" Target="https://specs.blockchainssc.org/gsp/" TargetMode="External"/><Relationship Id="rId302" Type="http://schemas.openxmlformats.org/officeDocument/2006/relationships/hyperlink" Target="https://specs.blockchainssc.org/gsp/" TargetMode="External"/><Relationship Id="rId303" Type="http://schemas.openxmlformats.org/officeDocument/2006/relationships/hyperlink" Target="https://specs.blockchainssc.org/gsp/" TargetMode="External"/><Relationship Id="rId304" Type="http://schemas.openxmlformats.org/officeDocument/2006/relationships/hyperlink" Target="https://specs.blockchainssc.org/gsp/" TargetMode="External"/><Relationship Id="rId305" Type="http://schemas.openxmlformats.org/officeDocument/2006/relationships/hyperlink" Target="https://frameworks.securityalliance.org/" TargetMode="External"/><Relationship Id="rId306" Type="http://schemas.openxmlformats.org/officeDocument/2006/relationships/hyperlink" Target="https://frameworks.securityalliance.org/" TargetMode="External"/><Relationship Id="rId307" Type="http://schemas.openxmlformats.org/officeDocument/2006/relationships/hyperlink" Target="https://eur-lex.europa.eu/" TargetMode="External"/><Relationship Id="rId308" Type="http://schemas.openxmlformats.org/officeDocument/2006/relationships/hyperlink" Target="https://specs.blockchainssc.org/nos/" TargetMode="External"/><Relationship Id="rId309" Type="http://schemas.openxmlformats.org/officeDocument/2006/relationships/hyperlink" Target="https://specs.blockchainssc.org/kms/" TargetMode="External"/><Relationship Id="rId310" Type="http://schemas.openxmlformats.org/officeDocument/2006/relationships/hyperlink" Target="https://specs.blockchainssc.org/kms/" TargetMode="External"/><Relationship Id="rId311" Type="http://schemas.openxmlformats.org/officeDocument/2006/relationships/hyperlink" Target="https://specs.blockchainssc.org/kms/" TargetMode="External"/><Relationship Id="rId312" Type="http://schemas.openxmlformats.org/officeDocument/2006/relationships/hyperlink" Target="https://specs.blockchainssc.org/kms/" TargetMode="External"/><Relationship Id="rId313" Type="http://schemas.openxmlformats.org/officeDocument/2006/relationships/hyperlink" Target="https://specs.blockchainssc.org/gsp/" TargetMode="External"/><Relationship Id="rId314" Type="http://schemas.openxmlformats.org/officeDocument/2006/relationships/hyperlink" Target="https://specs.blockchainssc.org/gsp/" TargetMode="External"/><Relationship Id="rId315" Type="http://schemas.openxmlformats.org/officeDocument/2006/relationships/hyperlink" Target="https://specs.blockchainssc.org/gsp/" TargetMode="External"/><Relationship Id="rId316" Type="http://schemas.openxmlformats.org/officeDocument/2006/relationships/hyperlink" Target="https://specs.blockchainssc.org/gsp/" TargetMode="External"/><Relationship Id="rId317" Type="http://schemas.openxmlformats.org/officeDocument/2006/relationships/hyperlink" Target="https://specs.blockchainssc.org/gsp/" TargetMode="External"/><Relationship Id="rId318" Type="http://schemas.openxmlformats.org/officeDocument/2006/relationships/hyperlink" Target="https://frameworks.securityalliance.org/" TargetMode="External"/><Relationship Id="rId319" Type="http://schemas.openxmlformats.org/officeDocument/2006/relationships/hyperlink" Target="https://www.cisecurity.org/controls/cis-controls-list" TargetMode="External"/><Relationship Id="rId320" Type="http://schemas.openxmlformats.org/officeDocument/2006/relationships/hyperlink" Target="https://www.cisecurity.org/controls/cis-controls-list" TargetMode="External"/><Relationship Id="rId321" Type="http://schemas.openxmlformats.org/officeDocument/2006/relationships/hyperlink" Target="https://www.cisecurity.org/controls/cis-controls-list" TargetMode="External"/><Relationship Id="rId322" Type="http://schemas.openxmlformats.org/officeDocument/2006/relationships/hyperlink" Target="https://www.cisecurity.org/controls/cis-controls-list" TargetMode="External"/><Relationship Id="rId323" Type="http://schemas.openxmlformats.org/officeDocument/2006/relationships/hyperlink" Target="https://eur-lex.europa.eu/" TargetMode="External"/><Relationship Id="rId324" Type="http://schemas.openxmlformats.org/officeDocument/2006/relationships/hyperlink" Target="https://specs.blockchainssc.org/nos/" TargetMode="External"/><Relationship Id="rId325" Type="http://schemas.openxmlformats.org/officeDocument/2006/relationships/hyperlink" Target="https://specs.blockchainssc.org/nos/" TargetMode="External"/><Relationship Id="rId326" Type="http://schemas.openxmlformats.org/officeDocument/2006/relationships/hyperlink" Target="https://specs.blockchainssc.org/nos/" TargetMode="External"/><Relationship Id="rId327" Type="http://schemas.openxmlformats.org/officeDocument/2006/relationships/hyperlink" Target="https://specs.blockchainssc.org/kms/" TargetMode="External"/><Relationship Id="rId328" Type="http://schemas.openxmlformats.org/officeDocument/2006/relationships/hyperlink" Target="https://specs.blockchainssc.org/kms/" TargetMode="External"/><Relationship Id="rId329" Type="http://schemas.openxmlformats.org/officeDocument/2006/relationships/hyperlink" Target="https://specs.blockchainssc.org/scs/" TargetMode="External"/><Relationship Id="rId330" Type="http://schemas.openxmlformats.org/officeDocument/2006/relationships/hyperlink" Target="https://specs.blockchainssc.org/gsp/" TargetMode="External"/><Relationship Id="rId331" Type="http://schemas.openxmlformats.org/officeDocument/2006/relationships/hyperlink" Target="https://specs.blockchainssc.org/gsp/" TargetMode="External"/><Relationship Id="rId332" Type="http://schemas.openxmlformats.org/officeDocument/2006/relationships/hyperlink" Target="https://specs.blockchainssc.org/gsp/" TargetMode="External"/><Relationship Id="rId333" Type="http://schemas.openxmlformats.org/officeDocument/2006/relationships/hyperlink" Target="https://frameworks.securityalliance.org/" TargetMode="External"/><Relationship Id="rId334" Type="http://schemas.openxmlformats.org/officeDocument/2006/relationships/hyperlink" Target="https://frameworks.securityalliance.org/" TargetMode="External"/><Relationship Id="rId335" Type="http://schemas.openxmlformats.org/officeDocument/2006/relationships/hyperlink" Target="https://frameworks.securityalliance.org/" TargetMode="External"/><Relationship Id="rId336" Type="http://schemas.openxmlformats.org/officeDocument/2006/relationships/hyperlink" Target="https://eur-lex.europa.eu/" TargetMode="External"/><Relationship Id="rId337" Type="http://schemas.openxmlformats.org/officeDocument/2006/relationships/hyperlink" Target="https://specs.blockchainssc.org/gsp/" TargetMode="External"/><Relationship Id="rId338" Type="http://schemas.openxmlformats.org/officeDocument/2006/relationships/hyperlink" Target="https://specs.blockchainssc.org/gsp/" TargetMode="External"/><Relationship Id="rId339" Type="http://schemas.openxmlformats.org/officeDocument/2006/relationships/hyperlink" Target="https://specs.blockchainssc.org/gsp/" TargetMode="External"/><Relationship Id="rId340" Type="http://schemas.openxmlformats.org/officeDocument/2006/relationships/hyperlink" Target="https://specs.blockchainssc.org/gsp/" TargetMode="External"/><Relationship Id="rId341" Type="http://schemas.openxmlformats.org/officeDocument/2006/relationships/hyperlink" Target="https://specs.blockchainssc.org/gsp/" TargetMode="External"/><Relationship Id="rId342" Type="http://schemas.openxmlformats.org/officeDocument/2006/relationships/hyperlink" Target="https://specs.blockchainssc.org/gsp/" TargetMode="External"/><Relationship Id="rId343" Type="http://schemas.openxmlformats.org/officeDocument/2006/relationships/hyperlink" Target="https://specs.blockchainssc.org/gsp/" TargetMode="External"/><Relationship Id="rId344" Type="http://schemas.openxmlformats.org/officeDocument/2006/relationships/hyperlink" Target="https://specs.blockchainssc.org/gsp/" TargetMode="External"/><Relationship Id="rId345" Type="http://schemas.openxmlformats.org/officeDocument/2006/relationships/hyperlink" Target="https://specs.blockchainssc.org/gsp/" TargetMode="External"/><Relationship Id="rId346" Type="http://schemas.openxmlformats.org/officeDocument/2006/relationships/hyperlink" Target="https://specs.blockchainssc.org/gsp/" TargetMode="External"/><Relationship Id="rId347" Type="http://schemas.openxmlformats.org/officeDocument/2006/relationships/hyperlink" Target="https://specs.blockchainssc.org/gsp/" TargetMode="External"/><Relationship Id="rId348" Type="http://schemas.openxmlformats.org/officeDocument/2006/relationships/hyperlink" Target="https://cryptoconsortium.org/" TargetMode="External"/><Relationship Id="rId349" Type="http://schemas.openxmlformats.org/officeDocument/2006/relationships/hyperlink" Target="https://specs.blockchainssc.org/kms/" TargetMode="External"/><Relationship Id="rId350" Type="http://schemas.openxmlformats.org/officeDocument/2006/relationships/hyperlink" Target="https://specs.blockchainssc.org/kms/" TargetMode="External"/><Relationship Id="rId351" Type="http://schemas.openxmlformats.org/officeDocument/2006/relationships/hyperlink" Target="https://specs.blockchainssc.org/gsp/" TargetMode="External"/><Relationship Id="rId352" Type="http://schemas.openxmlformats.org/officeDocument/2006/relationships/hyperlink" Target="https://specs.blockchainssc.org/gsp/" TargetMode="External"/><Relationship Id="rId353" Type="http://schemas.openxmlformats.org/officeDocument/2006/relationships/hyperlink" Target="https://specs.blockchainssc.org/gsp/" TargetMode="External"/><Relationship Id="rId354" Type="http://schemas.openxmlformats.org/officeDocument/2006/relationships/hyperlink" Target="https://scs.owasp.org/sctop10/Web3-Attack-Vectors-Top15/" TargetMode="External"/><Relationship Id="rId355" Type="http://schemas.openxmlformats.org/officeDocument/2006/relationships/hyperlink" Target="https://frameworks.securityalliance.org/" TargetMode="External"/><Relationship Id="rId356" Type="http://schemas.openxmlformats.org/officeDocument/2006/relationships/hyperlink" Target="https://frameworks.securityalliance.org/" TargetMode="External"/><Relationship Id="rId357" Type="http://schemas.openxmlformats.org/officeDocument/2006/relationships/hyperlink" Target="https://frameworks.securityalliance.org/" TargetMode="External"/><Relationship Id="rId358" Type="http://schemas.openxmlformats.org/officeDocument/2006/relationships/hyperlink" Target="https://scs.owasp.org/sctop10/Web3-Attack-Vectors-Top15/" TargetMode="External"/><Relationship Id="rId359" Type="http://schemas.openxmlformats.org/officeDocument/2006/relationships/hyperlink" Target="https://scs.owasp.org/sctop10/Web3-Attack-Vectors-Top15/" TargetMode="External"/><Relationship Id="rId360" Type="http://schemas.openxmlformats.org/officeDocument/2006/relationships/hyperlink" Target="https://scs.owasp.org/sctop10/Web3-Attack-Vectors-Top15/" TargetMode="External"/><Relationship Id="rId361" Type="http://schemas.openxmlformats.org/officeDocument/2006/relationships/hyperlink" Target="https://scs.owasp.org/sctop10/Web3-Attack-Vectors-Top15/" TargetMode="External"/><Relationship Id="rId362" Type="http://schemas.openxmlformats.org/officeDocument/2006/relationships/hyperlink" Target="https://scs.owasp.org/sctop10/Web3-Attack-Vectors-Top15/" TargetMode="External"/><Relationship Id="rId363" Type="http://schemas.openxmlformats.org/officeDocument/2006/relationships/hyperlink" Target="https://frameworks.securityalliance.org/" TargetMode="External"/><Relationship Id="rId364" Type="http://schemas.openxmlformats.org/officeDocument/2006/relationships/hyperlink" Target="https://frameworks.securityalliance.org/" TargetMode="External"/><Relationship Id="rId365" Type="http://schemas.openxmlformats.org/officeDocument/2006/relationships/hyperlink" Target="https://specs.blockchainssc.org/nos/" TargetMode="External"/><Relationship Id="rId366" Type="http://schemas.openxmlformats.org/officeDocument/2006/relationships/hyperlink" Target="https://specs.blockchainssc.org/nos/" TargetMode="External"/><Relationship Id="rId367" Type="http://schemas.openxmlformats.org/officeDocument/2006/relationships/hyperlink" Target="https://specs.blockchainssc.org/scs/" TargetMode="External"/><Relationship Id="rId368" Type="http://schemas.openxmlformats.org/officeDocument/2006/relationships/hyperlink" Target="https://specs.blockchainssc.org/scs/" TargetMode="External"/><Relationship Id="rId369" Type="http://schemas.openxmlformats.org/officeDocument/2006/relationships/hyperlink" Target="https://specs.blockchainssc.org/scs/" TargetMode="External"/><Relationship Id="rId370" Type="http://schemas.openxmlformats.org/officeDocument/2006/relationships/hyperlink" Target="https://specs.blockchainssc.org/scs/" TargetMode="External"/><Relationship Id="rId371" Type="http://schemas.openxmlformats.org/officeDocument/2006/relationships/hyperlink" Target="https://specs.blockchainssc.org/scs/" TargetMode="External"/><Relationship Id="rId372" Type="http://schemas.openxmlformats.org/officeDocument/2006/relationships/hyperlink" Target="https://specs.blockchainssc.org/scs/" TargetMode="External"/><Relationship Id="rId373" Type="http://schemas.openxmlformats.org/officeDocument/2006/relationships/hyperlink" Target="https://specs.blockchainssc.org/scs/" TargetMode="External"/><Relationship Id="rId374" Type="http://schemas.openxmlformats.org/officeDocument/2006/relationships/hyperlink" Target="https://specs.blockchainssc.org/scs/" TargetMode="External"/><Relationship Id="rId375" Type="http://schemas.openxmlformats.org/officeDocument/2006/relationships/hyperlink" Target="https://specs.blockchainssc.org/scs/" TargetMode="External"/><Relationship Id="rId376" Type="http://schemas.openxmlformats.org/officeDocument/2006/relationships/hyperlink" Target="https://specs.blockchainssc.org/scs/" TargetMode="External"/><Relationship Id="rId377" Type="http://schemas.openxmlformats.org/officeDocument/2006/relationships/hyperlink" Target="https://specs.blockchainssc.org/scs/" TargetMode="External"/><Relationship Id="rId378" Type="http://schemas.openxmlformats.org/officeDocument/2006/relationships/hyperlink" Target="https://specs.blockchainssc.org/scs/" TargetMode="External"/><Relationship Id="rId379" Type="http://schemas.openxmlformats.org/officeDocument/2006/relationships/hyperlink" Target="https://specs.blockchainssc.org/scs/" TargetMode="External"/><Relationship Id="rId380" Type="http://schemas.openxmlformats.org/officeDocument/2006/relationships/hyperlink" Target="https://specs.blockchainssc.org/scs/" TargetMode="External"/><Relationship Id="rId381" Type="http://schemas.openxmlformats.org/officeDocument/2006/relationships/hyperlink" Target="https://specs.blockchainssc.org/scs/" TargetMode="External"/><Relationship Id="rId382" Type="http://schemas.openxmlformats.org/officeDocument/2006/relationships/hyperlink" Target="https://specs.blockchainssc.org/scs/" TargetMode="External"/><Relationship Id="rId383" Type="http://schemas.openxmlformats.org/officeDocument/2006/relationships/hyperlink" Target="https://scs.owasp.org/sctop10" TargetMode="External"/><Relationship Id="rId384" Type="http://schemas.openxmlformats.org/officeDocument/2006/relationships/hyperlink" Target="https://scs.owasp.org/sctop10" TargetMode="External"/><Relationship Id="rId385" Type="http://schemas.openxmlformats.org/officeDocument/2006/relationships/hyperlink" Target="https://scs.owasp.org/SCSVS/" TargetMode="External"/><Relationship Id="rId386" Type="http://schemas.openxmlformats.org/officeDocument/2006/relationships/hyperlink" Target="https://scs.owasp.org/SCSVS/" TargetMode="External"/><Relationship Id="rId387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pecs.blockchainssc.org/nos/" TargetMode="External"/><Relationship Id="rId2" Type="http://schemas.openxmlformats.org/officeDocument/2006/relationships/hyperlink" Target="https://specs.blockchainssc.org/tis/" TargetMode="External"/><Relationship Id="rId3" Type="http://schemas.openxmlformats.org/officeDocument/2006/relationships/hyperlink" Target="https://specs.blockchainssc.org/kms/" TargetMode="External"/><Relationship Id="rId4" Type="http://schemas.openxmlformats.org/officeDocument/2006/relationships/hyperlink" Target="https://specs.blockchainssc.org/scs/" TargetMode="External"/><Relationship Id="rId5" Type="http://schemas.openxmlformats.org/officeDocument/2006/relationships/hyperlink" Target="https://specs.blockchainssc.org/gsp/" TargetMode="External"/><Relationship Id="rId6" Type="http://schemas.openxmlformats.org/officeDocument/2006/relationships/hyperlink" Target="https://scs.owasp.org/sctop10" TargetMode="External"/><Relationship Id="rId7" Type="http://schemas.openxmlformats.org/officeDocument/2006/relationships/hyperlink" Target="https://scs.owasp.org/SCSVS/" TargetMode="External"/><Relationship Id="rId8" Type="http://schemas.openxmlformats.org/officeDocument/2006/relationships/hyperlink" Target="https://scs.owasp.org/sctop10/Web3-Attack-Vectors-Top15/" TargetMode="External"/><Relationship Id="rId9" Type="http://schemas.openxmlformats.org/officeDocument/2006/relationships/hyperlink" Target="https://github.com/w3c-cg/EthTrust" TargetMode="External"/><Relationship Id="rId10" Type="http://schemas.openxmlformats.org/officeDocument/2006/relationships/hyperlink" Target="https://frameworks.securityalliance.org/" TargetMode="External"/><Relationship Id="rId11" Type="http://schemas.openxmlformats.org/officeDocument/2006/relationships/hyperlink" Target="https://cryptoconsortium.org/" TargetMode="External"/><Relationship Id="rId12" Type="http://schemas.openxmlformats.org/officeDocument/2006/relationships/hyperlink" Target="https://www.cisecurity.org/controls/cis-controls-list" TargetMode="External"/><Relationship Id="rId13" Type="http://schemas.openxmlformats.org/officeDocument/2006/relationships/hyperlink" Target="https://www.nist.gov/cyberframework" TargetMode="External"/><Relationship Id="rId14" Type="http://schemas.openxmlformats.org/officeDocument/2006/relationships/hyperlink" Target="https://www.iso.org/standard/27001" TargetMode="External"/><Relationship Id="rId15" Type="http://schemas.openxmlformats.org/officeDocument/2006/relationships/hyperlink" Target="https://eur-lex.europa.eu/eli/reg/2022/2554/oj" TargetMode="External"/><Relationship Id="rId16" Type="http://schemas.openxmlformats.org/officeDocument/2006/relationships/hyperlink" Target="https://eur-lex.europa.eu/eli/reg/2023/1114/oj" TargetMode="External"/><Relationship Id="rId17" Type="http://schemas.openxmlformats.org/officeDocument/2006/relationships/hyperlink" Target="https://www.fatf-gafi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23.85" hidden="false" customHeight="false" outlineLevel="0" collapsed="false">
      <c r="A9" s="2" t="s">
        <v>6</v>
      </c>
    </row>
    <row r="10" customFormat="false" ht="35.0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23.85" hidden="false" customHeight="false" outlineLevel="0" collapsed="false">
      <c r="A22" s="2" t="s">
        <v>17</v>
      </c>
    </row>
    <row r="23" customFormat="false" ht="23.8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4" t="s">
        <v>19</v>
      </c>
    </row>
    <row r="2" customFormat="false" ht="15" hidden="false" customHeight="false" outlineLevel="0" collapsed="false">
      <c r="A2" s="5" t="s">
        <v>20</v>
      </c>
    </row>
    <row r="3" customFormat="false" ht="15" hidden="false" customHeight="false" outlineLevel="0" collapsed="false">
      <c r="A3" s="6" t="s">
        <v>21</v>
      </c>
    </row>
    <row r="4" customFormat="false" ht="23.85" hidden="false" customHeight="false" outlineLevel="0" collapsed="false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29</v>
      </c>
    </row>
    <row r="5" customFormat="false" ht="15" hidden="false" customHeight="false" outlineLevel="0" collapsed="false">
      <c r="A5" s="8" t="s">
        <v>30</v>
      </c>
      <c r="B5" s="8" t="n">
        <f aca="false">COUNTIFS('Control Register'!$C$2:$C$387,$A5,'Control Register'!$J$2:$J$387,"Critical")</f>
        <v>2</v>
      </c>
      <c r="C5" s="8" t="n">
        <f aca="false">COUNTIFS('Control Register'!$C$2:$C$387,$A5,'Control Register'!$J$2:$J$387,"High")</f>
        <v>15</v>
      </c>
      <c r="D5" s="8" t="n">
        <f aca="false">COUNTIFS('Control Register'!$C$2:$C$387,$A5,'Control Register'!$J$2:$J$387,"Medium")</f>
        <v>7</v>
      </c>
      <c r="E5" s="8" t="n">
        <f aca="false">COUNTIFS('Control Register'!$C$2:$C$387,$A5,'Control Register'!$J$2:$J$387,"Low")</f>
        <v>2</v>
      </c>
      <c r="F5" s="8" t="n">
        <f aca="false">SUM(B5:E5)</f>
        <v>26</v>
      </c>
      <c r="G5" s="8" t="n">
        <f aca="false">COUNTIFS('Control Register'!$C$2:$C$387,$A5,'Control Register'!$AB$2:$AB$387,"Implemented")</f>
        <v>0</v>
      </c>
      <c r="H5" s="9" t="n">
        <f aca="false">IF((F5-(COUNTIFS('Control Register'!$C$2:$C$387,$A5,'Control Register'!$AB$2:$AB$387,"Not applicable")+COUNTIFS('Control Register'!$C$2:$C$387,$A5,'Control Register'!$AB$2:$AB$387,"Risk accepted")))=0,0,G5/(F5-(COUNTIFS('Control Register'!$C$2:$C$387,$A5,'Control Register'!$AB$2:$AB$387,"Not applicable")+COUNTIFS('Control Register'!$C$2:$C$387,$A5,'Control Register'!$AB$2:$AB$387,"Risk accepted"))))</f>
        <v>0</v>
      </c>
    </row>
    <row r="6" customFormat="false" ht="15" hidden="false" customHeight="false" outlineLevel="0" collapsed="false">
      <c r="A6" s="8" t="s">
        <v>31</v>
      </c>
      <c r="B6" s="8" t="n">
        <f aca="false">COUNTIFS('Control Register'!$C$2:$C$387,$A6,'Control Register'!$J$2:$J$387,"Critical")</f>
        <v>32</v>
      </c>
      <c r="C6" s="8" t="n">
        <f aca="false">COUNTIFS('Control Register'!$C$2:$C$387,$A6,'Control Register'!$J$2:$J$387,"High")</f>
        <v>32</v>
      </c>
      <c r="D6" s="8" t="n">
        <f aca="false">COUNTIFS('Control Register'!$C$2:$C$387,$A6,'Control Register'!$J$2:$J$387,"Medium")</f>
        <v>11</v>
      </c>
      <c r="E6" s="8" t="n">
        <f aca="false">COUNTIFS('Control Register'!$C$2:$C$387,$A6,'Control Register'!$J$2:$J$387,"Low")</f>
        <v>3</v>
      </c>
      <c r="F6" s="8" t="n">
        <f aca="false">SUM(B6:E6)</f>
        <v>78</v>
      </c>
      <c r="G6" s="8" t="n">
        <f aca="false">COUNTIFS('Control Register'!$C$2:$C$387,$A6,'Control Register'!$AB$2:$AB$387,"Implemented")</f>
        <v>0</v>
      </c>
      <c r="H6" s="9" t="n">
        <f aca="false">IF((F6-(COUNTIFS('Control Register'!$C$2:$C$387,$A6,'Control Register'!$AB$2:$AB$387,"Not applicable")+COUNTIFS('Control Register'!$C$2:$C$387,$A6,'Control Register'!$AB$2:$AB$387,"Risk accepted")))=0,0,G6/(F6-(COUNTIFS('Control Register'!$C$2:$C$387,$A6,'Control Register'!$AB$2:$AB$387,"Not applicable")+COUNTIFS('Control Register'!$C$2:$C$387,$A6,'Control Register'!$AB$2:$AB$387,"Risk accepted"))))</f>
        <v>0</v>
      </c>
    </row>
    <row r="7" customFormat="false" ht="15" hidden="false" customHeight="false" outlineLevel="0" collapsed="false">
      <c r="A7" s="8" t="s">
        <v>32</v>
      </c>
      <c r="B7" s="8" t="n">
        <f aca="false">COUNTIFS('Control Register'!$C$2:$C$387,$A7,'Control Register'!$J$2:$J$387,"Critical")</f>
        <v>10</v>
      </c>
      <c r="C7" s="8" t="n">
        <f aca="false">COUNTIFS('Control Register'!$C$2:$C$387,$A7,'Control Register'!$J$2:$J$387,"High")</f>
        <v>23</v>
      </c>
      <c r="D7" s="8" t="n">
        <f aca="false">COUNTIFS('Control Register'!$C$2:$C$387,$A7,'Control Register'!$J$2:$J$387,"Medium")</f>
        <v>21</v>
      </c>
      <c r="E7" s="8" t="n">
        <f aca="false">COUNTIFS('Control Register'!$C$2:$C$387,$A7,'Control Register'!$J$2:$J$387,"Low")</f>
        <v>9</v>
      </c>
      <c r="F7" s="8" t="n">
        <f aca="false">SUM(B7:E7)</f>
        <v>63</v>
      </c>
      <c r="G7" s="8" t="n">
        <f aca="false">COUNTIFS('Control Register'!$C$2:$C$387,$A7,'Control Register'!$AB$2:$AB$387,"Implemented")</f>
        <v>0</v>
      </c>
      <c r="H7" s="9" t="n">
        <f aca="false">IF((F7-(COUNTIFS('Control Register'!$C$2:$C$387,$A7,'Control Register'!$AB$2:$AB$387,"Not applicable")+COUNTIFS('Control Register'!$C$2:$C$387,$A7,'Control Register'!$AB$2:$AB$387,"Risk accepted")))=0,0,G7/(F7-(COUNTIFS('Control Register'!$C$2:$C$387,$A7,'Control Register'!$AB$2:$AB$387,"Not applicable")+COUNTIFS('Control Register'!$C$2:$C$387,$A7,'Control Register'!$AB$2:$AB$387,"Risk accepted"))))</f>
        <v>0</v>
      </c>
    </row>
    <row r="8" customFormat="false" ht="15" hidden="false" customHeight="false" outlineLevel="0" collapsed="false">
      <c r="A8" s="8" t="s">
        <v>33</v>
      </c>
      <c r="B8" s="8" t="n">
        <f aca="false">COUNTIFS('Control Register'!$C$2:$C$387,$A8,'Control Register'!$J$2:$J$387,"Critical")</f>
        <v>5</v>
      </c>
      <c r="C8" s="8" t="n">
        <f aca="false">COUNTIFS('Control Register'!$C$2:$C$387,$A8,'Control Register'!$J$2:$J$387,"High")</f>
        <v>20</v>
      </c>
      <c r="D8" s="8" t="n">
        <f aca="false">COUNTIFS('Control Register'!$C$2:$C$387,$A8,'Control Register'!$J$2:$J$387,"Medium")</f>
        <v>18</v>
      </c>
      <c r="E8" s="8" t="n">
        <f aca="false">COUNTIFS('Control Register'!$C$2:$C$387,$A8,'Control Register'!$J$2:$J$387,"Low")</f>
        <v>7</v>
      </c>
      <c r="F8" s="8" t="n">
        <f aca="false">SUM(B8:E8)</f>
        <v>50</v>
      </c>
      <c r="G8" s="8" t="n">
        <f aca="false">COUNTIFS('Control Register'!$C$2:$C$387,$A8,'Control Register'!$AB$2:$AB$387,"Implemented")</f>
        <v>0</v>
      </c>
      <c r="H8" s="9" t="n">
        <f aca="false">IF((F8-(COUNTIFS('Control Register'!$C$2:$C$387,$A8,'Control Register'!$AB$2:$AB$387,"Not applicable")+COUNTIFS('Control Register'!$C$2:$C$387,$A8,'Control Register'!$AB$2:$AB$387,"Risk accepted")))=0,0,G8/(F8-(COUNTIFS('Control Register'!$C$2:$C$387,$A8,'Control Register'!$AB$2:$AB$387,"Not applicable")+COUNTIFS('Control Register'!$C$2:$C$387,$A8,'Control Register'!$AB$2:$AB$387,"Risk accepted"))))</f>
        <v>0</v>
      </c>
    </row>
    <row r="9" customFormat="false" ht="15" hidden="false" customHeight="false" outlineLevel="0" collapsed="false">
      <c r="A9" s="8" t="s">
        <v>34</v>
      </c>
      <c r="B9" s="8" t="n">
        <f aca="false">COUNTIFS('Control Register'!$C$2:$C$387,$A9,'Control Register'!$J$2:$J$387,"Critical")</f>
        <v>2</v>
      </c>
      <c r="C9" s="8" t="n">
        <f aca="false">COUNTIFS('Control Register'!$C$2:$C$387,$A9,'Control Register'!$J$2:$J$387,"High")</f>
        <v>10</v>
      </c>
      <c r="D9" s="8" t="n">
        <f aca="false">COUNTIFS('Control Register'!$C$2:$C$387,$A9,'Control Register'!$J$2:$J$387,"Medium")</f>
        <v>11</v>
      </c>
      <c r="E9" s="8" t="n">
        <f aca="false">COUNTIFS('Control Register'!$C$2:$C$387,$A9,'Control Register'!$J$2:$J$387,"Low")</f>
        <v>2</v>
      </c>
      <c r="F9" s="8" t="n">
        <f aca="false">SUM(B9:E9)</f>
        <v>25</v>
      </c>
      <c r="G9" s="8" t="n">
        <f aca="false">COUNTIFS('Control Register'!$C$2:$C$387,$A9,'Control Register'!$AB$2:$AB$387,"Implemented")</f>
        <v>0</v>
      </c>
      <c r="H9" s="9" t="n">
        <f aca="false">IF((F9-(COUNTIFS('Control Register'!$C$2:$C$387,$A9,'Control Register'!$AB$2:$AB$387,"Not applicable")+COUNTIFS('Control Register'!$C$2:$C$387,$A9,'Control Register'!$AB$2:$AB$387,"Risk accepted")))=0,0,G9/(F9-(COUNTIFS('Control Register'!$C$2:$C$387,$A9,'Control Register'!$AB$2:$AB$387,"Not applicable")+COUNTIFS('Control Register'!$C$2:$C$387,$A9,'Control Register'!$AB$2:$AB$387,"Risk accepted"))))</f>
        <v>0</v>
      </c>
    </row>
    <row r="10" customFormat="false" ht="15" hidden="false" customHeight="false" outlineLevel="0" collapsed="false">
      <c r="A10" s="8" t="s">
        <v>35</v>
      </c>
      <c r="B10" s="8" t="n">
        <f aca="false">COUNTIFS('Control Register'!$C$2:$C$387,$A10,'Control Register'!$J$2:$J$387,"Critical")</f>
        <v>3</v>
      </c>
      <c r="C10" s="8" t="n">
        <f aca="false">COUNTIFS('Control Register'!$C$2:$C$387,$A10,'Control Register'!$J$2:$J$387,"High")</f>
        <v>8</v>
      </c>
      <c r="D10" s="8" t="n">
        <f aca="false">COUNTIFS('Control Register'!$C$2:$C$387,$A10,'Control Register'!$J$2:$J$387,"Medium")</f>
        <v>1</v>
      </c>
      <c r="E10" s="8" t="n">
        <f aca="false">COUNTIFS('Control Register'!$C$2:$C$387,$A10,'Control Register'!$J$2:$J$387,"Low")</f>
        <v>0</v>
      </c>
      <c r="F10" s="8" t="n">
        <f aca="false">SUM(B10:E10)</f>
        <v>12</v>
      </c>
      <c r="G10" s="8" t="n">
        <f aca="false">COUNTIFS('Control Register'!$C$2:$C$387,$A10,'Control Register'!$AB$2:$AB$387,"Implemented")</f>
        <v>0</v>
      </c>
      <c r="H10" s="9" t="n">
        <f aca="false">IF((F10-(COUNTIFS('Control Register'!$C$2:$C$387,$A10,'Control Register'!$AB$2:$AB$387,"Not applicable")+COUNTIFS('Control Register'!$C$2:$C$387,$A10,'Control Register'!$AB$2:$AB$387,"Risk accepted")))=0,0,G10/(F10-(COUNTIFS('Control Register'!$C$2:$C$387,$A10,'Control Register'!$AB$2:$AB$387,"Not applicable")+COUNTIFS('Control Register'!$C$2:$C$387,$A10,'Control Register'!$AB$2:$AB$387,"Risk accepted"))))</f>
        <v>0</v>
      </c>
    </row>
    <row r="11" customFormat="false" ht="15" hidden="false" customHeight="false" outlineLevel="0" collapsed="false">
      <c r="A11" s="8" t="s">
        <v>36</v>
      </c>
      <c r="B11" s="8" t="n">
        <f aca="false">COUNTIFS('Control Register'!$C$2:$C$387,$A11,'Control Register'!$J$2:$J$387,"Critical")</f>
        <v>4</v>
      </c>
      <c r="C11" s="8" t="n">
        <f aca="false">COUNTIFS('Control Register'!$C$2:$C$387,$A11,'Control Register'!$J$2:$J$387,"High")</f>
        <v>11</v>
      </c>
      <c r="D11" s="8" t="n">
        <f aca="false">COUNTIFS('Control Register'!$C$2:$C$387,$A11,'Control Register'!$J$2:$J$387,"Medium")</f>
        <v>3</v>
      </c>
      <c r="E11" s="8" t="n">
        <f aca="false">COUNTIFS('Control Register'!$C$2:$C$387,$A11,'Control Register'!$J$2:$J$387,"Low")</f>
        <v>0</v>
      </c>
      <c r="F11" s="8" t="n">
        <f aca="false">SUM(B11:E11)</f>
        <v>18</v>
      </c>
      <c r="G11" s="8" t="n">
        <f aca="false">COUNTIFS('Control Register'!$C$2:$C$387,$A11,'Control Register'!$AB$2:$AB$387,"Implemented")</f>
        <v>0</v>
      </c>
      <c r="H11" s="9" t="n">
        <f aca="false">IF((F11-(COUNTIFS('Control Register'!$C$2:$C$387,$A11,'Control Register'!$AB$2:$AB$387,"Not applicable")+COUNTIFS('Control Register'!$C$2:$C$387,$A11,'Control Register'!$AB$2:$AB$387,"Risk accepted")))=0,0,G11/(F11-(COUNTIFS('Control Register'!$C$2:$C$387,$A11,'Control Register'!$AB$2:$AB$387,"Not applicable")+COUNTIFS('Control Register'!$C$2:$C$387,$A11,'Control Register'!$AB$2:$AB$387,"Risk accepted"))))</f>
        <v>0</v>
      </c>
    </row>
    <row r="12" customFormat="false" ht="15" hidden="false" customHeight="false" outlineLevel="0" collapsed="false">
      <c r="A12" s="8" t="s">
        <v>37</v>
      </c>
      <c r="B12" s="8" t="n">
        <f aca="false">COUNTIFS('Control Register'!$C$2:$C$387,$A12,'Control Register'!$J$2:$J$387,"Critical")</f>
        <v>3</v>
      </c>
      <c r="C12" s="8" t="n">
        <f aca="false">COUNTIFS('Control Register'!$C$2:$C$387,$A12,'Control Register'!$J$2:$J$387,"High")</f>
        <v>24</v>
      </c>
      <c r="D12" s="8" t="n">
        <f aca="false">COUNTIFS('Control Register'!$C$2:$C$387,$A12,'Control Register'!$J$2:$J$387,"Medium")</f>
        <v>8</v>
      </c>
      <c r="E12" s="8" t="n">
        <f aca="false">COUNTIFS('Control Register'!$C$2:$C$387,$A12,'Control Register'!$J$2:$J$387,"Low")</f>
        <v>0</v>
      </c>
      <c r="F12" s="8" t="n">
        <f aca="false">SUM(B12:E12)</f>
        <v>35</v>
      </c>
      <c r="G12" s="8" t="n">
        <f aca="false">COUNTIFS('Control Register'!$C$2:$C$387,$A12,'Control Register'!$AB$2:$AB$387,"Implemented")</f>
        <v>0</v>
      </c>
      <c r="H12" s="9" t="n">
        <f aca="false">IF((F12-(COUNTIFS('Control Register'!$C$2:$C$387,$A12,'Control Register'!$AB$2:$AB$387,"Not applicable")+COUNTIFS('Control Register'!$C$2:$C$387,$A12,'Control Register'!$AB$2:$AB$387,"Risk accepted")))=0,0,G12/(F12-(COUNTIFS('Control Register'!$C$2:$C$387,$A12,'Control Register'!$AB$2:$AB$387,"Not applicable")+COUNTIFS('Control Register'!$C$2:$C$387,$A12,'Control Register'!$AB$2:$AB$387,"Risk accepted"))))</f>
        <v>0</v>
      </c>
    </row>
    <row r="13" customFormat="false" ht="15" hidden="false" customHeight="false" outlineLevel="0" collapsed="false">
      <c r="A13" s="8" t="s">
        <v>38</v>
      </c>
      <c r="B13" s="8" t="n">
        <f aca="false">COUNTIFS('Control Register'!$C$2:$C$387,$A13,'Control Register'!$J$2:$J$387,"Critical")</f>
        <v>2</v>
      </c>
      <c r="C13" s="8" t="n">
        <f aca="false">COUNTIFS('Control Register'!$C$2:$C$387,$A13,'Control Register'!$J$2:$J$387,"High")</f>
        <v>10</v>
      </c>
      <c r="D13" s="8" t="n">
        <f aca="false">COUNTIFS('Control Register'!$C$2:$C$387,$A13,'Control Register'!$J$2:$J$387,"Medium")</f>
        <v>4</v>
      </c>
      <c r="E13" s="8" t="n">
        <f aca="false">COUNTIFS('Control Register'!$C$2:$C$387,$A13,'Control Register'!$J$2:$J$387,"Low")</f>
        <v>0</v>
      </c>
      <c r="F13" s="8" t="n">
        <f aca="false">SUM(B13:E13)</f>
        <v>16</v>
      </c>
      <c r="G13" s="8" t="n">
        <f aca="false">COUNTIFS('Control Register'!$C$2:$C$387,$A13,'Control Register'!$AB$2:$AB$387,"Implemented")</f>
        <v>0</v>
      </c>
      <c r="H13" s="9" t="n">
        <f aca="false">IF((F13-(COUNTIFS('Control Register'!$C$2:$C$387,$A13,'Control Register'!$AB$2:$AB$387,"Not applicable")+COUNTIFS('Control Register'!$C$2:$C$387,$A13,'Control Register'!$AB$2:$AB$387,"Risk accepted")))=0,0,G13/(F13-(COUNTIFS('Control Register'!$C$2:$C$387,$A13,'Control Register'!$AB$2:$AB$387,"Not applicable")+COUNTIFS('Control Register'!$C$2:$C$387,$A13,'Control Register'!$AB$2:$AB$387,"Risk accepted"))))</f>
        <v>0</v>
      </c>
    </row>
    <row r="14" customFormat="false" ht="15" hidden="false" customHeight="false" outlineLevel="0" collapsed="false">
      <c r="A14" s="8" t="s">
        <v>39</v>
      </c>
      <c r="B14" s="8" t="n">
        <f aca="false">COUNTIFS('Control Register'!$C$2:$C$387,$A14,'Control Register'!$J$2:$J$387,"Critical")</f>
        <v>3</v>
      </c>
      <c r="C14" s="8" t="n">
        <f aca="false">COUNTIFS('Control Register'!$C$2:$C$387,$A14,'Control Register'!$J$2:$J$387,"High")</f>
        <v>8</v>
      </c>
      <c r="D14" s="8" t="n">
        <f aca="false">COUNTIFS('Control Register'!$C$2:$C$387,$A14,'Control Register'!$J$2:$J$387,"Medium")</f>
        <v>2</v>
      </c>
      <c r="E14" s="8" t="n">
        <f aca="false">COUNTIFS('Control Register'!$C$2:$C$387,$A14,'Control Register'!$J$2:$J$387,"Low")</f>
        <v>0</v>
      </c>
      <c r="F14" s="8" t="n">
        <f aca="false">SUM(B14:E14)</f>
        <v>13</v>
      </c>
      <c r="G14" s="8" t="n">
        <f aca="false">COUNTIFS('Control Register'!$C$2:$C$387,$A14,'Control Register'!$AB$2:$AB$387,"Implemented")</f>
        <v>0</v>
      </c>
      <c r="H14" s="9" t="n">
        <f aca="false">IF((F14-(COUNTIFS('Control Register'!$C$2:$C$387,$A14,'Control Register'!$AB$2:$AB$387,"Not applicable")+COUNTIFS('Control Register'!$C$2:$C$387,$A14,'Control Register'!$AB$2:$AB$387,"Risk accepted")))=0,0,G14/(F14-(COUNTIFS('Control Register'!$C$2:$C$387,$A14,'Control Register'!$AB$2:$AB$387,"Not applicable")+COUNTIFS('Control Register'!$C$2:$C$387,$A14,'Control Register'!$AB$2:$AB$387,"Risk accepted"))))</f>
        <v>0</v>
      </c>
    </row>
    <row r="15" customFormat="false" ht="15" hidden="false" customHeight="false" outlineLevel="0" collapsed="false">
      <c r="A15" s="8" t="s">
        <v>40</v>
      </c>
      <c r="B15" s="8" t="n">
        <f aca="false">COUNTIFS('Control Register'!$C$2:$C$387,$A15,'Control Register'!$J$2:$J$387,"Critical")</f>
        <v>0</v>
      </c>
      <c r="C15" s="8" t="n">
        <f aca="false">COUNTIFS('Control Register'!$C$2:$C$387,$A15,'Control Register'!$J$2:$J$387,"High")</f>
        <v>5</v>
      </c>
      <c r="D15" s="8" t="n">
        <f aca="false">COUNTIFS('Control Register'!$C$2:$C$387,$A15,'Control Register'!$J$2:$J$387,"Medium")</f>
        <v>7</v>
      </c>
      <c r="E15" s="8" t="n">
        <f aca="false">COUNTIFS('Control Register'!$C$2:$C$387,$A15,'Control Register'!$J$2:$J$387,"Low")</f>
        <v>0</v>
      </c>
      <c r="F15" s="8" t="n">
        <f aca="false">SUM(B15:E15)</f>
        <v>12</v>
      </c>
      <c r="G15" s="8" t="n">
        <f aca="false">COUNTIFS('Control Register'!$C$2:$C$387,$A15,'Control Register'!$AB$2:$AB$387,"Implemented")</f>
        <v>0</v>
      </c>
      <c r="H15" s="9" t="n">
        <f aca="false">IF((F15-(COUNTIFS('Control Register'!$C$2:$C$387,$A15,'Control Register'!$AB$2:$AB$387,"Not applicable")+COUNTIFS('Control Register'!$C$2:$C$387,$A15,'Control Register'!$AB$2:$AB$387,"Risk accepted")))=0,0,G15/(F15-(COUNTIFS('Control Register'!$C$2:$C$387,$A15,'Control Register'!$AB$2:$AB$387,"Not applicable")+COUNTIFS('Control Register'!$C$2:$C$387,$A15,'Control Register'!$AB$2:$AB$387,"Risk accepted"))))</f>
        <v>0</v>
      </c>
    </row>
    <row r="16" customFormat="false" ht="15" hidden="false" customHeight="false" outlineLevel="0" collapsed="false">
      <c r="A16" s="8" t="s">
        <v>41</v>
      </c>
      <c r="B16" s="8" t="n">
        <f aca="false">COUNTIFS('Control Register'!$C$2:$C$387,$A16,'Control Register'!$J$2:$J$387,"Critical")</f>
        <v>3</v>
      </c>
      <c r="C16" s="8" t="n">
        <f aca="false">COUNTIFS('Control Register'!$C$2:$C$387,$A16,'Control Register'!$J$2:$J$387,"High")</f>
        <v>4</v>
      </c>
      <c r="D16" s="8" t="n">
        <f aca="false">COUNTIFS('Control Register'!$C$2:$C$387,$A16,'Control Register'!$J$2:$J$387,"Medium")</f>
        <v>2</v>
      </c>
      <c r="E16" s="8" t="n">
        <f aca="false">COUNTIFS('Control Register'!$C$2:$C$387,$A16,'Control Register'!$J$2:$J$387,"Low")</f>
        <v>0</v>
      </c>
      <c r="F16" s="8" t="n">
        <f aca="false">SUM(B16:E16)</f>
        <v>9</v>
      </c>
      <c r="G16" s="8" t="n">
        <f aca="false">COUNTIFS('Control Register'!$C$2:$C$387,$A16,'Control Register'!$AB$2:$AB$387,"Implemented")</f>
        <v>0</v>
      </c>
      <c r="H16" s="9" t="n">
        <f aca="false">IF((F16-(COUNTIFS('Control Register'!$C$2:$C$387,$A16,'Control Register'!$AB$2:$AB$387,"Not applicable")+COUNTIFS('Control Register'!$C$2:$C$387,$A16,'Control Register'!$AB$2:$AB$387,"Risk accepted")))=0,0,G16/(F16-(COUNTIFS('Control Register'!$C$2:$C$387,$A16,'Control Register'!$AB$2:$AB$387,"Not applicable")+COUNTIFS('Control Register'!$C$2:$C$387,$A16,'Control Register'!$AB$2:$AB$387,"Risk accepted"))))</f>
        <v>0</v>
      </c>
    </row>
    <row r="17" customFormat="false" ht="15" hidden="false" customHeight="false" outlineLevel="0" collapsed="false">
      <c r="A17" s="8" t="s">
        <v>42</v>
      </c>
      <c r="B17" s="8" t="n">
        <f aca="false">COUNTIFS('Control Register'!$C$2:$C$387,$A17,'Control Register'!$J$2:$J$387,"Critical")</f>
        <v>3</v>
      </c>
      <c r="C17" s="8" t="n">
        <f aca="false">COUNTIFS('Control Register'!$C$2:$C$387,$A17,'Control Register'!$J$2:$J$387,"High")</f>
        <v>2</v>
      </c>
      <c r="D17" s="8" t="n">
        <f aca="false">COUNTIFS('Control Register'!$C$2:$C$387,$A17,'Control Register'!$J$2:$J$387,"Medium")</f>
        <v>2</v>
      </c>
      <c r="E17" s="8" t="n">
        <f aca="false">COUNTIFS('Control Register'!$C$2:$C$387,$A17,'Control Register'!$J$2:$J$387,"Low")</f>
        <v>0</v>
      </c>
      <c r="F17" s="8" t="n">
        <f aca="false">SUM(B17:E17)</f>
        <v>7</v>
      </c>
      <c r="G17" s="8" t="n">
        <f aca="false">COUNTIFS('Control Register'!$C$2:$C$387,$A17,'Control Register'!$AB$2:$AB$387,"Implemented")</f>
        <v>0</v>
      </c>
      <c r="H17" s="9" t="n">
        <f aca="false">IF((F17-(COUNTIFS('Control Register'!$C$2:$C$387,$A17,'Control Register'!$AB$2:$AB$387,"Not applicable")+COUNTIFS('Control Register'!$C$2:$C$387,$A17,'Control Register'!$AB$2:$AB$387,"Risk accepted")))=0,0,G17/(F17-(COUNTIFS('Control Register'!$C$2:$C$387,$A17,'Control Register'!$AB$2:$AB$387,"Not applicable")+COUNTIFS('Control Register'!$C$2:$C$387,$A17,'Control Register'!$AB$2:$AB$387,"Risk accepted"))))</f>
        <v>0</v>
      </c>
    </row>
    <row r="18" customFormat="false" ht="15" hidden="false" customHeight="false" outlineLevel="0" collapsed="false">
      <c r="A18" s="8" t="s">
        <v>43</v>
      </c>
      <c r="B18" s="8" t="n">
        <f aca="false">COUNTIFS('Control Register'!$C$2:$C$387,$A18,'Control Register'!$J$2:$J$387,"Critical")</f>
        <v>5</v>
      </c>
      <c r="C18" s="8" t="n">
        <f aca="false">COUNTIFS('Control Register'!$C$2:$C$387,$A18,'Control Register'!$J$2:$J$387,"High")</f>
        <v>6</v>
      </c>
      <c r="D18" s="8" t="n">
        <f aca="false">COUNTIFS('Control Register'!$C$2:$C$387,$A18,'Control Register'!$J$2:$J$387,"Medium")</f>
        <v>7</v>
      </c>
      <c r="E18" s="8" t="n">
        <f aca="false">COUNTIFS('Control Register'!$C$2:$C$387,$A18,'Control Register'!$J$2:$J$387,"Low")</f>
        <v>4</v>
      </c>
      <c r="F18" s="8" t="n">
        <f aca="false">SUM(B18:E18)</f>
        <v>22</v>
      </c>
      <c r="G18" s="8" t="n">
        <f aca="false">COUNTIFS('Control Register'!$C$2:$C$387,$A18,'Control Register'!$AB$2:$AB$387,"Implemented")</f>
        <v>0</v>
      </c>
      <c r="H18" s="9" t="n">
        <f aca="false">IF((F18-(COUNTIFS('Control Register'!$C$2:$C$387,$A18,'Control Register'!$AB$2:$AB$387,"Not applicable")+COUNTIFS('Control Register'!$C$2:$C$387,$A18,'Control Register'!$AB$2:$AB$387,"Risk accepted")))=0,0,G18/(F18-(COUNTIFS('Control Register'!$C$2:$C$387,$A18,'Control Register'!$AB$2:$AB$387,"Not applicable")+COUNTIFS('Control Register'!$C$2:$C$387,$A18,'Control Register'!$AB$2:$AB$387,"Risk accepted"))))</f>
        <v>0</v>
      </c>
    </row>
    <row r="19" customFormat="false" ht="15" hidden="false" customHeight="false" outlineLevel="0" collapsed="false">
      <c r="A19" s="10" t="s">
        <v>27</v>
      </c>
      <c r="B19" s="10" t="n">
        <f aca="false">SUM(B5:B18)</f>
        <v>77</v>
      </c>
      <c r="C19" s="10" t="n">
        <f aca="false">SUM(C5:C18)</f>
        <v>178</v>
      </c>
      <c r="D19" s="10" t="n">
        <f aca="false">SUM(D5:D18)</f>
        <v>104</v>
      </c>
      <c r="E19" s="10" t="n">
        <f aca="false">SUM(E5:E18)</f>
        <v>27</v>
      </c>
      <c r="F19" s="10" t="n">
        <f aca="false">SUM(F5:F18)</f>
        <v>386</v>
      </c>
      <c r="G19" s="10" t="n">
        <f aca="false">SUM(G5:G18)</f>
        <v>0</v>
      </c>
      <c r="H19" s="11" t="n">
        <f aca="false">IF((F19-COUNTIF('Control Register'!$AB$2:$AB$387,"Not applicable")-COUNTIF('Control Register'!$AB$2:$AB$387,"Risk accepted"))=0,0,G19/(F19-COUNTIF('Control Register'!$AB$2:$AB$387,"Not applicable")-COUNTIF('Control Register'!$AB$2:$AB$387,"Risk accepted")))</f>
        <v>0</v>
      </c>
    </row>
    <row r="20" customFormat="false" ht="15" hidden="false" customHeight="false" outlineLevel="0" collapsed="false">
      <c r="A20" s="8" t="s">
        <v>44</v>
      </c>
      <c r="F20" s="10" t="str">
        <f aca="false">IF(F19=COUNTA('Control Register'!$B$2:$B$387),"OK","MISMATCH")</f>
        <v>OK</v>
      </c>
    </row>
    <row r="22" customFormat="false" ht="15" hidden="false" customHeight="false" outlineLevel="0" collapsed="false">
      <c r="A22" s="6" t="s">
        <v>45</v>
      </c>
    </row>
    <row r="23" customFormat="false" ht="15" hidden="false" customHeight="false" outlineLevel="0" collapsed="false">
      <c r="A23" s="7" t="s">
        <v>46</v>
      </c>
      <c r="B23" s="7" t="s">
        <v>47</v>
      </c>
    </row>
    <row r="24" customFormat="false" ht="15" hidden="false" customHeight="false" outlineLevel="0" collapsed="false">
      <c r="A24" s="8" t="s">
        <v>48</v>
      </c>
      <c r="B24" s="8" t="n">
        <f aca="false">COUNTIF('Control Register'!$F$2:$F$387,$A24)</f>
        <v>54</v>
      </c>
    </row>
    <row r="25" customFormat="false" ht="15" hidden="false" customHeight="false" outlineLevel="0" collapsed="false">
      <c r="A25" s="8" t="s">
        <v>49</v>
      </c>
      <c r="B25" s="8" t="n">
        <f aca="false">COUNTIF('Control Register'!$F$2:$F$387,$A25)</f>
        <v>50</v>
      </c>
    </row>
    <row r="26" customFormat="false" ht="15" hidden="false" customHeight="false" outlineLevel="0" collapsed="false">
      <c r="A26" s="8" t="s">
        <v>50</v>
      </c>
      <c r="B26" s="8" t="n">
        <f aca="false">COUNTIF('Control Register'!$F$2:$F$387,$A26)</f>
        <v>96</v>
      </c>
    </row>
    <row r="27" customFormat="false" ht="15" hidden="false" customHeight="false" outlineLevel="0" collapsed="false">
      <c r="A27" s="8" t="s">
        <v>51</v>
      </c>
      <c r="B27" s="8" t="n">
        <f aca="false">COUNTIF('Control Register'!$F$2:$F$387,$A27)</f>
        <v>69</v>
      </c>
    </row>
    <row r="28" customFormat="false" ht="15" hidden="false" customHeight="false" outlineLevel="0" collapsed="false">
      <c r="A28" s="8" t="s">
        <v>52</v>
      </c>
      <c r="B28" s="8" t="n">
        <f aca="false">COUNTIF('Control Register'!$F$2:$F$387,$A28)</f>
        <v>56</v>
      </c>
    </row>
    <row r="29" customFormat="false" ht="15" hidden="false" customHeight="false" outlineLevel="0" collapsed="false">
      <c r="A29" s="8" t="s">
        <v>53</v>
      </c>
      <c r="B29" s="8" t="n">
        <f aca="false">COUNTIF('Control Register'!$F$2:$F$387,$A29)</f>
        <v>13</v>
      </c>
    </row>
    <row r="30" customFormat="false" ht="15" hidden="false" customHeight="false" outlineLevel="0" collapsed="false">
      <c r="A30" s="8" t="s">
        <v>54</v>
      </c>
      <c r="B30" s="8" t="n">
        <f aca="false">COUNTIF('Control Register'!$F$2:$F$387,$A30)</f>
        <v>8</v>
      </c>
    </row>
    <row r="31" customFormat="false" ht="15" hidden="false" customHeight="false" outlineLevel="0" collapsed="false">
      <c r="A31" s="8" t="s">
        <v>55</v>
      </c>
      <c r="B31" s="8" t="n">
        <f aca="false">COUNTIF('Control Register'!$F$2:$F$387,$A31)</f>
        <v>6</v>
      </c>
    </row>
    <row r="32" customFormat="false" ht="15" hidden="false" customHeight="false" outlineLevel="0" collapsed="false">
      <c r="A32" s="8" t="s">
        <v>56</v>
      </c>
      <c r="B32" s="8" t="n">
        <f aca="false">COUNTIF('Control Register'!$F$2:$F$387,$A32)</f>
        <v>22</v>
      </c>
    </row>
    <row r="33" customFormat="false" ht="15" hidden="false" customHeight="false" outlineLevel="0" collapsed="false">
      <c r="A33" s="8" t="s">
        <v>57</v>
      </c>
      <c r="B33" s="8" t="n">
        <f aca="false">COUNTIF('Control Register'!$F$2:$F$387,$A33)</f>
        <v>3</v>
      </c>
    </row>
    <row r="34" customFormat="false" ht="15" hidden="false" customHeight="false" outlineLevel="0" collapsed="false">
      <c r="A34" s="8" t="s">
        <v>58</v>
      </c>
      <c r="B34" s="8" t="n">
        <f aca="false">COUNTIF('Control Register'!$F$2:$F$387,$A34)</f>
        <v>4</v>
      </c>
    </row>
    <row r="35" customFormat="false" ht="15" hidden="false" customHeight="false" outlineLevel="0" collapsed="false">
      <c r="A35" s="8" t="s">
        <v>59</v>
      </c>
      <c r="B35" s="8" t="n">
        <f aca="false">COUNTIF('Control Register'!$F$2:$F$387,$A35)</f>
        <v>3</v>
      </c>
    </row>
    <row r="36" customFormat="false" ht="15" hidden="false" customHeight="false" outlineLevel="0" collapsed="false">
      <c r="A36" s="8" t="s">
        <v>60</v>
      </c>
      <c r="B36" s="8" t="n">
        <f aca="false">COUNTIF('Control Register'!$F$2:$F$387,$A36)</f>
        <v>1</v>
      </c>
    </row>
    <row r="37" customFormat="false" ht="15" hidden="false" customHeight="false" outlineLevel="0" collapsed="false">
      <c r="A37" s="8" t="s">
        <v>61</v>
      </c>
      <c r="B37" s="8" t="n">
        <f aca="false">COUNTIF('Control Register'!$F$2:$F$387,$A37)</f>
        <v>1</v>
      </c>
    </row>
    <row r="38" customFormat="false" ht="15" hidden="false" customHeight="false" outlineLevel="0" collapsed="false">
      <c r="A38" s="10" t="s">
        <v>27</v>
      </c>
      <c r="B38" s="10" t="n">
        <f aca="false">SUM(B24:B37)</f>
        <v>386</v>
      </c>
    </row>
    <row r="40" customFormat="false" ht="15" hidden="false" customHeight="false" outlineLevel="0" collapsed="false">
      <c r="A40" s="6" t="s">
        <v>62</v>
      </c>
    </row>
    <row r="41" customFormat="false" ht="23.85" hidden="false" customHeight="false" outlineLevel="0" collapsed="false">
      <c r="A41" s="7" t="s">
        <v>63</v>
      </c>
      <c r="B41" s="7" t="s">
        <v>64</v>
      </c>
      <c r="C41" s="7" t="s">
        <v>65</v>
      </c>
      <c r="D41" s="7" t="s">
        <v>66</v>
      </c>
    </row>
    <row r="42" customFormat="false" ht="15" hidden="false" customHeight="false" outlineLevel="0" collapsed="false">
      <c r="A42" s="8" t="s">
        <v>53</v>
      </c>
      <c r="B42" s="8" t="s">
        <v>67</v>
      </c>
      <c r="C42" s="8" t="n">
        <f aca="false">COUNTIF('Control Register'!$O$2:$O$387,"*SC01*")</f>
        <v>13</v>
      </c>
      <c r="D42" s="10" t="str">
        <f aca="false">IF(C42&gt;0,"Yes","GAP")</f>
        <v>Yes</v>
      </c>
    </row>
    <row r="43" customFormat="false" ht="15" hidden="false" customHeight="false" outlineLevel="0" collapsed="false">
      <c r="A43" s="8" t="s">
        <v>53</v>
      </c>
      <c r="B43" s="8" t="s">
        <v>68</v>
      </c>
      <c r="C43" s="8" t="n">
        <f aca="false">COUNTIF('Control Register'!$O$2:$O$387,"*SC02*")</f>
        <v>12</v>
      </c>
      <c r="D43" s="10" t="str">
        <f aca="false">IF(C43&gt;0,"Yes","GAP")</f>
        <v>Yes</v>
      </c>
    </row>
    <row r="44" customFormat="false" ht="15" hidden="false" customHeight="false" outlineLevel="0" collapsed="false">
      <c r="A44" s="8" t="s">
        <v>53</v>
      </c>
      <c r="B44" s="8" t="s">
        <v>69</v>
      </c>
      <c r="C44" s="8" t="n">
        <f aca="false">COUNTIF('Control Register'!$O$2:$O$387,"*SC03*")</f>
        <v>6</v>
      </c>
      <c r="D44" s="10" t="str">
        <f aca="false">IF(C44&gt;0,"Yes","GAP")</f>
        <v>Yes</v>
      </c>
    </row>
    <row r="45" customFormat="false" ht="15" hidden="false" customHeight="false" outlineLevel="0" collapsed="false">
      <c r="A45" s="8" t="s">
        <v>53</v>
      </c>
      <c r="B45" s="8" t="s">
        <v>70</v>
      </c>
      <c r="C45" s="8" t="n">
        <f aca="false">COUNTIF('Control Register'!$O$2:$O$387,"*SC04*")</f>
        <v>2</v>
      </c>
      <c r="D45" s="10" t="str">
        <f aca="false">IF(C45&gt;0,"Yes","GAP")</f>
        <v>Yes</v>
      </c>
    </row>
    <row r="46" customFormat="false" ht="15" hidden="false" customHeight="false" outlineLevel="0" collapsed="false">
      <c r="A46" s="8" t="s">
        <v>53</v>
      </c>
      <c r="B46" s="8" t="s">
        <v>71</v>
      </c>
      <c r="C46" s="8" t="n">
        <f aca="false">COUNTIF('Control Register'!$O$2:$O$387,"*SC05*")</f>
        <v>3</v>
      </c>
      <c r="D46" s="10" t="str">
        <f aca="false">IF(C46&gt;0,"Yes","GAP")</f>
        <v>Yes</v>
      </c>
    </row>
    <row r="47" customFormat="false" ht="15" hidden="false" customHeight="false" outlineLevel="0" collapsed="false">
      <c r="A47" s="8" t="s">
        <v>53</v>
      </c>
      <c r="B47" s="8" t="s">
        <v>72</v>
      </c>
      <c r="C47" s="8" t="n">
        <f aca="false">COUNTIF('Control Register'!$O$2:$O$387,"*SC06*")</f>
        <v>1</v>
      </c>
      <c r="D47" s="10" t="str">
        <f aca="false">IF(C47&gt;0,"Yes","GAP")</f>
        <v>Yes</v>
      </c>
    </row>
    <row r="48" customFormat="false" ht="15" hidden="false" customHeight="false" outlineLevel="0" collapsed="false">
      <c r="A48" s="8" t="s">
        <v>53</v>
      </c>
      <c r="B48" s="8" t="s">
        <v>73</v>
      </c>
      <c r="C48" s="8" t="n">
        <f aca="false">COUNTIF('Control Register'!$O$2:$O$387,"*SC07*")</f>
        <v>5</v>
      </c>
      <c r="D48" s="10" t="str">
        <f aca="false">IF(C48&gt;0,"Yes","GAP")</f>
        <v>Yes</v>
      </c>
    </row>
    <row r="49" customFormat="false" ht="15" hidden="false" customHeight="false" outlineLevel="0" collapsed="false">
      <c r="A49" s="8" t="s">
        <v>53</v>
      </c>
      <c r="B49" s="8" t="s">
        <v>74</v>
      </c>
      <c r="C49" s="8" t="n">
        <f aca="false">COUNTIF('Control Register'!$O$2:$O$387,"*SC08*")</f>
        <v>4</v>
      </c>
      <c r="D49" s="10" t="str">
        <f aca="false">IF(C49&gt;0,"Yes","GAP")</f>
        <v>Yes</v>
      </c>
    </row>
    <row r="50" customFormat="false" ht="15" hidden="false" customHeight="false" outlineLevel="0" collapsed="false">
      <c r="A50" s="8" t="s">
        <v>53</v>
      </c>
      <c r="B50" s="8" t="s">
        <v>75</v>
      </c>
      <c r="C50" s="8" t="n">
        <f aca="false">COUNTIF('Control Register'!$O$2:$O$387,"*SC09*")</f>
        <v>5</v>
      </c>
      <c r="D50" s="10" t="str">
        <f aca="false">IF(C50&gt;0,"Yes","GAP")</f>
        <v>Yes</v>
      </c>
    </row>
    <row r="51" customFormat="false" ht="15" hidden="false" customHeight="false" outlineLevel="0" collapsed="false">
      <c r="A51" s="8" t="s">
        <v>53</v>
      </c>
      <c r="B51" s="8" t="s">
        <v>76</v>
      </c>
      <c r="C51" s="8" t="n">
        <f aca="false">COUNTIF('Control Register'!$O$2:$O$387,"*SC10*")</f>
        <v>21</v>
      </c>
      <c r="D51" s="10" t="str">
        <f aca="false">IF(C51&gt;0,"Yes","GAP")</f>
        <v>Yes</v>
      </c>
    </row>
    <row r="52" customFormat="false" ht="15" hidden="false" customHeight="false" outlineLevel="0" collapsed="false">
      <c r="A52" s="8" t="s">
        <v>55</v>
      </c>
      <c r="B52" s="8" t="s">
        <v>77</v>
      </c>
      <c r="C52" s="8" t="n">
        <f aca="false">COUNTIF('Control Register'!$P$2:$P$387,"*WA01*")</f>
        <v>17</v>
      </c>
      <c r="D52" s="10" t="str">
        <f aca="false">IF(C52&gt;0,"Yes","GAP")</f>
        <v>Yes</v>
      </c>
    </row>
    <row r="53" customFormat="false" ht="15" hidden="false" customHeight="false" outlineLevel="0" collapsed="false">
      <c r="A53" s="8" t="s">
        <v>55</v>
      </c>
      <c r="B53" s="8" t="s">
        <v>78</v>
      </c>
      <c r="C53" s="8" t="n">
        <f aca="false">COUNTIF('Control Register'!$P$2:$P$387,"*WA02*")</f>
        <v>11</v>
      </c>
      <c r="D53" s="10" t="str">
        <f aca="false">IF(C53&gt;0,"Yes","GAP")</f>
        <v>Yes</v>
      </c>
    </row>
    <row r="54" customFormat="false" ht="15" hidden="false" customHeight="false" outlineLevel="0" collapsed="false">
      <c r="A54" s="8" t="s">
        <v>55</v>
      </c>
      <c r="B54" s="8" t="s">
        <v>79</v>
      </c>
      <c r="C54" s="8" t="n">
        <f aca="false">COUNTIF('Control Register'!$P$2:$P$387,"*WA03*")</f>
        <v>55</v>
      </c>
      <c r="D54" s="10" t="str">
        <f aca="false">IF(C54&gt;0,"Yes","GAP")</f>
        <v>Yes</v>
      </c>
    </row>
    <row r="55" customFormat="false" ht="15" hidden="false" customHeight="false" outlineLevel="0" collapsed="false">
      <c r="A55" s="8" t="s">
        <v>55</v>
      </c>
      <c r="B55" s="8" t="s">
        <v>80</v>
      </c>
      <c r="C55" s="8" t="n">
        <f aca="false">COUNTIF('Control Register'!$P$2:$P$387,"*WA04*")</f>
        <v>2</v>
      </c>
      <c r="D55" s="10" t="str">
        <f aca="false">IF(C55&gt;0,"Yes","GAP")</f>
        <v>Yes</v>
      </c>
    </row>
    <row r="56" customFormat="false" ht="15" hidden="false" customHeight="false" outlineLevel="0" collapsed="false">
      <c r="A56" s="8" t="s">
        <v>55</v>
      </c>
      <c r="B56" s="8" t="s">
        <v>81</v>
      </c>
      <c r="C56" s="8" t="n">
        <f aca="false">COUNTIF('Control Register'!$P$2:$P$387,"*WA05*")</f>
        <v>2</v>
      </c>
      <c r="D56" s="10" t="str">
        <f aca="false">IF(C56&gt;0,"Yes","GAP")</f>
        <v>Yes</v>
      </c>
    </row>
    <row r="57" customFormat="false" ht="15" hidden="false" customHeight="false" outlineLevel="0" collapsed="false">
      <c r="A57" s="8" t="s">
        <v>55</v>
      </c>
      <c r="B57" s="8" t="s">
        <v>82</v>
      </c>
      <c r="C57" s="8" t="n">
        <f aca="false">COUNTIF('Control Register'!$P$2:$P$387,"*WA06*")</f>
        <v>5</v>
      </c>
      <c r="D57" s="10" t="str">
        <f aca="false">IF(C57&gt;0,"Yes","GAP")</f>
        <v>Yes</v>
      </c>
    </row>
    <row r="58" customFormat="false" ht="15" hidden="false" customHeight="false" outlineLevel="0" collapsed="false">
      <c r="A58" s="8" t="s">
        <v>55</v>
      </c>
      <c r="B58" s="8" t="s">
        <v>83</v>
      </c>
      <c r="C58" s="8" t="n">
        <f aca="false">COUNTIF('Control Register'!$P$2:$P$387,"*WA07*")</f>
        <v>8</v>
      </c>
      <c r="D58" s="10" t="str">
        <f aca="false">IF(C58&gt;0,"Yes","GAP")</f>
        <v>Yes</v>
      </c>
    </row>
    <row r="59" customFormat="false" ht="15" hidden="false" customHeight="false" outlineLevel="0" collapsed="false">
      <c r="A59" s="8" t="s">
        <v>55</v>
      </c>
      <c r="B59" s="8" t="s">
        <v>84</v>
      </c>
      <c r="C59" s="8" t="n">
        <f aca="false">COUNTIF('Control Register'!$P$2:$P$387,"*WA08*")</f>
        <v>5</v>
      </c>
      <c r="D59" s="10" t="str">
        <f aca="false">IF(C59&gt;0,"Yes","GAP")</f>
        <v>Yes</v>
      </c>
    </row>
    <row r="60" customFormat="false" ht="15" hidden="false" customHeight="false" outlineLevel="0" collapsed="false">
      <c r="A60" s="8" t="s">
        <v>55</v>
      </c>
      <c r="B60" s="8" t="s">
        <v>85</v>
      </c>
      <c r="C60" s="8" t="n">
        <f aca="false">COUNTIF('Control Register'!$P$2:$P$387,"*WA09*")</f>
        <v>1</v>
      </c>
      <c r="D60" s="10" t="str">
        <f aca="false">IF(C60&gt;0,"Yes","GAP")</f>
        <v>Yes</v>
      </c>
    </row>
    <row r="61" customFormat="false" ht="15" hidden="false" customHeight="false" outlineLevel="0" collapsed="false">
      <c r="A61" s="8" t="s">
        <v>55</v>
      </c>
      <c r="B61" s="8" t="s">
        <v>86</v>
      </c>
      <c r="C61" s="8" t="n">
        <f aca="false">COUNTIF('Control Register'!$P$2:$P$387,"*WA10*")</f>
        <v>13</v>
      </c>
      <c r="D61" s="10" t="str">
        <f aca="false">IF(C61&gt;0,"Yes","GAP")</f>
        <v>Yes</v>
      </c>
    </row>
    <row r="62" customFormat="false" ht="15" hidden="false" customHeight="false" outlineLevel="0" collapsed="false">
      <c r="A62" s="8" t="s">
        <v>55</v>
      </c>
      <c r="B62" s="8" t="s">
        <v>87</v>
      </c>
      <c r="C62" s="8" t="n">
        <f aca="false">COUNTIF('Control Register'!$P$2:$P$387,"*WA11*")</f>
        <v>3</v>
      </c>
      <c r="D62" s="10" t="str">
        <f aca="false">IF(C62&gt;0,"Yes","GAP")</f>
        <v>Yes</v>
      </c>
    </row>
    <row r="63" customFormat="false" ht="15" hidden="false" customHeight="false" outlineLevel="0" collapsed="false">
      <c r="A63" s="8" t="s">
        <v>55</v>
      </c>
      <c r="B63" s="8" t="s">
        <v>88</v>
      </c>
      <c r="C63" s="8" t="n">
        <f aca="false">COUNTIF('Control Register'!$P$2:$P$387,"*WA12*")</f>
        <v>13</v>
      </c>
      <c r="D63" s="10" t="str">
        <f aca="false">IF(C63&gt;0,"Yes","GAP")</f>
        <v>Yes</v>
      </c>
    </row>
    <row r="64" customFormat="false" ht="15" hidden="false" customHeight="false" outlineLevel="0" collapsed="false">
      <c r="A64" s="8" t="s">
        <v>55</v>
      </c>
      <c r="B64" s="8" t="s">
        <v>89</v>
      </c>
      <c r="C64" s="8" t="n">
        <f aca="false">COUNTIF('Control Register'!$P$2:$P$387,"*WA13*")</f>
        <v>3</v>
      </c>
      <c r="D64" s="10" t="str">
        <f aca="false">IF(C64&gt;0,"Yes","GAP")</f>
        <v>Yes</v>
      </c>
    </row>
    <row r="65" customFormat="false" ht="15" hidden="false" customHeight="false" outlineLevel="0" collapsed="false">
      <c r="A65" s="8" t="s">
        <v>55</v>
      </c>
      <c r="B65" s="8" t="s">
        <v>90</v>
      </c>
      <c r="C65" s="8" t="n">
        <f aca="false">COUNTIF('Control Register'!$P$2:$P$387,"*WA14*")</f>
        <v>5</v>
      </c>
      <c r="D65" s="10" t="str">
        <f aca="false">IF(C65&gt;0,"Yes","GAP")</f>
        <v>Yes</v>
      </c>
    </row>
    <row r="66" customFormat="false" ht="15" hidden="false" customHeight="false" outlineLevel="0" collapsed="false">
      <c r="A66" s="8" t="s">
        <v>55</v>
      </c>
      <c r="B66" s="8" t="s">
        <v>91</v>
      </c>
      <c r="C66" s="8" t="n">
        <f aca="false">COUNTIF('Control Register'!$P$2:$P$387,"*WA15*")</f>
        <v>2</v>
      </c>
      <c r="D66" s="10" t="str">
        <f aca="false">IF(C66&gt;0,"Yes","GAP")</f>
        <v>Yes</v>
      </c>
    </row>
    <row r="67" customFormat="false" ht="15" hidden="false" customHeight="false" outlineLevel="0" collapsed="false">
      <c r="A67" s="8" t="s">
        <v>54</v>
      </c>
      <c r="B67" s="8" t="s">
        <v>92</v>
      </c>
      <c r="C67" s="8" t="n">
        <f aca="false">COUNTIF('Control Register'!$N$2:$N$387,"*SCSVS-ARCH*")</f>
        <v>25</v>
      </c>
      <c r="D67" s="10" t="str">
        <f aca="false">IF(C67&gt;0,"Yes","GAP")</f>
        <v>Yes</v>
      </c>
    </row>
    <row r="68" customFormat="false" ht="15" hidden="false" customHeight="false" outlineLevel="0" collapsed="false">
      <c r="A68" s="8" t="s">
        <v>54</v>
      </c>
      <c r="B68" s="8" t="s">
        <v>93</v>
      </c>
      <c r="C68" s="8" t="n">
        <f aca="false">COUNTIF('Control Register'!$N$2:$N$387,"*SCSVS-CODE*")</f>
        <v>38</v>
      </c>
      <c r="D68" s="10" t="str">
        <f aca="false">IF(C68&gt;0,"Yes","GAP")</f>
        <v>Yes</v>
      </c>
    </row>
    <row r="69" customFormat="false" ht="15" hidden="false" customHeight="false" outlineLevel="0" collapsed="false">
      <c r="A69" s="8" t="s">
        <v>54</v>
      </c>
      <c r="B69" s="8" t="s">
        <v>94</v>
      </c>
      <c r="C69" s="8" t="n">
        <f aca="false">COUNTIF('Control Register'!$N$2:$N$387,"*SCSVS-GOV*")</f>
        <v>7</v>
      </c>
      <c r="D69" s="10" t="str">
        <f aca="false">IF(C69&gt;0,"Yes","GAP")</f>
        <v>Yes</v>
      </c>
    </row>
    <row r="70" customFormat="false" ht="15" hidden="false" customHeight="false" outlineLevel="0" collapsed="false">
      <c r="A70" s="8" t="s">
        <v>54</v>
      </c>
      <c r="B70" s="8" t="s">
        <v>95</v>
      </c>
      <c r="C70" s="8" t="n">
        <f aca="false">COUNTIF('Control Register'!$N$2:$N$387,"*SCSVS-AUTH*")</f>
        <v>15</v>
      </c>
      <c r="D70" s="10" t="str">
        <f aca="false">IF(C70&gt;0,"Yes","GAP")</f>
        <v>Yes</v>
      </c>
    </row>
    <row r="71" customFormat="false" ht="15" hidden="false" customHeight="false" outlineLevel="0" collapsed="false">
      <c r="A71" s="8" t="s">
        <v>54</v>
      </c>
      <c r="B71" s="8" t="s">
        <v>96</v>
      </c>
      <c r="C71" s="8" t="n">
        <f aca="false">COUNTIF('Control Register'!$N$2:$N$387,"*SCSVS-COMM*")</f>
        <v>11</v>
      </c>
      <c r="D71" s="10" t="str">
        <f aca="false">IF(C71&gt;0,"Yes","GAP")</f>
        <v>Yes</v>
      </c>
    </row>
    <row r="72" customFormat="false" ht="15" hidden="false" customHeight="false" outlineLevel="0" collapsed="false">
      <c r="A72" s="8" t="s">
        <v>54</v>
      </c>
      <c r="B72" s="8" t="s">
        <v>97</v>
      </c>
      <c r="C72" s="8" t="n">
        <f aca="false">COUNTIF('Control Register'!$N$2:$N$387,"*SCSVS-CRYPTO*")</f>
        <v>7</v>
      </c>
      <c r="D72" s="10" t="str">
        <f aca="false">IF(C72&gt;0,"Yes","GAP")</f>
        <v>Yes</v>
      </c>
    </row>
    <row r="73" customFormat="false" ht="15" hidden="false" customHeight="false" outlineLevel="0" collapsed="false">
      <c r="A73" s="8" t="s">
        <v>54</v>
      </c>
      <c r="B73" s="8" t="s">
        <v>98</v>
      </c>
      <c r="C73" s="8" t="n">
        <f aca="false">COUNTIF('Control Register'!$N$2:$N$387,"*SCSVS-ORACLE*")</f>
        <v>6</v>
      </c>
      <c r="D73" s="10" t="str">
        <f aca="false">IF(C73&gt;0,"Yes","GAP")</f>
        <v>Yes</v>
      </c>
    </row>
    <row r="74" customFormat="false" ht="15" hidden="false" customHeight="false" outlineLevel="0" collapsed="false">
      <c r="A74" s="8" t="s">
        <v>54</v>
      </c>
      <c r="B74" s="8" t="s">
        <v>99</v>
      </c>
      <c r="C74" s="8" t="n">
        <f aca="false">COUNTIF('Control Register'!$N$2:$N$387,"*SCSVS-BLOCK*")</f>
        <v>1</v>
      </c>
      <c r="D74" s="10" t="str">
        <f aca="false">IF(C74&gt;0,"Yes","GAP")</f>
        <v>Yes</v>
      </c>
    </row>
    <row r="75" customFormat="false" ht="15" hidden="false" customHeight="false" outlineLevel="0" collapsed="false">
      <c r="A75" s="8" t="s">
        <v>54</v>
      </c>
      <c r="B75" s="8" t="s">
        <v>100</v>
      </c>
      <c r="C75" s="8" t="n">
        <f aca="false">COUNTIF('Control Register'!$N$2:$N$387,"*SCSVS-BRIDGE*")</f>
        <v>1</v>
      </c>
      <c r="D75" s="10" t="str">
        <f aca="false">IF(C75&gt;0,"Yes","GAP")</f>
        <v>Yes</v>
      </c>
    </row>
    <row r="76" customFormat="false" ht="15" hidden="false" customHeight="false" outlineLevel="0" collapsed="false">
      <c r="A76" s="8" t="s">
        <v>54</v>
      </c>
      <c r="B76" s="8" t="s">
        <v>101</v>
      </c>
      <c r="C76" s="8" t="n">
        <f aca="false">COUNTIF('Control Register'!$N$2:$N$387,"*SCSVS-DEFI*")</f>
        <v>2</v>
      </c>
      <c r="D76" s="10" t="str">
        <f aca="false">IF(C76&gt;0,"Yes","GAP")</f>
        <v>Yes</v>
      </c>
    </row>
    <row r="77" customFormat="false" ht="15" hidden="false" customHeight="false" outlineLevel="0" collapsed="false">
      <c r="A77" s="8" t="s">
        <v>54</v>
      </c>
      <c r="B77" s="8" t="s">
        <v>102</v>
      </c>
      <c r="C77" s="8" t="n">
        <f aca="false">COUNTIF('Control Register'!$N$2:$N$387,"*SCSVS-COMP*")</f>
        <v>13</v>
      </c>
      <c r="D77" s="10" t="str">
        <f aca="false">IF(C77&gt;0,"Yes","GAP")</f>
        <v>Yes</v>
      </c>
    </row>
    <row r="78" customFormat="false" ht="15" hidden="false" customHeight="false" outlineLevel="0" collapsed="false">
      <c r="A78" s="8" t="s">
        <v>56</v>
      </c>
      <c r="B78" s="8" t="s">
        <v>103</v>
      </c>
      <c r="C78" s="8" t="n">
        <f aca="false">COUNTIF('Control Register'!$R$2:$R$387,"*AI Security*")</f>
        <v>2</v>
      </c>
      <c r="D78" s="10" t="str">
        <f aca="false">IF(C78&gt;0,"Yes","GAP")</f>
        <v>Yes</v>
      </c>
    </row>
    <row r="79" customFormat="false" ht="15" hidden="false" customHeight="false" outlineLevel="0" collapsed="false">
      <c r="A79" s="8" t="s">
        <v>56</v>
      </c>
      <c r="B79" s="8" t="s">
        <v>104</v>
      </c>
      <c r="C79" s="8" t="n">
        <f aca="false">COUNTIF('Control Register'!$R$2:$R$387,"*Awareness*")</f>
        <v>5</v>
      </c>
      <c r="D79" s="10" t="str">
        <f aca="false">IF(C79&gt;0,"Yes","GAP")</f>
        <v>Yes</v>
      </c>
    </row>
    <row r="80" customFormat="false" ht="15" hidden="false" customHeight="false" outlineLevel="0" collapsed="false">
      <c r="A80" s="8" t="s">
        <v>56</v>
      </c>
      <c r="B80" s="8" t="s">
        <v>105</v>
      </c>
      <c r="C80" s="8" t="n">
        <f aca="false">COUNTIF('Control Register'!$R$2:$R$387,"*Community Management*")</f>
        <v>2</v>
      </c>
      <c r="D80" s="10" t="str">
        <f aca="false">IF(C80&gt;0,"Yes","GAP")</f>
        <v>Yes</v>
      </c>
    </row>
    <row r="81" customFormat="false" ht="15" hidden="false" customHeight="false" outlineLevel="0" collapsed="false">
      <c r="A81" s="8" t="s">
        <v>56</v>
      </c>
      <c r="B81" s="8" t="s">
        <v>106</v>
      </c>
      <c r="C81" s="8" t="n">
        <f aca="false">COUNTIF('Control Register'!$R$2:$R$387,"*DevSecOps*")</f>
        <v>25</v>
      </c>
      <c r="D81" s="10" t="str">
        <f aca="false">IF(C81&gt;0,"Yes","GAP")</f>
        <v>Yes</v>
      </c>
    </row>
    <row r="82" customFormat="false" ht="15" hidden="false" customHeight="false" outlineLevel="0" collapsed="false">
      <c r="A82" s="8" t="s">
        <v>56</v>
      </c>
      <c r="B82" s="8" t="s">
        <v>107</v>
      </c>
      <c r="C82" s="8" t="n">
        <f aca="false">COUNTIF('Control Register'!$R$2:$R$387,"*Insider Threats (DPRK IT Workers)*")</f>
        <v>2</v>
      </c>
      <c r="D82" s="10" t="str">
        <f aca="false">IF(C82&gt;0,"Yes","GAP")</f>
        <v>Yes</v>
      </c>
    </row>
    <row r="83" customFormat="false" ht="15" hidden="false" customHeight="false" outlineLevel="0" collapsed="false">
      <c r="A83" s="8" t="s">
        <v>56</v>
      </c>
      <c r="B83" s="8" t="s">
        <v>108</v>
      </c>
      <c r="C83" s="8" t="n">
        <f aca="false">COUNTIF('Control Register'!$R$2:$R$387,"*ENS*")</f>
        <v>1</v>
      </c>
      <c r="D83" s="10" t="str">
        <f aca="false">IF(C83&gt;0,"Yes","GAP")</f>
        <v>Yes</v>
      </c>
    </row>
    <row r="84" customFormat="false" ht="15" hidden="false" customHeight="false" outlineLevel="0" collapsed="false">
      <c r="A84" s="8" t="s">
        <v>56</v>
      </c>
      <c r="B84" s="8" t="s">
        <v>109</v>
      </c>
      <c r="C84" s="8" t="n">
        <f aca="false">COUNTIF('Control Register'!$R$2:$R$387,"*External Security Reviews*")</f>
        <v>10</v>
      </c>
      <c r="D84" s="10" t="str">
        <f aca="false">IF(C84&gt;0,"Yes","GAP")</f>
        <v>Yes</v>
      </c>
    </row>
    <row r="85" customFormat="false" ht="15" hidden="false" customHeight="false" outlineLevel="0" collapsed="false">
      <c r="A85" s="8" t="s">
        <v>56</v>
      </c>
      <c r="B85" s="8" t="s">
        <v>110</v>
      </c>
      <c r="C85" s="8" t="n">
        <f aca="false">COUNTIF('Control Register'!$R$2:$R$387,"*Incident Management*")</f>
        <v>32</v>
      </c>
      <c r="D85" s="10" t="str">
        <f aca="false">IF(C85&gt;0,"Yes","GAP")</f>
        <v>Yes</v>
      </c>
    </row>
    <row r="86" customFormat="false" ht="15" hidden="false" customHeight="false" outlineLevel="0" collapsed="false">
      <c r="A86" s="8" t="s">
        <v>56</v>
      </c>
      <c r="B86" s="8" t="s">
        <v>111</v>
      </c>
      <c r="C86" s="8" t="n">
        <f aca="false">COUNTIF('Control Register'!$R$2:$R$387,"*Infrastructure*")</f>
        <v>26</v>
      </c>
      <c r="D86" s="10" t="str">
        <f aca="false">IF(C86&gt;0,"Yes","GAP")</f>
        <v>Yes</v>
      </c>
    </row>
    <row r="87" customFormat="false" ht="15" hidden="false" customHeight="false" outlineLevel="0" collapsed="false">
      <c r="A87" s="8" t="s">
        <v>56</v>
      </c>
      <c r="B87" s="8" t="s">
        <v>112</v>
      </c>
      <c r="C87" s="8" t="n">
        <f aca="false">COUNTIF('Control Register'!$R$2:$R$387,"*Monitoring*")</f>
        <v>34</v>
      </c>
      <c r="D87" s="10" t="str">
        <f aca="false">IF(C87&gt;0,"Yes","GAP")</f>
        <v>Yes</v>
      </c>
    </row>
    <row r="88" customFormat="false" ht="15" hidden="false" customHeight="false" outlineLevel="0" collapsed="false">
      <c r="A88" s="8" t="s">
        <v>56</v>
      </c>
      <c r="B88" s="8" t="s">
        <v>113</v>
      </c>
      <c r="C88" s="8" t="n">
        <f aca="false">COUNTIF('Control Register'!$R$2:$R$387,"*Multisig for Protocols*")</f>
        <v>25</v>
      </c>
      <c r="D88" s="10" t="str">
        <f aca="false">IF(C88&gt;0,"Yes","GAP")</f>
        <v>Yes</v>
      </c>
    </row>
    <row r="89" customFormat="false" ht="15" hidden="false" customHeight="false" outlineLevel="0" collapsed="false">
      <c r="A89" s="8" t="s">
        <v>56</v>
      </c>
      <c r="B89" s="8" t="s">
        <v>114</v>
      </c>
      <c r="C89" s="8" t="n">
        <f aca="false">COUNTIF('Control Register'!$R$2:$R$387,"*OpSec*")</f>
        <v>23</v>
      </c>
      <c r="D89" s="10" t="str">
        <f aca="false">IF(C89&gt;0,"Yes","GAP")</f>
        <v>Yes</v>
      </c>
    </row>
    <row r="90" customFormat="false" ht="15" hidden="false" customHeight="false" outlineLevel="0" collapsed="false">
      <c r="A90" s="8" t="s">
        <v>56</v>
      </c>
      <c r="B90" s="8" t="s">
        <v>115</v>
      </c>
      <c r="C90" s="8" t="n">
        <f aca="false">COUNTIF('Control Register'!$R$2:$R$387,"*Physical Security*")</f>
        <v>3</v>
      </c>
      <c r="D90" s="10" t="str">
        <f aca="false">IF(C90&gt;0,"Yes","GAP")</f>
        <v>Yes</v>
      </c>
    </row>
    <row r="91" customFormat="false" ht="15" hidden="false" customHeight="false" outlineLevel="0" collapsed="false">
      <c r="A91" s="8" t="s">
        <v>56</v>
      </c>
      <c r="B91" s="8" t="s">
        <v>116</v>
      </c>
      <c r="C91" s="8" t="n">
        <f aca="false">COUNTIF('Control Register'!$R$2:$R$387,"*Privacy*")</f>
        <v>8</v>
      </c>
      <c r="D91" s="10" t="str">
        <f aca="false">IF(C91&gt;0,"Yes","GAP")</f>
        <v>Yes</v>
      </c>
    </row>
    <row r="92" customFormat="false" ht="15" hidden="false" customHeight="false" outlineLevel="0" collapsed="false">
      <c r="A92" s="8" t="s">
        <v>56</v>
      </c>
      <c r="B92" s="8" t="s">
        <v>117</v>
      </c>
      <c r="C92" s="8" t="n">
        <f aca="false">COUNTIF('Control Register'!$R$2:$R$387,"*Safe Harbor*")</f>
        <v>6</v>
      </c>
      <c r="D92" s="10" t="str">
        <f aca="false">IF(C92&gt;0,"Yes","GAP")</f>
        <v>Yes</v>
      </c>
    </row>
    <row r="93" customFormat="false" ht="15" hidden="false" customHeight="false" outlineLevel="0" collapsed="false">
      <c r="A93" s="8" t="s">
        <v>56</v>
      </c>
      <c r="B93" s="8" t="s">
        <v>118</v>
      </c>
      <c r="C93" s="8" t="n">
        <f aca="false">COUNTIF('Control Register'!$R$2:$R$387,"*Security Testing*")</f>
        <v>21</v>
      </c>
      <c r="D93" s="10" t="str">
        <f aca="false">IF(C93&gt;0,"Yes","GAP")</f>
        <v>Yes</v>
      </c>
    </row>
    <row r="94" customFormat="false" ht="15" hidden="false" customHeight="false" outlineLevel="0" collapsed="false">
      <c r="A94" s="8" t="s">
        <v>56</v>
      </c>
      <c r="B94" s="8" t="s">
        <v>119</v>
      </c>
      <c r="C94" s="8" t="n">
        <f aca="false">COUNTIF('Control Register'!$R$2:$R$387,"*Supply Chain*")</f>
        <v>14</v>
      </c>
      <c r="D94" s="10" t="str">
        <f aca="false">IF(C94&gt;0,"Yes","GAP")</f>
        <v>Yes</v>
      </c>
    </row>
    <row r="95" customFormat="false" ht="15" hidden="false" customHeight="false" outlineLevel="0" collapsed="false">
      <c r="A95" s="8" t="s">
        <v>56</v>
      </c>
      <c r="B95" s="8" t="s">
        <v>120</v>
      </c>
      <c r="C95" s="8" t="n">
        <f aca="false">COUNTIF('Control Register'!$R$2:$R$387,"*Treasury Operations*")</f>
        <v>11</v>
      </c>
      <c r="D95" s="10" t="str">
        <f aca="false">IF(C95&gt;0,"Yes","GAP")</f>
        <v>Yes</v>
      </c>
    </row>
    <row r="96" customFormat="false" ht="15" hidden="false" customHeight="false" outlineLevel="0" collapsed="false">
      <c r="A96" s="8" t="s">
        <v>56</v>
      </c>
      <c r="B96" s="8" t="s">
        <v>121</v>
      </c>
      <c r="C96" s="8" t="n">
        <f aca="false">COUNTIF('Control Register'!$R$2:$R$387,"*Wallet Security*")</f>
        <v>73</v>
      </c>
      <c r="D96" s="10" t="str">
        <f aca="false">IF(C96&gt;0,"Yes","GAP")</f>
        <v>Yes</v>
      </c>
    </row>
    <row r="97" customFormat="false" ht="15" hidden="false" customHeight="false" outlineLevel="0" collapsed="false">
      <c r="A97" s="8" t="s">
        <v>56</v>
      </c>
      <c r="B97" s="8" t="s">
        <v>122</v>
      </c>
      <c r="C97" s="8" t="n">
        <f aca="false">COUNTIF('Control Register'!$R$2:$R$387,"*SEAL Certifications*")</f>
        <v>1</v>
      </c>
      <c r="D97" s="10" t="str">
        <f aca="false">IF(C97&gt;0,"Yes","GAP")</f>
        <v>Yes</v>
      </c>
    </row>
    <row r="98" customFormat="false" ht="15" hidden="false" customHeight="false" outlineLevel="0" collapsed="false">
      <c r="A98" s="8" t="s">
        <v>57</v>
      </c>
      <c r="B98" s="8" t="s">
        <v>123</v>
      </c>
      <c r="C98" s="8" t="n">
        <f aca="false">COUNTIF('Control Register'!$S$2:$S$387,"*1.01 Key Material Generation*")</f>
        <v>9</v>
      </c>
      <c r="D98" s="10" t="str">
        <f aca="false">IF(C98&gt;0,"Yes","GAP")</f>
        <v>Yes</v>
      </c>
    </row>
    <row r="99" customFormat="false" ht="15" hidden="false" customHeight="false" outlineLevel="0" collapsed="false">
      <c r="A99" s="8" t="s">
        <v>57</v>
      </c>
      <c r="B99" s="8" t="s">
        <v>124</v>
      </c>
      <c r="C99" s="8" t="n">
        <f aca="false">COUNTIF('Control Register'!$S$2:$S$387,"*1.02 Wallet Creation*")</f>
        <v>6</v>
      </c>
      <c r="D99" s="10" t="str">
        <f aca="false">IF(C99&gt;0,"Yes","GAP")</f>
        <v>Yes</v>
      </c>
    </row>
    <row r="100" customFormat="false" ht="15" hidden="false" customHeight="false" outlineLevel="0" collapsed="false">
      <c r="A100" s="8" t="s">
        <v>57</v>
      </c>
      <c r="B100" s="8" t="s">
        <v>125</v>
      </c>
      <c r="C100" s="8" t="n">
        <f aca="false">COUNTIF('Control Register'!$S$2:$S$387,"*1.03 Key Storage*")</f>
        <v>24</v>
      </c>
      <c r="D100" s="10" t="str">
        <f aca="false">IF(C100&gt;0,"Yes","GAP")</f>
        <v>Yes</v>
      </c>
    </row>
    <row r="101" customFormat="false" ht="15" hidden="false" customHeight="false" outlineLevel="0" collapsed="false">
      <c r="A101" s="8" t="s">
        <v>57</v>
      </c>
      <c r="B101" s="8" t="s">
        <v>126</v>
      </c>
      <c r="C101" s="8" t="n">
        <f aca="false">COUNTIF('Control Register'!$S$2:$S$387,"*1.04 Key Material Access*")</f>
        <v>16</v>
      </c>
      <c r="D101" s="10" t="str">
        <f aca="false">IF(C101&gt;0,"Yes","GAP")</f>
        <v>Yes</v>
      </c>
    </row>
    <row r="102" customFormat="false" ht="15" hidden="false" customHeight="false" outlineLevel="0" collapsed="false">
      <c r="A102" s="8" t="s">
        <v>57</v>
      </c>
      <c r="B102" s="8" t="s">
        <v>127</v>
      </c>
      <c r="C102" s="8" t="n">
        <f aca="false">COUNTIF('Control Register'!$S$2:$S$387,"*1.05 Key Usage*")</f>
        <v>19</v>
      </c>
      <c r="D102" s="10" t="str">
        <f aca="false">IF(C102&gt;0,"Yes","GAP")</f>
        <v>Yes</v>
      </c>
    </row>
    <row r="103" customFormat="false" ht="15" hidden="false" customHeight="false" outlineLevel="0" collapsed="false">
      <c r="A103" s="8" t="s">
        <v>57</v>
      </c>
      <c r="B103" s="8" t="s">
        <v>128</v>
      </c>
      <c r="C103" s="8" t="n">
        <f aca="false">COUNTIF('Control Register'!$S$2:$S$387,"*1.06 Key Compromise Protocol*")</f>
        <v>12</v>
      </c>
      <c r="D103" s="10" t="str">
        <f aca="false">IF(C103&gt;0,"Yes","GAP")</f>
        <v>Yes</v>
      </c>
    </row>
    <row r="104" customFormat="false" ht="15" hidden="false" customHeight="false" outlineLevel="0" collapsed="false">
      <c r="A104" s="8" t="s">
        <v>57</v>
      </c>
      <c r="B104" s="8" t="s">
        <v>129</v>
      </c>
      <c r="C104" s="8" t="n">
        <f aca="false">COUNTIF('Control Register'!$S$2:$S$387,"*2.01 Security Audits*")</f>
        <v>6</v>
      </c>
      <c r="D104" s="10" t="str">
        <f aca="false">IF(C104&gt;0,"Yes","GAP")</f>
        <v>Yes</v>
      </c>
    </row>
    <row r="105" customFormat="false" ht="15" hidden="false" customHeight="false" outlineLevel="0" collapsed="false">
      <c r="A105" s="8" t="s">
        <v>57</v>
      </c>
      <c r="B105" s="8" t="s">
        <v>130</v>
      </c>
      <c r="C105" s="8" t="n">
        <f aca="false">COUNTIF('Control Register'!$S$2:$S$387,"*2.02 Data Sanitization*")</f>
        <v>7</v>
      </c>
      <c r="D105" s="10" t="str">
        <f aca="false">IF(C105&gt;0,"Yes","GAP")</f>
        <v>Yes</v>
      </c>
    </row>
    <row r="106" customFormat="false" ht="15" hidden="false" customHeight="false" outlineLevel="0" collapsed="false">
      <c r="A106" s="8" t="s">
        <v>57</v>
      </c>
      <c r="B106" s="8" t="s">
        <v>131</v>
      </c>
      <c r="C106" s="8" t="n">
        <f aca="false">COUNTIF('Control Register'!$S$2:$S$387,"*2.03 Proof of Reserve*")</f>
        <v>4</v>
      </c>
      <c r="D106" s="10" t="str">
        <f aca="false">IF(C106&gt;0,"Yes","GAP")</f>
        <v>Yes</v>
      </c>
    </row>
    <row r="107" customFormat="false" ht="15" hidden="false" customHeight="false" outlineLevel="0" collapsed="false">
      <c r="A107" s="8" t="s">
        <v>57</v>
      </c>
      <c r="B107" s="8" t="s">
        <v>132</v>
      </c>
      <c r="C107" s="8" t="n">
        <f aca="false">COUNTIF('Control Register'!$S$2:$S$387,"*2.04 Audit Logs*")</f>
        <v>14</v>
      </c>
      <c r="D107" s="10" t="str">
        <f aca="false">IF(C107&gt;0,"Yes","GAP")</f>
        <v>Yes</v>
      </c>
    </row>
    <row r="108" customFormat="false" ht="15" hidden="false" customHeight="false" outlineLevel="0" collapsed="false">
      <c r="A108" s="8" t="s">
        <v>58</v>
      </c>
      <c r="B108" s="8" t="s">
        <v>133</v>
      </c>
      <c r="C108" s="8" t="n">
        <f aca="false">COUNTIF('Control Register'!$T$2:$T$387,"*CIS 1.*")</f>
        <v>2</v>
      </c>
      <c r="D108" s="10" t="str">
        <f aca="false">IF(C108&gt;0,"Yes","GAP")</f>
        <v>Yes</v>
      </c>
    </row>
    <row r="109" customFormat="false" ht="15" hidden="false" customHeight="false" outlineLevel="0" collapsed="false">
      <c r="A109" s="8" t="s">
        <v>58</v>
      </c>
      <c r="B109" s="8" t="s">
        <v>134</v>
      </c>
      <c r="C109" s="8" t="n">
        <f aca="false">COUNTIF('Control Register'!$T$2:$T$387,"*CIS 2.*")</f>
        <v>10</v>
      </c>
      <c r="D109" s="10" t="str">
        <f aca="false">IF(C109&gt;0,"Yes","GAP")</f>
        <v>Yes</v>
      </c>
    </row>
    <row r="110" customFormat="false" ht="15" hidden="false" customHeight="false" outlineLevel="0" collapsed="false">
      <c r="A110" s="8" t="s">
        <v>58</v>
      </c>
      <c r="B110" s="8" t="s">
        <v>135</v>
      </c>
      <c r="C110" s="8" t="n">
        <f aca="false">COUNTIF('Control Register'!$T$2:$T$387,"*CIS 3.*")</f>
        <v>42</v>
      </c>
      <c r="D110" s="10" t="str">
        <f aca="false">IF(C110&gt;0,"Yes","GAP")</f>
        <v>Yes</v>
      </c>
    </row>
    <row r="111" customFormat="false" ht="15" hidden="false" customHeight="false" outlineLevel="0" collapsed="false">
      <c r="A111" s="8" t="s">
        <v>58</v>
      </c>
      <c r="B111" s="8" t="s">
        <v>136</v>
      </c>
      <c r="C111" s="8" t="n">
        <f aca="false">COUNTIF('Control Register'!$T$2:$T$387,"*CIS 4.*")</f>
        <v>12</v>
      </c>
      <c r="D111" s="10" t="str">
        <f aca="false">IF(C111&gt;0,"Yes","GAP")</f>
        <v>Yes</v>
      </c>
    </row>
    <row r="112" customFormat="false" ht="15" hidden="false" customHeight="false" outlineLevel="0" collapsed="false">
      <c r="A112" s="8" t="s">
        <v>58</v>
      </c>
      <c r="B112" s="8" t="s">
        <v>137</v>
      </c>
      <c r="C112" s="8" t="n">
        <f aca="false">COUNTIF('Control Register'!$T$2:$T$387,"*CIS 5.*")</f>
        <v>10</v>
      </c>
      <c r="D112" s="10" t="str">
        <f aca="false">IF(C112&gt;0,"Yes","GAP")</f>
        <v>Yes</v>
      </c>
    </row>
    <row r="113" customFormat="false" ht="15" hidden="false" customHeight="false" outlineLevel="0" collapsed="false">
      <c r="A113" s="8" t="s">
        <v>58</v>
      </c>
      <c r="B113" s="8" t="s">
        <v>138</v>
      </c>
      <c r="C113" s="8" t="n">
        <f aca="false">COUNTIF('Control Register'!$T$2:$T$387,"*CIS 6.*")</f>
        <v>32</v>
      </c>
      <c r="D113" s="10" t="str">
        <f aca="false">IF(C113&gt;0,"Yes","GAP")</f>
        <v>Yes</v>
      </c>
    </row>
    <row r="114" customFormat="false" ht="15" hidden="false" customHeight="false" outlineLevel="0" collapsed="false">
      <c r="A114" s="8" t="s">
        <v>58</v>
      </c>
      <c r="B114" s="8" t="s">
        <v>139</v>
      </c>
      <c r="C114" s="8" t="n">
        <f aca="false">COUNTIF('Control Register'!$T$2:$T$387,"*CIS 7.*")</f>
        <v>9</v>
      </c>
      <c r="D114" s="10" t="str">
        <f aca="false">IF(C114&gt;0,"Yes","GAP")</f>
        <v>Yes</v>
      </c>
    </row>
    <row r="115" customFormat="false" ht="15" hidden="false" customHeight="false" outlineLevel="0" collapsed="false">
      <c r="A115" s="8" t="s">
        <v>58</v>
      </c>
      <c r="B115" s="8" t="s">
        <v>140</v>
      </c>
      <c r="C115" s="8" t="n">
        <f aca="false">COUNTIF('Control Register'!$T$2:$T$387,"*CIS 8.*")</f>
        <v>11</v>
      </c>
      <c r="D115" s="10" t="str">
        <f aca="false">IF(C115&gt;0,"Yes","GAP")</f>
        <v>Yes</v>
      </c>
    </row>
    <row r="116" customFormat="false" ht="15" hidden="false" customHeight="false" outlineLevel="0" collapsed="false">
      <c r="A116" s="8" t="s">
        <v>58</v>
      </c>
      <c r="B116" s="8" t="s">
        <v>141</v>
      </c>
      <c r="C116" s="8" t="n">
        <f aca="false">COUNTIF('Control Register'!$T$2:$T$387,"*CIS 9.*")</f>
        <v>1</v>
      </c>
      <c r="D116" s="10" t="str">
        <f aca="false">IF(C116&gt;0,"Yes","GAP")</f>
        <v>Yes</v>
      </c>
    </row>
    <row r="117" customFormat="false" ht="15" hidden="false" customHeight="false" outlineLevel="0" collapsed="false">
      <c r="A117" s="8" t="s">
        <v>58</v>
      </c>
      <c r="B117" s="8" t="s">
        <v>142</v>
      </c>
      <c r="C117" s="8" t="n">
        <f aca="false">COUNTIF('Control Register'!$T$2:$T$387,"*CIS 10.*")</f>
        <v>3</v>
      </c>
      <c r="D117" s="10" t="str">
        <f aca="false">IF(C117&gt;0,"Yes","GAP")</f>
        <v>Yes</v>
      </c>
    </row>
    <row r="118" customFormat="false" ht="15" hidden="false" customHeight="false" outlineLevel="0" collapsed="false">
      <c r="A118" s="8" t="s">
        <v>58</v>
      </c>
      <c r="B118" s="8" t="s">
        <v>143</v>
      </c>
      <c r="C118" s="8" t="n">
        <f aca="false">COUNTIF('Control Register'!$T$2:$T$387,"*CIS 11.*")</f>
        <v>16</v>
      </c>
      <c r="D118" s="10" t="str">
        <f aca="false">IF(C118&gt;0,"Yes","GAP")</f>
        <v>Yes</v>
      </c>
    </row>
    <row r="119" customFormat="false" ht="15" hidden="false" customHeight="false" outlineLevel="0" collapsed="false">
      <c r="A119" s="8" t="s">
        <v>58</v>
      </c>
      <c r="B119" s="8" t="s">
        <v>144</v>
      </c>
      <c r="C119" s="8" t="n">
        <f aca="false">COUNTIF('Control Register'!$T$2:$T$387,"*CIS 12.*")</f>
        <v>8</v>
      </c>
      <c r="D119" s="10" t="str">
        <f aca="false">IF(C119&gt;0,"Yes","GAP")</f>
        <v>Yes</v>
      </c>
    </row>
    <row r="120" customFormat="false" ht="15" hidden="false" customHeight="false" outlineLevel="0" collapsed="false">
      <c r="A120" s="8" t="s">
        <v>58</v>
      </c>
      <c r="B120" s="8" t="s">
        <v>145</v>
      </c>
      <c r="C120" s="8" t="n">
        <f aca="false">COUNTIF('Control Register'!$T$2:$T$387,"*CIS 13.*")</f>
        <v>9</v>
      </c>
      <c r="D120" s="10" t="str">
        <f aca="false">IF(C120&gt;0,"Yes","GAP")</f>
        <v>Yes</v>
      </c>
    </row>
    <row r="121" customFormat="false" ht="15" hidden="false" customHeight="false" outlineLevel="0" collapsed="false">
      <c r="A121" s="8" t="s">
        <v>58</v>
      </c>
      <c r="B121" s="8" t="s">
        <v>146</v>
      </c>
      <c r="C121" s="8" t="n">
        <f aca="false">COUNTIF('Control Register'!$T$2:$T$387,"*CIS 14.*")</f>
        <v>1</v>
      </c>
      <c r="D121" s="10" t="str">
        <f aca="false">IF(C121&gt;0,"Yes","GAP")</f>
        <v>Yes</v>
      </c>
    </row>
    <row r="122" customFormat="false" ht="15" hidden="false" customHeight="false" outlineLevel="0" collapsed="false">
      <c r="A122" s="8" t="s">
        <v>58</v>
      </c>
      <c r="B122" s="8" t="s">
        <v>147</v>
      </c>
      <c r="C122" s="8" t="n">
        <f aca="false">COUNTIF('Control Register'!$T$2:$T$387,"*CIS 15.*")</f>
        <v>3</v>
      </c>
      <c r="D122" s="10" t="str">
        <f aca="false">IF(C122&gt;0,"Yes","GAP")</f>
        <v>Yes</v>
      </c>
    </row>
    <row r="123" customFormat="false" ht="15" hidden="false" customHeight="false" outlineLevel="0" collapsed="false">
      <c r="A123" s="8" t="s">
        <v>58</v>
      </c>
      <c r="B123" s="8" t="s">
        <v>148</v>
      </c>
      <c r="C123" s="8" t="n">
        <f aca="false">COUNTIF('Control Register'!$T$2:$T$387,"*CIS 16.*")</f>
        <v>65</v>
      </c>
      <c r="D123" s="10" t="str">
        <f aca="false">IF(C123&gt;0,"Yes","GAP")</f>
        <v>Yes</v>
      </c>
    </row>
    <row r="124" customFormat="false" ht="15" hidden="false" customHeight="false" outlineLevel="0" collapsed="false">
      <c r="A124" s="8" t="s">
        <v>58</v>
      </c>
      <c r="B124" s="8" t="s">
        <v>149</v>
      </c>
      <c r="C124" s="8" t="n">
        <f aca="false">COUNTIF('Control Register'!$T$2:$T$387,"*CIS 17.*")</f>
        <v>23</v>
      </c>
      <c r="D124" s="10" t="str">
        <f aca="false">IF(C124&gt;0,"Yes","GAP")</f>
        <v>Yes</v>
      </c>
    </row>
    <row r="125" customFormat="false" ht="15" hidden="false" customHeight="false" outlineLevel="0" collapsed="false">
      <c r="A125" s="8" t="s">
        <v>58</v>
      </c>
      <c r="B125" s="8" t="s">
        <v>150</v>
      </c>
      <c r="C125" s="8" t="n">
        <f aca="false">COUNTIF('Control Register'!$T$2:$T$387,"*CIS 18.*")</f>
        <v>7</v>
      </c>
      <c r="D125" s="10" t="str">
        <f aca="false">IF(C125&gt;0,"Yes","GAP")</f>
        <v>Yes</v>
      </c>
    </row>
    <row r="126" customFormat="false" ht="15" hidden="false" customHeight="false" outlineLevel="0" collapsed="false">
      <c r="A126" s="10" t="s">
        <v>151</v>
      </c>
      <c r="D126" s="10" t="n">
        <f aca="false">COUNTIF(D42:D125,"GAP")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22"/>
    <col collapsed="false" customWidth="true" hidden="false" outlineLevel="0" max="5" min="5" style="0" width="58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34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22"/>
    <col collapsed="false" customWidth="true" hidden="false" outlineLevel="0" max="18" min="18" style="0" width="24"/>
    <col collapsed="false" customWidth="true" hidden="false" outlineLevel="0" max="19" min="19" style="0" width="22"/>
    <col collapsed="false" customWidth="true" hidden="false" outlineLevel="0" max="20" min="20" style="0" width="18"/>
    <col collapsed="false" customWidth="true" hidden="false" outlineLevel="0" max="22" min="21" style="0" width="16"/>
    <col collapsed="false" customWidth="true" hidden="false" outlineLevel="0" max="23" min="23" style="0" width="20"/>
    <col collapsed="false" customWidth="true" hidden="false" outlineLevel="0" max="24" min="24" style="0" width="11"/>
    <col collapsed="false" customWidth="true" hidden="false" outlineLevel="0" max="26" min="25" style="0" width="40"/>
    <col collapsed="false" customWidth="true" hidden="false" outlineLevel="0" max="27" min="27" style="0" width="11"/>
    <col collapsed="false" customWidth="true" hidden="false" outlineLevel="0" max="29" min="28" style="0" width="15"/>
    <col collapsed="false" customWidth="true" hidden="false" outlineLevel="0" max="30" min="30" style="0" width="24"/>
  </cols>
  <sheetData>
    <row r="1" customFormat="false" ht="36" hidden="false" customHeight="true" outlineLevel="0" collapsed="false">
      <c r="A1" s="7" t="s">
        <v>152</v>
      </c>
      <c r="B1" s="7" t="s">
        <v>153</v>
      </c>
      <c r="C1" s="7" t="s">
        <v>22</v>
      </c>
      <c r="D1" s="7" t="s">
        <v>154</v>
      </c>
      <c r="E1" s="7" t="s">
        <v>155</v>
      </c>
      <c r="F1" s="7" t="s">
        <v>46</v>
      </c>
      <c r="G1" s="7" t="s">
        <v>156</v>
      </c>
      <c r="H1" s="7" t="s">
        <v>157</v>
      </c>
      <c r="I1" s="7" t="s">
        <v>158</v>
      </c>
      <c r="J1" s="7" t="s">
        <v>159</v>
      </c>
      <c r="K1" s="7" t="s">
        <v>160</v>
      </c>
      <c r="L1" s="7" t="s">
        <v>161</v>
      </c>
      <c r="M1" s="12" t="s">
        <v>162</v>
      </c>
      <c r="N1" s="12" t="s">
        <v>54</v>
      </c>
      <c r="O1" s="12" t="s">
        <v>53</v>
      </c>
      <c r="P1" s="12" t="s">
        <v>55</v>
      </c>
      <c r="Q1" s="12" t="s">
        <v>163</v>
      </c>
      <c r="R1" s="12" t="s">
        <v>56</v>
      </c>
      <c r="S1" s="12" t="s">
        <v>57</v>
      </c>
      <c r="T1" s="12" t="s">
        <v>58</v>
      </c>
      <c r="U1" s="12" t="s">
        <v>164</v>
      </c>
      <c r="V1" s="12" t="s">
        <v>165</v>
      </c>
      <c r="W1" s="12" t="s">
        <v>166</v>
      </c>
      <c r="X1" s="7" t="s">
        <v>167</v>
      </c>
      <c r="Y1" s="7" t="s">
        <v>168</v>
      </c>
      <c r="Z1" s="7" t="s">
        <v>169</v>
      </c>
      <c r="AA1" s="7" t="s">
        <v>170</v>
      </c>
      <c r="AB1" s="7" t="s">
        <v>171</v>
      </c>
      <c r="AC1" s="7" t="s">
        <v>172</v>
      </c>
      <c r="AD1" s="7" t="s">
        <v>173</v>
      </c>
    </row>
    <row r="2" customFormat="false" ht="32.8" hidden="false" customHeight="false" outlineLevel="0" collapsed="false">
      <c r="A2" s="13" t="n">
        <v>1</v>
      </c>
      <c r="B2" s="13" t="s">
        <v>174</v>
      </c>
      <c r="C2" s="13" t="s">
        <v>30</v>
      </c>
      <c r="D2" s="13" t="s">
        <v>175</v>
      </c>
      <c r="E2" s="13" t="s">
        <v>176</v>
      </c>
      <c r="F2" s="13" t="s">
        <v>48</v>
      </c>
      <c r="G2" s="13" t="s">
        <v>177</v>
      </c>
      <c r="H2" s="13" t="s">
        <v>178</v>
      </c>
      <c r="I2" s="13" t="s">
        <v>179</v>
      </c>
      <c r="J2" s="13" t="s">
        <v>24</v>
      </c>
      <c r="K2" s="13" t="s">
        <v>180</v>
      </c>
      <c r="L2" s="13" t="s">
        <v>181</v>
      </c>
      <c r="M2" s="13" t="s">
        <v>182</v>
      </c>
      <c r="N2" s="13"/>
      <c r="O2" s="13"/>
      <c r="P2" s="13"/>
      <c r="Q2" s="13"/>
      <c r="R2" s="13" t="s">
        <v>114</v>
      </c>
      <c r="S2" s="13"/>
      <c r="T2" s="13" t="s">
        <v>183</v>
      </c>
      <c r="U2" s="13" t="s">
        <v>184</v>
      </c>
      <c r="V2" s="13" t="s">
        <v>185</v>
      </c>
      <c r="W2" s="13" t="s">
        <v>186</v>
      </c>
      <c r="X2" s="13" t="s">
        <v>187</v>
      </c>
      <c r="Y2" s="13" t="s">
        <v>188</v>
      </c>
      <c r="Z2" s="13" t="s">
        <v>189</v>
      </c>
      <c r="AA2" s="14" t="s">
        <v>190</v>
      </c>
      <c r="AB2" s="15" t="s">
        <v>191</v>
      </c>
      <c r="AC2" s="15"/>
      <c r="AD2" s="15"/>
    </row>
    <row r="3" customFormat="false" ht="32.8" hidden="false" customHeight="false" outlineLevel="0" collapsed="false">
      <c r="A3" s="13" t="n">
        <v>2</v>
      </c>
      <c r="B3" s="13" t="s">
        <v>192</v>
      </c>
      <c r="C3" s="13" t="s">
        <v>30</v>
      </c>
      <c r="D3" s="13" t="s">
        <v>193</v>
      </c>
      <c r="E3" s="13" t="s">
        <v>194</v>
      </c>
      <c r="F3" s="13" t="s">
        <v>48</v>
      </c>
      <c r="G3" s="13" t="s">
        <v>195</v>
      </c>
      <c r="H3" s="13" t="s">
        <v>196</v>
      </c>
      <c r="I3" s="13" t="s">
        <v>179</v>
      </c>
      <c r="J3" s="13" t="s">
        <v>24</v>
      </c>
      <c r="K3" s="13" t="s">
        <v>180</v>
      </c>
      <c r="L3" s="13" t="s">
        <v>197</v>
      </c>
      <c r="M3" s="13" t="s">
        <v>198</v>
      </c>
      <c r="N3" s="13"/>
      <c r="O3" s="13"/>
      <c r="P3" s="13"/>
      <c r="Q3" s="13"/>
      <c r="R3" s="13" t="s">
        <v>114</v>
      </c>
      <c r="S3" s="13"/>
      <c r="T3" s="13"/>
      <c r="U3" s="13" t="s">
        <v>199</v>
      </c>
      <c r="V3" s="13" t="s">
        <v>200</v>
      </c>
      <c r="W3" s="13" t="s">
        <v>201</v>
      </c>
      <c r="X3" s="13" t="s">
        <v>202</v>
      </c>
      <c r="Y3" s="13"/>
      <c r="Z3" s="13" t="s">
        <v>203</v>
      </c>
      <c r="AA3" s="14" t="s">
        <v>190</v>
      </c>
      <c r="AB3" s="15" t="s">
        <v>191</v>
      </c>
      <c r="AC3" s="15"/>
      <c r="AD3" s="15"/>
    </row>
    <row r="4" customFormat="false" ht="32.8" hidden="false" customHeight="false" outlineLevel="0" collapsed="false">
      <c r="A4" s="13" t="n">
        <v>3</v>
      </c>
      <c r="B4" s="13" t="s">
        <v>204</v>
      </c>
      <c r="C4" s="13" t="s">
        <v>30</v>
      </c>
      <c r="D4" s="13" t="s">
        <v>193</v>
      </c>
      <c r="E4" s="13" t="s">
        <v>205</v>
      </c>
      <c r="F4" s="13" t="s">
        <v>48</v>
      </c>
      <c r="G4" s="13" t="s">
        <v>206</v>
      </c>
      <c r="H4" s="13" t="s">
        <v>196</v>
      </c>
      <c r="I4" s="13" t="s">
        <v>179</v>
      </c>
      <c r="J4" s="13" t="s">
        <v>24</v>
      </c>
      <c r="K4" s="13" t="s">
        <v>180</v>
      </c>
      <c r="L4" s="13" t="s">
        <v>197</v>
      </c>
      <c r="M4" s="13" t="s">
        <v>207</v>
      </c>
      <c r="N4" s="13"/>
      <c r="O4" s="13"/>
      <c r="P4" s="13"/>
      <c r="Q4" s="13"/>
      <c r="R4" s="13" t="s">
        <v>114</v>
      </c>
      <c r="S4" s="13"/>
      <c r="T4" s="13"/>
      <c r="U4" s="13" t="s">
        <v>208</v>
      </c>
      <c r="V4" s="13" t="s">
        <v>209</v>
      </c>
      <c r="W4" s="13" t="s">
        <v>201</v>
      </c>
      <c r="X4" s="13" t="s">
        <v>202</v>
      </c>
      <c r="Y4" s="13"/>
      <c r="Z4" s="13" t="s">
        <v>210</v>
      </c>
      <c r="AA4" s="14" t="s">
        <v>190</v>
      </c>
      <c r="AB4" s="15" t="s">
        <v>191</v>
      </c>
      <c r="AC4" s="15"/>
      <c r="AD4" s="15"/>
    </row>
    <row r="5" customFormat="false" ht="32.8" hidden="false" customHeight="false" outlineLevel="0" collapsed="false">
      <c r="A5" s="13" t="n">
        <v>4</v>
      </c>
      <c r="B5" s="13" t="s">
        <v>211</v>
      </c>
      <c r="C5" s="13" t="s">
        <v>30</v>
      </c>
      <c r="D5" s="13" t="s">
        <v>212</v>
      </c>
      <c r="E5" s="13" t="s">
        <v>213</v>
      </c>
      <c r="F5" s="13" t="s">
        <v>48</v>
      </c>
      <c r="G5" s="13" t="s">
        <v>214</v>
      </c>
      <c r="H5" s="13" t="s">
        <v>196</v>
      </c>
      <c r="I5" s="13" t="s">
        <v>179</v>
      </c>
      <c r="J5" s="13" t="s">
        <v>23</v>
      </c>
      <c r="K5" s="13" t="s">
        <v>180</v>
      </c>
      <c r="L5" s="13" t="s">
        <v>215</v>
      </c>
      <c r="M5" s="13" t="s">
        <v>216</v>
      </c>
      <c r="N5" s="13"/>
      <c r="O5" s="13"/>
      <c r="P5" s="13"/>
      <c r="Q5" s="13"/>
      <c r="R5" s="13"/>
      <c r="S5" s="13"/>
      <c r="T5" s="13"/>
      <c r="U5" s="13" t="s">
        <v>217</v>
      </c>
      <c r="V5" s="13" t="s">
        <v>218</v>
      </c>
      <c r="W5" s="13" t="s">
        <v>219</v>
      </c>
      <c r="X5" s="13" t="s">
        <v>187</v>
      </c>
      <c r="Y5" s="13" t="s">
        <v>220</v>
      </c>
      <c r="Z5" s="13" t="s">
        <v>221</v>
      </c>
      <c r="AA5" s="14" t="s">
        <v>190</v>
      </c>
      <c r="AB5" s="15" t="s">
        <v>191</v>
      </c>
      <c r="AC5" s="15"/>
      <c r="AD5" s="15"/>
    </row>
    <row r="6" customFormat="false" ht="32.8" hidden="false" customHeight="false" outlineLevel="0" collapsed="false">
      <c r="A6" s="13" t="n">
        <v>5</v>
      </c>
      <c r="B6" s="13" t="s">
        <v>222</v>
      </c>
      <c r="C6" s="13" t="s">
        <v>30</v>
      </c>
      <c r="D6" s="13" t="s">
        <v>223</v>
      </c>
      <c r="E6" s="13" t="s">
        <v>224</v>
      </c>
      <c r="F6" s="13" t="s">
        <v>48</v>
      </c>
      <c r="G6" s="13" t="s">
        <v>225</v>
      </c>
      <c r="H6" s="13" t="s">
        <v>226</v>
      </c>
      <c r="I6" s="13" t="s">
        <v>179</v>
      </c>
      <c r="J6" s="13" t="s">
        <v>25</v>
      </c>
      <c r="K6" s="13" t="s">
        <v>180</v>
      </c>
      <c r="L6" s="13" t="s">
        <v>227</v>
      </c>
      <c r="M6" s="13" t="s">
        <v>228</v>
      </c>
      <c r="N6" s="13"/>
      <c r="O6" s="13"/>
      <c r="P6" s="13"/>
      <c r="Q6" s="13"/>
      <c r="R6" s="13"/>
      <c r="S6" s="13"/>
      <c r="T6" s="13"/>
      <c r="U6" s="13" t="s">
        <v>229</v>
      </c>
      <c r="V6" s="13"/>
      <c r="W6" s="13"/>
      <c r="X6" s="13" t="s">
        <v>202</v>
      </c>
      <c r="Y6" s="13"/>
      <c r="Z6" s="13" t="s">
        <v>230</v>
      </c>
      <c r="AA6" s="14" t="s">
        <v>190</v>
      </c>
      <c r="AB6" s="15" t="s">
        <v>191</v>
      </c>
      <c r="AC6" s="15"/>
      <c r="AD6" s="15"/>
    </row>
    <row r="7" customFormat="false" ht="32.8" hidden="false" customHeight="false" outlineLevel="0" collapsed="false">
      <c r="A7" s="13" t="n">
        <v>6</v>
      </c>
      <c r="B7" s="13" t="s">
        <v>231</v>
      </c>
      <c r="C7" s="13" t="s">
        <v>30</v>
      </c>
      <c r="D7" s="13" t="s">
        <v>223</v>
      </c>
      <c r="E7" s="13" t="s">
        <v>232</v>
      </c>
      <c r="F7" s="13" t="s">
        <v>48</v>
      </c>
      <c r="G7" s="13" t="s">
        <v>233</v>
      </c>
      <c r="H7" s="13" t="s">
        <v>226</v>
      </c>
      <c r="I7" s="13" t="s">
        <v>179</v>
      </c>
      <c r="J7" s="13" t="s">
        <v>25</v>
      </c>
      <c r="K7" s="13" t="s">
        <v>180</v>
      </c>
      <c r="L7" s="13" t="s">
        <v>234</v>
      </c>
      <c r="M7" s="13" t="s">
        <v>235</v>
      </c>
      <c r="N7" s="13"/>
      <c r="O7" s="13"/>
      <c r="P7" s="13"/>
      <c r="Q7" s="13"/>
      <c r="R7" s="13"/>
      <c r="S7" s="13"/>
      <c r="T7" s="13"/>
      <c r="U7" s="13" t="s">
        <v>229</v>
      </c>
      <c r="V7" s="13" t="s">
        <v>236</v>
      </c>
      <c r="W7" s="13"/>
      <c r="X7" s="13" t="s">
        <v>202</v>
      </c>
      <c r="Y7" s="13"/>
      <c r="Z7" s="13" t="s">
        <v>237</v>
      </c>
      <c r="AA7" s="14" t="s">
        <v>190</v>
      </c>
      <c r="AB7" s="15" t="s">
        <v>191</v>
      </c>
      <c r="AC7" s="15"/>
      <c r="AD7" s="15"/>
    </row>
    <row r="8" customFormat="false" ht="32.8" hidden="false" customHeight="false" outlineLevel="0" collapsed="false">
      <c r="A8" s="13" t="n">
        <v>7</v>
      </c>
      <c r="B8" s="13" t="s">
        <v>238</v>
      </c>
      <c r="C8" s="13" t="s">
        <v>30</v>
      </c>
      <c r="D8" s="13" t="s">
        <v>223</v>
      </c>
      <c r="E8" s="13" t="s">
        <v>239</v>
      </c>
      <c r="F8" s="13" t="s">
        <v>48</v>
      </c>
      <c r="G8" s="13" t="s">
        <v>240</v>
      </c>
      <c r="H8" s="13" t="s">
        <v>226</v>
      </c>
      <c r="I8" s="13" t="s">
        <v>179</v>
      </c>
      <c r="J8" s="13" t="s">
        <v>24</v>
      </c>
      <c r="K8" s="13" t="s">
        <v>180</v>
      </c>
      <c r="L8" s="13" t="s">
        <v>241</v>
      </c>
      <c r="M8" s="13" t="s">
        <v>242</v>
      </c>
      <c r="N8" s="13"/>
      <c r="O8" s="13"/>
      <c r="P8" s="13"/>
      <c r="Q8" s="13"/>
      <c r="R8" s="13" t="s">
        <v>114</v>
      </c>
      <c r="S8" s="13"/>
      <c r="T8" s="13" t="s">
        <v>243</v>
      </c>
      <c r="U8" s="13" t="s">
        <v>244</v>
      </c>
      <c r="V8" s="13" t="s">
        <v>245</v>
      </c>
      <c r="W8" s="13"/>
      <c r="X8" s="13" t="s">
        <v>187</v>
      </c>
      <c r="Y8" s="13" t="s">
        <v>246</v>
      </c>
      <c r="Z8" s="13" t="s">
        <v>247</v>
      </c>
      <c r="AA8" s="14" t="s">
        <v>190</v>
      </c>
      <c r="AB8" s="15" t="s">
        <v>191</v>
      </c>
      <c r="AC8" s="15"/>
      <c r="AD8" s="15"/>
    </row>
    <row r="9" customFormat="false" ht="32.8" hidden="false" customHeight="false" outlineLevel="0" collapsed="false">
      <c r="A9" s="13" t="n">
        <v>8</v>
      </c>
      <c r="B9" s="13" t="s">
        <v>248</v>
      </c>
      <c r="C9" s="13" t="s">
        <v>30</v>
      </c>
      <c r="D9" s="13" t="s">
        <v>249</v>
      </c>
      <c r="E9" s="13" t="s">
        <v>250</v>
      </c>
      <c r="F9" s="13" t="s">
        <v>50</v>
      </c>
      <c r="G9" s="13" t="s">
        <v>251</v>
      </c>
      <c r="H9" s="13" t="s">
        <v>252</v>
      </c>
      <c r="I9" s="13" t="s">
        <v>253</v>
      </c>
      <c r="J9" s="13" t="s">
        <v>24</v>
      </c>
      <c r="K9" s="13" t="s">
        <v>254</v>
      </c>
      <c r="L9" s="13" t="s">
        <v>255</v>
      </c>
      <c r="M9" s="13" t="s">
        <v>256</v>
      </c>
      <c r="N9" s="13"/>
      <c r="O9" s="13"/>
      <c r="P9" s="13"/>
      <c r="Q9" s="13"/>
      <c r="R9" s="13" t="s">
        <v>114</v>
      </c>
      <c r="S9" s="13"/>
      <c r="T9" s="13" t="s">
        <v>257</v>
      </c>
      <c r="U9" s="13" t="s">
        <v>258</v>
      </c>
      <c r="V9" s="13" t="s">
        <v>259</v>
      </c>
      <c r="W9" s="13"/>
      <c r="X9" s="13" t="s">
        <v>202</v>
      </c>
      <c r="Y9" s="13"/>
      <c r="Z9" s="13" t="s">
        <v>260</v>
      </c>
      <c r="AA9" s="14" t="s">
        <v>190</v>
      </c>
      <c r="AB9" s="15" t="s">
        <v>191</v>
      </c>
      <c r="AC9" s="15"/>
      <c r="AD9" s="15"/>
    </row>
    <row r="10" customFormat="false" ht="32.8" hidden="false" customHeight="false" outlineLevel="0" collapsed="false">
      <c r="A10" s="13" t="n">
        <v>9</v>
      </c>
      <c r="B10" s="13" t="s">
        <v>261</v>
      </c>
      <c r="C10" s="13" t="s">
        <v>30</v>
      </c>
      <c r="D10" s="13" t="s">
        <v>249</v>
      </c>
      <c r="E10" s="13" t="s">
        <v>262</v>
      </c>
      <c r="F10" s="13" t="s">
        <v>50</v>
      </c>
      <c r="G10" s="13" t="s">
        <v>263</v>
      </c>
      <c r="H10" s="13" t="s">
        <v>252</v>
      </c>
      <c r="I10" s="13" t="s">
        <v>179</v>
      </c>
      <c r="J10" s="13" t="s">
        <v>24</v>
      </c>
      <c r="K10" s="13" t="s">
        <v>254</v>
      </c>
      <c r="L10" s="13" t="s">
        <v>255</v>
      </c>
      <c r="M10" s="13" t="s">
        <v>264</v>
      </c>
      <c r="N10" s="13"/>
      <c r="O10" s="13"/>
      <c r="P10" s="13"/>
      <c r="Q10" s="13"/>
      <c r="R10" s="13" t="s">
        <v>114</v>
      </c>
      <c r="S10" s="13"/>
      <c r="T10" s="13" t="s">
        <v>257</v>
      </c>
      <c r="U10" s="13" t="s">
        <v>258</v>
      </c>
      <c r="V10" s="13" t="s">
        <v>265</v>
      </c>
      <c r="W10" s="13"/>
      <c r="X10" s="13" t="s">
        <v>202</v>
      </c>
      <c r="Y10" s="13"/>
      <c r="Z10" s="13" t="s">
        <v>266</v>
      </c>
      <c r="AA10" s="14" t="s">
        <v>190</v>
      </c>
      <c r="AB10" s="15" t="s">
        <v>191</v>
      </c>
      <c r="AC10" s="15"/>
      <c r="AD10" s="15"/>
    </row>
    <row r="11" customFormat="false" ht="32.8" hidden="false" customHeight="false" outlineLevel="0" collapsed="false">
      <c r="A11" s="13" t="n">
        <v>10</v>
      </c>
      <c r="B11" s="13" t="s">
        <v>267</v>
      </c>
      <c r="C11" s="13" t="s">
        <v>30</v>
      </c>
      <c r="D11" s="13" t="s">
        <v>249</v>
      </c>
      <c r="E11" s="13" t="s">
        <v>268</v>
      </c>
      <c r="F11" s="13" t="s">
        <v>50</v>
      </c>
      <c r="G11" s="13" t="s">
        <v>269</v>
      </c>
      <c r="H11" s="13" t="s">
        <v>252</v>
      </c>
      <c r="I11" s="13" t="s">
        <v>179</v>
      </c>
      <c r="J11" s="13" t="s">
        <v>25</v>
      </c>
      <c r="K11" s="13" t="s">
        <v>254</v>
      </c>
      <c r="L11" s="13" t="s">
        <v>255</v>
      </c>
      <c r="M11" s="13" t="s">
        <v>270</v>
      </c>
      <c r="N11" s="13"/>
      <c r="O11" s="13"/>
      <c r="P11" s="13"/>
      <c r="Q11" s="13"/>
      <c r="R11" s="13" t="s">
        <v>114</v>
      </c>
      <c r="S11" s="13"/>
      <c r="T11" s="13" t="s">
        <v>257</v>
      </c>
      <c r="U11" s="13" t="s">
        <v>271</v>
      </c>
      <c r="V11" s="13" t="s">
        <v>265</v>
      </c>
      <c r="W11" s="13"/>
      <c r="X11" s="13" t="s">
        <v>202</v>
      </c>
      <c r="Y11" s="13"/>
      <c r="Z11" s="13" t="s">
        <v>272</v>
      </c>
      <c r="AA11" s="14" t="s">
        <v>190</v>
      </c>
      <c r="AB11" s="15" t="s">
        <v>191</v>
      </c>
      <c r="AC11" s="15"/>
      <c r="AD11" s="15"/>
    </row>
    <row r="12" customFormat="false" ht="32.8" hidden="false" customHeight="false" outlineLevel="0" collapsed="false">
      <c r="A12" s="13" t="n">
        <v>11</v>
      </c>
      <c r="B12" s="13" t="s">
        <v>273</v>
      </c>
      <c r="C12" s="13" t="s">
        <v>30</v>
      </c>
      <c r="D12" s="13" t="s">
        <v>249</v>
      </c>
      <c r="E12" s="13" t="s">
        <v>274</v>
      </c>
      <c r="F12" s="13" t="s">
        <v>50</v>
      </c>
      <c r="G12" s="13" t="s">
        <v>275</v>
      </c>
      <c r="H12" s="13" t="s">
        <v>252</v>
      </c>
      <c r="I12" s="13" t="s">
        <v>253</v>
      </c>
      <c r="J12" s="13" t="s">
        <v>24</v>
      </c>
      <c r="K12" s="13" t="s">
        <v>254</v>
      </c>
      <c r="L12" s="13" t="s">
        <v>276</v>
      </c>
      <c r="M12" s="13" t="s">
        <v>277</v>
      </c>
      <c r="N12" s="13"/>
      <c r="O12" s="13"/>
      <c r="P12" s="13"/>
      <c r="Q12" s="13"/>
      <c r="R12" s="13" t="s">
        <v>118</v>
      </c>
      <c r="S12" s="13" t="s">
        <v>129</v>
      </c>
      <c r="T12" s="13" t="s">
        <v>278</v>
      </c>
      <c r="U12" s="13" t="s">
        <v>279</v>
      </c>
      <c r="V12" s="13" t="s">
        <v>280</v>
      </c>
      <c r="W12" s="13"/>
      <c r="X12" s="13" t="s">
        <v>187</v>
      </c>
      <c r="Y12" s="13" t="s">
        <v>281</v>
      </c>
      <c r="Z12" s="13" t="s">
        <v>282</v>
      </c>
      <c r="AA12" s="14" t="s">
        <v>190</v>
      </c>
      <c r="AB12" s="15" t="s">
        <v>191</v>
      </c>
      <c r="AC12" s="15"/>
      <c r="AD12" s="15"/>
    </row>
    <row r="13" customFormat="false" ht="32.8" hidden="false" customHeight="false" outlineLevel="0" collapsed="false">
      <c r="A13" s="13" t="n">
        <v>12</v>
      </c>
      <c r="B13" s="13" t="s">
        <v>283</v>
      </c>
      <c r="C13" s="13" t="s">
        <v>30</v>
      </c>
      <c r="D13" s="13" t="s">
        <v>284</v>
      </c>
      <c r="E13" s="13" t="s">
        <v>285</v>
      </c>
      <c r="F13" s="13" t="s">
        <v>51</v>
      </c>
      <c r="G13" s="13" t="s">
        <v>286</v>
      </c>
      <c r="H13" s="13" t="s">
        <v>287</v>
      </c>
      <c r="I13" s="13" t="s">
        <v>179</v>
      </c>
      <c r="J13" s="13" t="s">
        <v>24</v>
      </c>
      <c r="K13" s="13" t="s">
        <v>288</v>
      </c>
      <c r="L13" s="13" t="s">
        <v>289</v>
      </c>
      <c r="M13" s="13" t="s">
        <v>290</v>
      </c>
      <c r="N13" s="13"/>
      <c r="O13" s="13"/>
      <c r="P13" s="13"/>
      <c r="Q13" s="13"/>
      <c r="R13" s="13" t="s">
        <v>114</v>
      </c>
      <c r="S13" s="13"/>
      <c r="T13" s="13"/>
      <c r="U13" s="13" t="s">
        <v>291</v>
      </c>
      <c r="V13" s="13" t="s">
        <v>292</v>
      </c>
      <c r="W13" s="13" t="s">
        <v>201</v>
      </c>
      <c r="X13" s="13" t="s">
        <v>293</v>
      </c>
      <c r="Y13" s="13" t="s">
        <v>294</v>
      </c>
      <c r="Z13" s="13" t="s">
        <v>295</v>
      </c>
      <c r="AA13" s="14" t="s">
        <v>190</v>
      </c>
      <c r="AB13" s="15" t="s">
        <v>191</v>
      </c>
      <c r="AC13" s="15"/>
      <c r="AD13" s="15"/>
    </row>
    <row r="14" customFormat="false" ht="32.8" hidden="false" customHeight="false" outlineLevel="0" collapsed="false">
      <c r="A14" s="13" t="n">
        <v>13</v>
      </c>
      <c r="B14" s="13" t="s">
        <v>296</v>
      </c>
      <c r="C14" s="13" t="s">
        <v>30</v>
      </c>
      <c r="D14" s="13" t="s">
        <v>297</v>
      </c>
      <c r="E14" s="13" t="s">
        <v>298</v>
      </c>
      <c r="F14" s="13" t="s">
        <v>51</v>
      </c>
      <c r="G14" s="13" t="s">
        <v>299</v>
      </c>
      <c r="H14" s="13" t="s">
        <v>287</v>
      </c>
      <c r="I14" s="13" t="s">
        <v>179</v>
      </c>
      <c r="J14" s="13" t="s">
        <v>25</v>
      </c>
      <c r="K14" s="13" t="s">
        <v>288</v>
      </c>
      <c r="L14" s="13" t="s">
        <v>300</v>
      </c>
      <c r="M14" s="13" t="s">
        <v>301</v>
      </c>
      <c r="N14" s="13"/>
      <c r="O14" s="13"/>
      <c r="P14" s="13"/>
      <c r="Q14" s="13"/>
      <c r="R14" s="13" t="s">
        <v>104</v>
      </c>
      <c r="S14" s="13"/>
      <c r="T14" s="13"/>
      <c r="U14" s="13" t="s">
        <v>302</v>
      </c>
      <c r="V14" s="13" t="s">
        <v>209</v>
      </c>
      <c r="W14" s="13"/>
      <c r="X14" s="13" t="s">
        <v>202</v>
      </c>
      <c r="Y14" s="13"/>
      <c r="Z14" s="13" t="s">
        <v>303</v>
      </c>
      <c r="AA14" s="14" t="s">
        <v>190</v>
      </c>
      <c r="AB14" s="15" t="s">
        <v>191</v>
      </c>
      <c r="AC14" s="15"/>
      <c r="AD14" s="15"/>
    </row>
    <row r="15" customFormat="false" ht="22.35" hidden="false" customHeight="false" outlineLevel="0" collapsed="false">
      <c r="A15" s="13" t="n">
        <v>14</v>
      </c>
      <c r="B15" s="13" t="s">
        <v>304</v>
      </c>
      <c r="C15" s="13" t="s">
        <v>30</v>
      </c>
      <c r="D15" s="13" t="s">
        <v>305</v>
      </c>
      <c r="E15" s="13" t="s">
        <v>306</v>
      </c>
      <c r="F15" s="13" t="s">
        <v>52</v>
      </c>
      <c r="G15" s="13" t="s">
        <v>307</v>
      </c>
      <c r="H15" s="13" t="s">
        <v>308</v>
      </c>
      <c r="I15" s="13" t="s">
        <v>253</v>
      </c>
      <c r="J15" s="13" t="s">
        <v>24</v>
      </c>
      <c r="K15" s="13" t="s">
        <v>309</v>
      </c>
      <c r="L15" s="13" t="s">
        <v>310</v>
      </c>
      <c r="M15" s="13" t="s">
        <v>311</v>
      </c>
      <c r="N15" s="13"/>
      <c r="O15" s="13"/>
      <c r="P15" s="13"/>
      <c r="Q15" s="13"/>
      <c r="R15" s="13" t="s">
        <v>114</v>
      </c>
      <c r="S15" s="13"/>
      <c r="T15" s="13"/>
      <c r="U15" s="13" t="s">
        <v>312</v>
      </c>
      <c r="V15" s="13" t="s">
        <v>313</v>
      </c>
      <c r="W15" s="13" t="s">
        <v>186</v>
      </c>
      <c r="X15" s="13" t="s">
        <v>202</v>
      </c>
      <c r="Y15" s="13"/>
      <c r="Z15" s="13" t="s">
        <v>314</v>
      </c>
      <c r="AA15" s="14" t="s">
        <v>190</v>
      </c>
      <c r="AB15" s="15" t="s">
        <v>191</v>
      </c>
      <c r="AC15" s="15"/>
      <c r="AD15" s="15"/>
    </row>
    <row r="16" customFormat="false" ht="22.35" hidden="false" customHeight="false" outlineLevel="0" collapsed="false">
      <c r="A16" s="13" t="n">
        <v>15</v>
      </c>
      <c r="B16" s="13" t="s">
        <v>315</v>
      </c>
      <c r="C16" s="13" t="s">
        <v>30</v>
      </c>
      <c r="D16" s="13" t="s">
        <v>305</v>
      </c>
      <c r="E16" s="13" t="s">
        <v>316</v>
      </c>
      <c r="F16" s="13" t="s">
        <v>52</v>
      </c>
      <c r="G16" s="13" t="s">
        <v>317</v>
      </c>
      <c r="H16" s="13" t="s">
        <v>308</v>
      </c>
      <c r="I16" s="13" t="s">
        <v>253</v>
      </c>
      <c r="J16" s="13" t="s">
        <v>24</v>
      </c>
      <c r="K16" s="13" t="s">
        <v>309</v>
      </c>
      <c r="L16" s="13" t="s">
        <v>310</v>
      </c>
      <c r="M16" s="13" t="s">
        <v>318</v>
      </c>
      <c r="N16" s="13"/>
      <c r="O16" s="13"/>
      <c r="P16" s="13"/>
      <c r="Q16" s="13"/>
      <c r="R16" s="13" t="s">
        <v>114</v>
      </c>
      <c r="S16" s="13"/>
      <c r="T16" s="13"/>
      <c r="U16" s="13" t="s">
        <v>319</v>
      </c>
      <c r="V16" s="13" t="s">
        <v>320</v>
      </c>
      <c r="W16" s="13" t="s">
        <v>186</v>
      </c>
      <c r="X16" s="13" t="s">
        <v>202</v>
      </c>
      <c r="Y16" s="13"/>
      <c r="Z16" s="13" t="s">
        <v>321</v>
      </c>
      <c r="AA16" s="14" t="s">
        <v>190</v>
      </c>
      <c r="AB16" s="15" t="s">
        <v>191</v>
      </c>
      <c r="AC16" s="15"/>
      <c r="AD16" s="15"/>
    </row>
    <row r="17" customFormat="false" ht="22.35" hidden="false" customHeight="false" outlineLevel="0" collapsed="false">
      <c r="A17" s="13" t="n">
        <v>16</v>
      </c>
      <c r="B17" s="13" t="s">
        <v>322</v>
      </c>
      <c r="C17" s="13" t="s">
        <v>30</v>
      </c>
      <c r="D17" s="13" t="s">
        <v>323</v>
      </c>
      <c r="E17" s="13" t="s">
        <v>324</v>
      </c>
      <c r="F17" s="13" t="s">
        <v>52</v>
      </c>
      <c r="G17" s="13" t="s">
        <v>325</v>
      </c>
      <c r="H17" s="13" t="s">
        <v>308</v>
      </c>
      <c r="I17" s="13" t="s">
        <v>253</v>
      </c>
      <c r="J17" s="13" t="s">
        <v>25</v>
      </c>
      <c r="K17" s="13" t="s">
        <v>309</v>
      </c>
      <c r="L17" s="13" t="s">
        <v>310</v>
      </c>
      <c r="M17" s="13" t="s">
        <v>326</v>
      </c>
      <c r="N17" s="13"/>
      <c r="O17" s="13"/>
      <c r="P17" s="13"/>
      <c r="Q17" s="13"/>
      <c r="R17" s="13" t="s">
        <v>114</v>
      </c>
      <c r="S17" s="13"/>
      <c r="T17" s="13"/>
      <c r="U17" s="13" t="s">
        <v>327</v>
      </c>
      <c r="V17" s="13" t="s">
        <v>328</v>
      </c>
      <c r="W17" s="13" t="s">
        <v>329</v>
      </c>
      <c r="X17" s="13" t="s">
        <v>202</v>
      </c>
      <c r="Y17" s="13"/>
      <c r="Z17" s="13" t="s">
        <v>330</v>
      </c>
      <c r="AA17" s="14" t="s">
        <v>190</v>
      </c>
      <c r="AB17" s="15" t="s">
        <v>191</v>
      </c>
      <c r="AC17" s="15"/>
      <c r="AD17" s="15"/>
    </row>
    <row r="18" customFormat="false" ht="22.35" hidden="false" customHeight="false" outlineLevel="0" collapsed="false">
      <c r="A18" s="13" t="n">
        <v>17</v>
      </c>
      <c r="B18" s="13" t="s">
        <v>331</v>
      </c>
      <c r="C18" s="13" t="s">
        <v>30</v>
      </c>
      <c r="D18" s="13" t="s">
        <v>332</v>
      </c>
      <c r="E18" s="13" t="s">
        <v>333</v>
      </c>
      <c r="F18" s="13" t="s">
        <v>52</v>
      </c>
      <c r="G18" s="13" t="s">
        <v>334</v>
      </c>
      <c r="H18" s="13" t="s">
        <v>308</v>
      </c>
      <c r="I18" s="13" t="s">
        <v>253</v>
      </c>
      <c r="J18" s="13" t="s">
        <v>26</v>
      </c>
      <c r="K18" s="13" t="s">
        <v>309</v>
      </c>
      <c r="L18" s="13" t="s">
        <v>335</v>
      </c>
      <c r="M18" s="13" t="s">
        <v>336</v>
      </c>
      <c r="N18" s="13"/>
      <c r="O18" s="13"/>
      <c r="P18" s="13"/>
      <c r="Q18" s="13"/>
      <c r="R18" s="13"/>
      <c r="S18" s="13"/>
      <c r="T18" s="13"/>
      <c r="U18" s="13" t="s">
        <v>229</v>
      </c>
      <c r="V18" s="13" t="s">
        <v>337</v>
      </c>
      <c r="W18" s="13"/>
      <c r="X18" s="13" t="s">
        <v>202</v>
      </c>
      <c r="Y18" s="13"/>
      <c r="Z18" s="13" t="s">
        <v>338</v>
      </c>
      <c r="AA18" s="14" t="s">
        <v>190</v>
      </c>
      <c r="AB18" s="15" t="s">
        <v>191</v>
      </c>
      <c r="AC18" s="15"/>
      <c r="AD18" s="15"/>
    </row>
    <row r="19" customFormat="false" ht="22.35" hidden="false" customHeight="false" outlineLevel="0" collapsed="false">
      <c r="A19" s="13" t="n">
        <v>18</v>
      </c>
      <c r="B19" s="13" t="s">
        <v>339</v>
      </c>
      <c r="C19" s="13" t="s">
        <v>30</v>
      </c>
      <c r="D19" s="13" t="s">
        <v>340</v>
      </c>
      <c r="E19" s="13" t="s">
        <v>341</v>
      </c>
      <c r="F19" s="13" t="s">
        <v>52</v>
      </c>
      <c r="G19" s="13" t="s">
        <v>342</v>
      </c>
      <c r="H19" s="13" t="s">
        <v>308</v>
      </c>
      <c r="I19" s="13" t="s">
        <v>253</v>
      </c>
      <c r="J19" s="13" t="s">
        <v>24</v>
      </c>
      <c r="K19" s="13" t="s">
        <v>309</v>
      </c>
      <c r="L19" s="13" t="s">
        <v>343</v>
      </c>
      <c r="M19" s="13" t="s">
        <v>344</v>
      </c>
      <c r="N19" s="13"/>
      <c r="O19" s="13"/>
      <c r="P19" s="13"/>
      <c r="Q19" s="13"/>
      <c r="R19" s="13"/>
      <c r="S19" s="13"/>
      <c r="T19" s="13"/>
      <c r="U19" s="13" t="s">
        <v>217</v>
      </c>
      <c r="V19" s="13" t="s">
        <v>218</v>
      </c>
      <c r="W19" s="13" t="s">
        <v>345</v>
      </c>
      <c r="X19" s="13" t="s">
        <v>187</v>
      </c>
      <c r="Y19" s="13" t="s">
        <v>346</v>
      </c>
      <c r="Z19" s="13" t="s">
        <v>347</v>
      </c>
      <c r="AA19" s="14" t="s">
        <v>190</v>
      </c>
      <c r="AB19" s="15" t="s">
        <v>191</v>
      </c>
      <c r="AC19" s="15"/>
      <c r="AD19" s="15"/>
    </row>
    <row r="20" customFormat="false" ht="32.8" hidden="false" customHeight="false" outlineLevel="0" collapsed="false">
      <c r="A20" s="13" t="n">
        <v>19</v>
      </c>
      <c r="B20" s="13" t="s">
        <v>348</v>
      </c>
      <c r="C20" s="13" t="s">
        <v>30</v>
      </c>
      <c r="D20" s="13" t="s">
        <v>349</v>
      </c>
      <c r="E20" s="13" t="s">
        <v>350</v>
      </c>
      <c r="F20" s="13" t="s">
        <v>52</v>
      </c>
      <c r="G20" s="13" t="s">
        <v>351</v>
      </c>
      <c r="H20" s="13" t="s">
        <v>308</v>
      </c>
      <c r="I20" s="13" t="s">
        <v>253</v>
      </c>
      <c r="J20" s="13" t="s">
        <v>25</v>
      </c>
      <c r="K20" s="13" t="s">
        <v>309</v>
      </c>
      <c r="L20" s="13" t="s">
        <v>335</v>
      </c>
      <c r="M20" s="13" t="s">
        <v>352</v>
      </c>
      <c r="N20" s="13"/>
      <c r="O20" s="13"/>
      <c r="P20" s="13"/>
      <c r="Q20" s="13"/>
      <c r="R20" s="13"/>
      <c r="S20" s="13"/>
      <c r="T20" s="13"/>
      <c r="U20" s="13" t="s">
        <v>258</v>
      </c>
      <c r="V20" s="13" t="s">
        <v>353</v>
      </c>
      <c r="W20" s="13"/>
      <c r="X20" s="13" t="s">
        <v>187</v>
      </c>
      <c r="Y20" s="13" t="s">
        <v>354</v>
      </c>
      <c r="Z20" s="13" t="s">
        <v>355</v>
      </c>
      <c r="AA20" s="14" t="s">
        <v>190</v>
      </c>
      <c r="AB20" s="15" t="s">
        <v>191</v>
      </c>
      <c r="AC20" s="15"/>
      <c r="AD20" s="15"/>
    </row>
    <row r="21" customFormat="false" ht="22.35" hidden="false" customHeight="false" outlineLevel="0" collapsed="false">
      <c r="A21" s="13" t="n">
        <v>20</v>
      </c>
      <c r="B21" s="13" t="s">
        <v>356</v>
      </c>
      <c r="C21" s="13" t="s">
        <v>30</v>
      </c>
      <c r="D21" s="13" t="s">
        <v>193</v>
      </c>
      <c r="E21" s="13" t="s">
        <v>357</v>
      </c>
      <c r="F21" s="13" t="s">
        <v>52</v>
      </c>
      <c r="G21" s="13" t="s">
        <v>358</v>
      </c>
      <c r="H21" s="13" t="s">
        <v>359</v>
      </c>
      <c r="I21" s="13" t="s">
        <v>253</v>
      </c>
      <c r="J21" s="13" t="s">
        <v>24</v>
      </c>
      <c r="K21" s="13" t="s">
        <v>309</v>
      </c>
      <c r="L21" s="13" t="s">
        <v>310</v>
      </c>
      <c r="M21" s="13" t="s">
        <v>360</v>
      </c>
      <c r="N21" s="13"/>
      <c r="O21" s="13"/>
      <c r="P21" s="13"/>
      <c r="Q21" s="13"/>
      <c r="R21" s="13" t="s">
        <v>114</v>
      </c>
      <c r="S21" s="13"/>
      <c r="T21" s="13"/>
      <c r="U21" s="13" t="s">
        <v>291</v>
      </c>
      <c r="V21" s="13" t="s">
        <v>361</v>
      </c>
      <c r="W21" s="13" t="s">
        <v>201</v>
      </c>
      <c r="X21" s="13" t="s">
        <v>293</v>
      </c>
      <c r="Y21" s="13" t="s">
        <v>362</v>
      </c>
      <c r="Z21" s="13" t="s">
        <v>363</v>
      </c>
      <c r="AA21" s="14" t="s">
        <v>190</v>
      </c>
      <c r="AB21" s="15" t="s">
        <v>191</v>
      </c>
      <c r="AC21" s="15"/>
      <c r="AD21" s="15"/>
    </row>
    <row r="22" customFormat="false" ht="32.8" hidden="false" customHeight="false" outlineLevel="0" collapsed="false">
      <c r="A22" s="13" t="n">
        <v>21</v>
      </c>
      <c r="B22" s="13" t="s">
        <v>364</v>
      </c>
      <c r="C22" s="13" t="s">
        <v>30</v>
      </c>
      <c r="D22" s="13" t="s">
        <v>365</v>
      </c>
      <c r="E22" s="13" t="s">
        <v>366</v>
      </c>
      <c r="F22" s="13" t="s">
        <v>52</v>
      </c>
      <c r="G22" s="13" t="s">
        <v>367</v>
      </c>
      <c r="H22" s="13" t="s">
        <v>359</v>
      </c>
      <c r="I22" s="13" t="s">
        <v>253</v>
      </c>
      <c r="J22" s="13" t="s">
        <v>23</v>
      </c>
      <c r="K22" s="13" t="s">
        <v>368</v>
      </c>
      <c r="L22" s="13" t="s">
        <v>369</v>
      </c>
      <c r="M22" s="13" t="s">
        <v>370</v>
      </c>
      <c r="N22" s="13"/>
      <c r="O22" s="13"/>
      <c r="P22" s="13"/>
      <c r="Q22" s="13"/>
      <c r="R22" s="13" t="s">
        <v>120</v>
      </c>
      <c r="S22" s="13" t="s">
        <v>131</v>
      </c>
      <c r="T22" s="13"/>
      <c r="U22" s="13" t="s">
        <v>371</v>
      </c>
      <c r="V22" s="13" t="s">
        <v>372</v>
      </c>
      <c r="W22" s="13" t="s">
        <v>373</v>
      </c>
      <c r="X22" s="13" t="s">
        <v>187</v>
      </c>
      <c r="Y22" s="13" t="s">
        <v>374</v>
      </c>
      <c r="Z22" s="13" t="s">
        <v>375</v>
      </c>
      <c r="AA22" s="14" t="s">
        <v>190</v>
      </c>
      <c r="AB22" s="15" t="s">
        <v>191</v>
      </c>
      <c r="AC22" s="15"/>
      <c r="AD22" s="15"/>
    </row>
    <row r="23" customFormat="false" ht="22.35" hidden="false" customHeight="false" outlineLevel="0" collapsed="false">
      <c r="A23" s="13" t="n">
        <v>22</v>
      </c>
      <c r="B23" s="13" t="s">
        <v>376</v>
      </c>
      <c r="C23" s="13" t="s">
        <v>30</v>
      </c>
      <c r="D23" s="13" t="s">
        <v>377</v>
      </c>
      <c r="E23" s="13" t="s">
        <v>378</v>
      </c>
      <c r="F23" s="13" t="s">
        <v>52</v>
      </c>
      <c r="G23" s="13" t="s">
        <v>379</v>
      </c>
      <c r="H23" s="13" t="s">
        <v>359</v>
      </c>
      <c r="I23" s="13" t="s">
        <v>253</v>
      </c>
      <c r="J23" s="13" t="s">
        <v>24</v>
      </c>
      <c r="K23" s="13" t="s">
        <v>309</v>
      </c>
      <c r="L23" s="13" t="s">
        <v>335</v>
      </c>
      <c r="M23" s="13" t="s">
        <v>380</v>
      </c>
      <c r="N23" s="13"/>
      <c r="O23" s="13"/>
      <c r="P23" s="13"/>
      <c r="Q23" s="13"/>
      <c r="R23" s="13"/>
      <c r="S23" s="13"/>
      <c r="T23" s="13"/>
      <c r="U23" s="13" t="s">
        <v>381</v>
      </c>
      <c r="V23" s="13" t="s">
        <v>209</v>
      </c>
      <c r="W23" s="13"/>
      <c r="X23" s="13" t="s">
        <v>187</v>
      </c>
      <c r="Y23" s="13" t="s">
        <v>382</v>
      </c>
      <c r="Z23" s="13" t="s">
        <v>383</v>
      </c>
      <c r="AA23" s="14" t="s">
        <v>190</v>
      </c>
      <c r="AB23" s="15" t="s">
        <v>191</v>
      </c>
      <c r="AC23" s="15"/>
      <c r="AD23" s="15"/>
    </row>
    <row r="24" customFormat="false" ht="32.8" hidden="false" customHeight="false" outlineLevel="0" collapsed="false">
      <c r="A24" s="13" t="n">
        <v>23</v>
      </c>
      <c r="B24" s="13" t="s">
        <v>384</v>
      </c>
      <c r="C24" s="13" t="s">
        <v>30</v>
      </c>
      <c r="D24" s="13" t="s">
        <v>385</v>
      </c>
      <c r="E24" s="13" t="s">
        <v>386</v>
      </c>
      <c r="F24" s="13" t="s">
        <v>52</v>
      </c>
      <c r="G24" s="13" t="s">
        <v>387</v>
      </c>
      <c r="H24" s="13" t="s">
        <v>388</v>
      </c>
      <c r="I24" s="13" t="s">
        <v>253</v>
      </c>
      <c r="J24" s="13" t="s">
        <v>25</v>
      </c>
      <c r="K24" s="13" t="s">
        <v>309</v>
      </c>
      <c r="L24" s="13" t="s">
        <v>335</v>
      </c>
      <c r="M24" s="13" t="s">
        <v>389</v>
      </c>
      <c r="N24" s="13"/>
      <c r="O24" s="13"/>
      <c r="P24" s="13"/>
      <c r="Q24" s="13"/>
      <c r="R24" s="13"/>
      <c r="S24" s="13"/>
      <c r="T24" s="13"/>
      <c r="U24" s="13" t="s">
        <v>390</v>
      </c>
      <c r="V24" s="13" t="s">
        <v>353</v>
      </c>
      <c r="W24" s="13"/>
      <c r="X24" s="13" t="s">
        <v>187</v>
      </c>
      <c r="Y24" s="13" t="s">
        <v>391</v>
      </c>
      <c r="Z24" s="13" t="s">
        <v>392</v>
      </c>
      <c r="AA24" s="14" t="s">
        <v>190</v>
      </c>
      <c r="AB24" s="15" t="s">
        <v>191</v>
      </c>
      <c r="AC24" s="15"/>
      <c r="AD24" s="15"/>
    </row>
    <row r="25" customFormat="false" ht="22.35" hidden="false" customHeight="false" outlineLevel="0" collapsed="false">
      <c r="A25" s="13" t="n">
        <v>24</v>
      </c>
      <c r="B25" s="13" t="s">
        <v>393</v>
      </c>
      <c r="C25" s="13" t="s">
        <v>30</v>
      </c>
      <c r="D25" s="13" t="s">
        <v>394</v>
      </c>
      <c r="E25" s="13" t="s">
        <v>395</v>
      </c>
      <c r="F25" s="13" t="s">
        <v>56</v>
      </c>
      <c r="G25" s="13" t="s">
        <v>122</v>
      </c>
      <c r="H25" s="13" t="s">
        <v>396</v>
      </c>
      <c r="I25" s="13" t="s">
        <v>397</v>
      </c>
      <c r="J25" s="13" t="s">
        <v>26</v>
      </c>
      <c r="K25" s="13" t="s">
        <v>309</v>
      </c>
      <c r="L25" s="13" t="s">
        <v>398</v>
      </c>
      <c r="M25" s="13"/>
      <c r="N25" s="13"/>
      <c r="O25" s="13"/>
      <c r="P25" s="13"/>
      <c r="Q25" s="13"/>
      <c r="R25" s="13" t="s">
        <v>122</v>
      </c>
      <c r="S25" s="13" t="s">
        <v>129</v>
      </c>
      <c r="T25" s="13"/>
      <c r="U25" s="13" t="s">
        <v>399</v>
      </c>
      <c r="V25" s="13" t="s">
        <v>400</v>
      </c>
      <c r="W25" s="13"/>
      <c r="X25" s="13" t="s">
        <v>202</v>
      </c>
      <c r="Y25" s="13"/>
      <c r="Z25" s="13" t="s">
        <v>401</v>
      </c>
      <c r="AA25" s="14" t="s">
        <v>190</v>
      </c>
      <c r="AB25" s="15" t="s">
        <v>191</v>
      </c>
      <c r="AC25" s="15"/>
      <c r="AD25" s="15"/>
    </row>
    <row r="26" customFormat="false" ht="22.35" hidden="false" customHeight="false" outlineLevel="0" collapsed="false">
      <c r="A26" s="13" t="n">
        <v>25</v>
      </c>
      <c r="B26" s="13" t="s">
        <v>402</v>
      </c>
      <c r="C26" s="13" t="s">
        <v>30</v>
      </c>
      <c r="D26" s="13" t="s">
        <v>403</v>
      </c>
      <c r="E26" s="13" t="s">
        <v>404</v>
      </c>
      <c r="F26" s="13" t="s">
        <v>57</v>
      </c>
      <c r="G26" s="13" t="s">
        <v>131</v>
      </c>
      <c r="H26" s="13" t="s">
        <v>405</v>
      </c>
      <c r="I26" s="13" t="s">
        <v>397</v>
      </c>
      <c r="J26" s="13" t="s">
        <v>24</v>
      </c>
      <c r="K26" s="13" t="s">
        <v>406</v>
      </c>
      <c r="L26" s="13" t="s">
        <v>407</v>
      </c>
      <c r="M26" s="13"/>
      <c r="N26" s="13"/>
      <c r="O26" s="13"/>
      <c r="P26" s="13" t="s">
        <v>83</v>
      </c>
      <c r="Q26" s="13"/>
      <c r="R26" s="13" t="s">
        <v>120</v>
      </c>
      <c r="S26" s="13" t="s">
        <v>131</v>
      </c>
      <c r="T26" s="13"/>
      <c r="U26" s="13" t="s">
        <v>229</v>
      </c>
      <c r="V26" s="13" t="s">
        <v>400</v>
      </c>
      <c r="W26" s="13" t="s">
        <v>373</v>
      </c>
      <c r="X26" s="13" t="s">
        <v>187</v>
      </c>
      <c r="Y26" s="13" t="s">
        <v>408</v>
      </c>
      <c r="Z26" s="13" t="s">
        <v>409</v>
      </c>
      <c r="AA26" s="14" t="s">
        <v>190</v>
      </c>
      <c r="AB26" s="15" t="s">
        <v>191</v>
      </c>
      <c r="AC26" s="15"/>
      <c r="AD26" s="15"/>
    </row>
    <row r="27" customFormat="false" ht="22.35" hidden="false" customHeight="false" outlineLevel="0" collapsed="false">
      <c r="A27" s="13" t="n">
        <v>26</v>
      </c>
      <c r="B27" s="13" t="s">
        <v>410</v>
      </c>
      <c r="C27" s="13" t="s">
        <v>30</v>
      </c>
      <c r="D27" s="13" t="s">
        <v>411</v>
      </c>
      <c r="E27" s="13" t="s">
        <v>412</v>
      </c>
      <c r="F27" s="13" t="s">
        <v>61</v>
      </c>
      <c r="G27" s="13" t="s">
        <v>413</v>
      </c>
      <c r="H27" s="13" t="s">
        <v>414</v>
      </c>
      <c r="I27" s="13" t="s">
        <v>397</v>
      </c>
      <c r="J27" s="13" t="s">
        <v>24</v>
      </c>
      <c r="K27" s="13" t="s">
        <v>406</v>
      </c>
      <c r="L27" s="13" t="s">
        <v>415</v>
      </c>
      <c r="M27" s="13"/>
      <c r="N27" s="13"/>
      <c r="O27" s="13"/>
      <c r="P27" s="13"/>
      <c r="Q27" s="13"/>
      <c r="R27" s="13"/>
      <c r="S27" s="13"/>
      <c r="T27" s="13"/>
      <c r="U27" s="13" t="s">
        <v>217</v>
      </c>
      <c r="V27" s="13" t="s">
        <v>218</v>
      </c>
      <c r="W27" s="13" t="s">
        <v>416</v>
      </c>
      <c r="X27" s="13" t="s">
        <v>202</v>
      </c>
      <c r="Y27" s="13"/>
      <c r="Z27" s="13" t="s">
        <v>417</v>
      </c>
      <c r="AA27" s="14" t="s">
        <v>190</v>
      </c>
      <c r="AB27" s="15" t="s">
        <v>191</v>
      </c>
      <c r="AC27" s="15"/>
      <c r="AD27" s="15"/>
    </row>
    <row r="28" customFormat="false" ht="32.8" hidden="false" customHeight="false" outlineLevel="0" collapsed="false">
      <c r="A28" s="13" t="n">
        <v>27</v>
      </c>
      <c r="B28" s="13" t="s">
        <v>418</v>
      </c>
      <c r="C28" s="13" t="s">
        <v>31</v>
      </c>
      <c r="D28" s="13" t="s">
        <v>419</v>
      </c>
      <c r="E28" s="13" t="s">
        <v>420</v>
      </c>
      <c r="F28" s="13" t="s">
        <v>48</v>
      </c>
      <c r="G28" s="13" t="s">
        <v>421</v>
      </c>
      <c r="H28" s="13" t="s">
        <v>178</v>
      </c>
      <c r="I28" s="13" t="s">
        <v>179</v>
      </c>
      <c r="J28" s="13" t="s">
        <v>23</v>
      </c>
      <c r="K28" s="13" t="s">
        <v>180</v>
      </c>
      <c r="L28" s="13" t="s">
        <v>422</v>
      </c>
      <c r="M28" s="13" t="s">
        <v>423</v>
      </c>
      <c r="N28" s="13"/>
      <c r="O28" s="13"/>
      <c r="P28" s="13" t="s">
        <v>79</v>
      </c>
      <c r="Q28" s="13"/>
      <c r="R28" s="13" t="s">
        <v>121</v>
      </c>
      <c r="S28" s="13" t="s">
        <v>424</v>
      </c>
      <c r="T28" s="13" t="s">
        <v>425</v>
      </c>
      <c r="U28" s="13" t="s">
        <v>426</v>
      </c>
      <c r="V28" s="13" t="s">
        <v>353</v>
      </c>
      <c r="W28" s="13"/>
      <c r="X28" s="13" t="s">
        <v>293</v>
      </c>
      <c r="Y28" s="13" t="s">
        <v>427</v>
      </c>
      <c r="Z28" s="13" t="s">
        <v>428</v>
      </c>
      <c r="AA28" s="14" t="s">
        <v>190</v>
      </c>
      <c r="AB28" s="15" t="s">
        <v>191</v>
      </c>
      <c r="AC28" s="15"/>
      <c r="AD28" s="15"/>
    </row>
    <row r="29" customFormat="false" ht="32.8" hidden="false" customHeight="false" outlineLevel="0" collapsed="false">
      <c r="A29" s="13" t="n">
        <v>28</v>
      </c>
      <c r="B29" s="13" t="s">
        <v>429</v>
      </c>
      <c r="C29" s="13" t="s">
        <v>31</v>
      </c>
      <c r="D29" s="13" t="s">
        <v>430</v>
      </c>
      <c r="E29" s="13" t="s">
        <v>431</v>
      </c>
      <c r="F29" s="13" t="s">
        <v>48</v>
      </c>
      <c r="G29" s="13" t="s">
        <v>432</v>
      </c>
      <c r="H29" s="13" t="s">
        <v>433</v>
      </c>
      <c r="I29" s="13" t="s">
        <v>253</v>
      </c>
      <c r="J29" s="13" t="s">
        <v>23</v>
      </c>
      <c r="K29" s="13" t="s">
        <v>180</v>
      </c>
      <c r="L29" s="13" t="s">
        <v>422</v>
      </c>
      <c r="M29" s="13" t="s">
        <v>434</v>
      </c>
      <c r="N29" s="13"/>
      <c r="O29" s="13"/>
      <c r="P29" s="13" t="s">
        <v>79</v>
      </c>
      <c r="Q29" s="13"/>
      <c r="R29" s="13" t="s">
        <v>121</v>
      </c>
      <c r="S29" s="13" t="s">
        <v>435</v>
      </c>
      <c r="T29" s="13" t="s">
        <v>436</v>
      </c>
      <c r="U29" s="13" t="s">
        <v>437</v>
      </c>
      <c r="V29" s="13" t="s">
        <v>438</v>
      </c>
      <c r="W29" s="13"/>
      <c r="X29" s="13" t="s">
        <v>187</v>
      </c>
      <c r="Y29" s="13" t="s">
        <v>439</v>
      </c>
      <c r="Z29" s="13" t="s">
        <v>440</v>
      </c>
      <c r="AA29" s="14" t="s">
        <v>190</v>
      </c>
      <c r="AB29" s="15" t="s">
        <v>191</v>
      </c>
      <c r="AC29" s="15"/>
      <c r="AD29" s="15"/>
    </row>
    <row r="30" customFormat="false" ht="32.8" hidden="false" customHeight="false" outlineLevel="0" collapsed="false">
      <c r="A30" s="13" t="n">
        <v>29</v>
      </c>
      <c r="B30" s="13" t="s">
        <v>441</v>
      </c>
      <c r="C30" s="13" t="s">
        <v>31</v>
      </c>
      <c r="D30" s="13" t="s">
        <v>430</v>
      </c>
      <c r="E30" s="13" t="s">
        <v>442</v>
      </c>
      <c r="F30" s="13" t="s">
        <v>48</v>
      </c>
      <c r="G30" s="13" t="s">
        <v>443</v>
      </c>
      <c r="H30" s="13" t="s">
        <v>433</v>
      </c>
      <c r="I30" s="13" t="s">
        <v>179</v>
      </c>
      <c r="J30" s="13" t="s">
        <v>23</v>
      </c>
      <c r="K30" s="13" t="s">
        <v>180</v>
      </c>
      <c r="L30" s="13" t="s">
        <v>422</v>
      </c>
      <c r="M30" s="13" t="s">
        <v>444</v>
      </c>
      <c r="N30" s="13"/>
      <c r="O30" s="13"/>
      <c r="P30" s="13" t="s">
        <v>79</v>
      </c>
      <c r="Q30" s="13"/>
      <c r="R30" s="13" t="s">
        <v>121</v>
      </c>
      <c r="S30" s="13" t="s">
        <v>125</v>
      </c>
      <c r="T30" s="13" t="s">
        <v>425</v>
      </c>
      <c r="U30" s="13" t="s">
        <v>445</v>
      </c>
      <c r="V30" s="13" t="s">
        <v>353</v>
      </c>
      <c r="W30" s="13"/>
      <c r="X30" s="13" t="s">
        <v>202</v>
      </c>
      <c r="Y30" s="13"/>
      <c r="Z30" s="13" t="s">
        <v>446</v>
      </c>
      <c r="AA30" s="14" t="s">
        <v>190</v>
      </c>
      <c r="AB30" s="15" t="s">
        <v>191</v>
      </c>
      <c r="AC30" s="15"/>
      <c r="AD30" s="15"/>
    </row>
    <row r="31" customFormat="false" ht="32.8" hidden="false" customHeight="false" outlineLevel="0" collapsed="false">
      <c r="A31" s="13" t="n">
        <v>30</v>
      </c>
      <c r="B31" s="13" t="s">
        <v>447</v>
      </c>
      <c r="C31" s="13" t="s">
        <v>31</v>
      </c>
      <c r="D31" s="13" t="s">
        <v>223</v>
      </c>
      <c r="E31" s="13" t="s">
        <v>448</v>
      </c>
      <c r="F31" s="13" t="s">
        <v>48</v>
      </c>
      <c r="G31" s="13" t="s">
        <v>449</v>
      </c>
      <c r="H31" s="13" t="s">
        <v>226</v>
      </c>
      <c r="I31" s="13" t="s">
        <v>179</v>
      </c>
      <c r="J31" s="13" t="s">
        <v>23</v>
      </c>
      <c r="K31" s="13" t="s">
        <v>180</v>
      </c>
      <c r="L31" s="13" t="s">
        <v>450</v>
      </c>
      <c r="M31" s="13" t="s">
        <v>451</v>
      </c>
      <c r="N31" s="13"/>
      <c r="O31" s="13"/>
      <c r="P31" s="13"/>
      <c r="Q31" s="13"/>
      <c r="R31" s="13" t="s">
        <v>121</v>
      </c>
      <c r="S31" s="13" t="s">
        <v>127</v>
      </c>
      <c r="T31" s="13" t="s">
        <v>243</v>
      </c>
      <c r="U31" s="13" t="s">
        <v>244</v>
      </c>
      <c r="V31" s="13" t="s">
        <v>245</v>
      </c>
      <c r="W31" s="13"/>
      <c r="X31" s="13" t="s">
        <v>202</v>
      </c>
      <c r="Y31" s="13"/>
      <c r="Z31" s="13" t="s">
        <v>452</v>
      </c>
      <c r="AA31" s="14" t="s">
        <v>190</v>
      </c>
      <c r="AB31" s="15" t="s">
        <v>191</v>
      </c>
      <c r="AC31" s="15"/>
      <c r="AD31" s="15"/>
    </row>
    <row r="32" customFormat="false" ht="32.8" hidden="false" customHeight="false" outlineLevel="0" collapsed="false">
      <c r="A32" s="13" t="n">
        <v>31</v>
      </c>
      <c r="B32" s="13" t="s">
        <v>453</v>
      </c>
      <c r="C32" s="13" t="s">
        <v>31</v>
      </c>
      <c r="D32" s="13" t="s">
        <v>454</v>
      </c>
      <c r="E32" s="13" t="s">
        <v>455</v>
      </c>
      <c r="F32" s="13" t="s">
        <v>50</v>
      </c>
      <c r="G32" s="13" t="s">
        <v>456</v>
      </c>
      <c r="H32" s="13" t="s">
        <v>252</v>
      </c>
      <c r="I32" s="13" t="s">
        <v>179</v>
      </c>
      <c r="J32" s="13" t="s">
        <v>24</v>
      </c>
      <c r="K32" s="13" t="s">
        <v>254</v>
      </c>
      <c r="L32" s="13" t="s">
        <v>457</v>
      </c>
      <c r="M32" s="13" t="s">
        <v>458</v>
      </c>
      <c r="N32" s="13"/>
      <c r="O32" s="13"/>
      <c r="P32" s="13" t="s">
        <v>88</v>
      </c>
      <c r="Q32" s="13"/>
      <c r="R32" s="13" t="s">
        <v>106</v>
      </c>
      <c r="S32" s="13" t="s">
        <v>126</v>
      </c>
      <c r="T32" s="13" t="s">
        <v>459</v>
      </c>
      <c r="U32" s="13" t="s">
        <v>460</v>
      </c>
      <c r="V32" s="13" t="s">
        <v>461</v>
      </c>
      <c r="W32" s="13" t="s">
        <v>462</v>
      </c>
      <c r="X32" s="13" t="s">
        <v>202</v>
      </c>
      <c r="Y32" s="13"/>
      <c r="Z32" s="13" t="s">
        <v>463</v>
      </c>
      <c r="AA32" s="14" t="s">
        <v>190</v>
      </c>
      <c r="AB32" s="15" t="s">
        <v>191</v>
      </c>
      <c r="AC32" s="15"/>
      <c r="AD32" s="15"/>
    </row>
    <row r="33" customFormat="false" ht="32.8" hidden="false" customHeight="false" outlineLevel="0" collapsed="false">
      <c r="A33" s="13" t="n">
        <v>32</v>
      </c>
      <c r="B33" s="13" t="s">
        <v>464</v>
      </c>
      <c r="C33" s="13" t="s">
        <v>31</v>
      </c>
      <c r="D33" s="13" t="s">
        <v>454</v>
      </c>
      <c r="E33" s="13" t="s">
        <v>465</v>
      </c>
      <c r="F33" s="13" t="s">
        <v>50</v>
      </c>
      <c r="G33" s="13" t="s">
        <v>466</v>
      </c>
      <c r="H33" s="13" t="s">
        <v>252</v>
      </c>
      <c r="I33" s="13" t="s">
        <v>179</v>
      </c>
      <c r="J33" s="13" t="s">
        <v>24</v>
      </c>
      <c r="K33" s="13" t="s">
        <v>254</v>
      </c>
      <c r="L33" s="13" t="s">
        <v>457</v>
      </c>
      <c r="M33" s="13" t="s">
        <v>467</v>
      </c>
      <c r="N33" s="13"/>
      <c r="O33" s="13"/>
      <c r="P33" s="13" t="s">
        <v>88</v>
      </c>
      <c r="Q33" s="13"/>
      <c r="R33" s="13" t="s">
        <v>106</v>
      </c>
      <c r="S33" s="13" t="s">
        <v>132</v>
      </c>
      <c r="T33" s="13" t="s">
        <v>459</v>
      </c>
      <c r="U33" s="13" t="s">
        <v>468</v>
      </c>
      <c r="V33" s="13" t="s">
        <v>469</v>
      </c>
      <c r="W33" s="13" t="s">
        <v>462</v>
      </c>
      <c r="X33" s="13" t="s">
        <v>202</v>
      </c>
      <c r="Y33" s="13"/>
      <c r="Z33" s="13" t="s">
        <v>470</v>
      </c>
      <c r="AA33" s="14" t="s">
        <v>190</v>
      </c>
      <c r="AB33" s="15" t="s">
        <v>191</v>
      </c>
      <c r="AC33" s="15"/>
      <c r="AD33" s="15"/>
    </row>
    <row r="34" customFormat="false" ht="32.8" hidden="false" customHeight="false" outlineLevel="0" collapsed="false">
      <c r="A34" s="13" t="n">
        <v>33</v>
      </c>
      <c r="B34" s="13" t="s">
        <v>471</v>
      </c>
      <c r="C34" s="13" t="s">
        <v>31</v>
      </c>
      <c r="D34" s="13" t="s">
        <v>454</v>
      </c>
      <c r="E34" s="13" t="s">
        <v>472</v>
      </c>
      <c r="F34" s="13" t="s">
        <v>50</v>
      </c>
      <c r="G34" s="13" t="s">
        <v>473</v>
      </c>
      <c r="H34" s="13" t="s">
        <v>252</v>
      </c>
      <c r="I34" s="13" t="s">
        <v>179</v>
      </c>
      <c r="J34" s="13" t="s">
        <v>23</v>
      </c>
      <c r="K34" s="13" t="s">
        <v>254</v>
      </c>
      <c r="L34" s="13" t="s">
        <v>457</v>
      </c>
      <c r="M34" s="13" t="s">
        <v>474</v>
      </c>
      <c r="N34" s="13"/>
      <c r="O34" s="13"/>
      <c r="P34" s="13" t="s">
        <v>88</v>
      </c>
      <c r="Q34" s="13"/>
      <c r="R34" s="13" t="s">
        <v>106</v>
      </c>
      <c r="S34" s="13" t="s">
        <v>126</v>
      </c>
      <c r="T34" s="13" t="s">
        <v>459</v>
      </c>
      <c r="U34" s="13" t="s">
        <v>475</v>
      </c>
      <c r="V34" s="13" t="s">
        <v>476</v>
      </c>
      <c r="W34" s="13" t="s">
        <v>462</v>
      </c>
      <c r="X34" s="13" t="s">
        <v>202</v>
      </c>
      <c r="Y34" s="13"/>
      <c r="Z34" s="13" t="s">
        <v>477</v>
      </c>
      <c r="AA34" s="14" t="s">
        <v>190</v>
      </c>
      <c r="AB34" s="15" t="s">
        <v>191</v>
      </c>
      <c r="AC34" s="15"/>
      <c r="AD34" s="15"/>
    </row>
    <row r="35" customFormat="false" ht="32.8" hidden="false" customHeight="false" outlineLevel="0" collapsed="false">
      <c r="A35" s="13" t="n">
        <v>34</v>
      </c>
      <c r="B35" s="13" t="s">
        <v>478</v>
      </c>
      <c r="C35" s="13" t="s">
        <v>31</v>
      </c>
      <c r="D35" s="13" t="s">
        <v>479</v>
      </c>
      <c r="E35" s="13" t="s">
        <v>480</v>
      </c>
      <c r="F35" s="13" t="s">
        <v>50</v>
      </c>
      <c r="G35" s="13" t="s">
        <v>481</v>
      </c>
      <c r="H35" s="13" t="s">
        <v>252</v>
      </c>
      <c r="I35" s="13" t="s">
        <v>253</v>
      </c>
      <c r="J35" s="13" t="s">
        <v>23</v>
      </c>
      <c r="K35" s="13" t="s">
        <v>254</v>
      </c>
      <c r="L35" s="13" t="s">
        <v>482</v>
      </c>
      <c r="M35" s="13" t="s">
        <v>483</v>
      </c>
      <c r="N35" s="13"/>
      <c r="O35" s="13"/>
      <c r="P35" s="13" t="s">
        <v>88</v>
      </c>
      <c r="Q35" s="13"/>
      <c r="R35" s="13" t="s">
        <v>113</v>
      </c>
      <c r="S35" s="13" t="s">
        <v>484</v>
      </c>
      <c r="T35" s="13" t="s">
        <v>485</v>
      </c>
      <c r="U35" s="13" t="s">
        <v>475</v>
      </c>
      <c r="V35" s="13" t="s">
        <v>476</v>
      </c>
      <c r="W35" s="13"/>
      <c r="X35" s="13" t="s">
        <v>202</v>
      </c>
      <c r="Y35" s="13"/>
      <c r="Z35" s="13" t="s">
        <v>486</v>
      </c>
      <c r="AA35" s="14" t="s">
        <v>190</v>
      </c>
      <c r="AB35" s="15" t="s">
        <v>191</v>
      </c>
      <c r="AC35" s="15"/>
      <c r="AD35" s="15"/>
    </row>
    <row r="36" customFormat="false" ht="32.8" hidden="false" customHeight="false" outlineLevel="0" collapsed="false">
      <c r="A36" s="13" t="n">
        <v>35</v>
      </c>
      <c r="B36" s="13" t="s">
        <v>487</v>
      </c>
      <c r="C36" s="13" t="s">
        <v>31</v>
      </c>
      <c r="D36" s="13" t="s">
        <v>454</v>
      </c>
      <c r="E36" s="13" t="s">
        <v>488</v>
      </c>
      <c r="F36" s="13" t="s">
        <v>50</v>
      </c>
      <c r="G36" s="13" t="s">
        <v>489</v>
      </c>
      <c r="H36" s="13" t="s">
        <v>252</v>
      </c>
      <c r="I36" s="13" t="s">
        <v>179</v>
      </c>
      <c r="J36" s="13" t="s">
        <v>24</v>
      </c>
      <c r="K36" s="13" t="s">
        <v>254</v>
      </c>
      <c r="L36" s="13" t="s">
        <v>490</v>
      </c>
      <c r="M36" s="13" t="s">
        <v>491</v>
      </c>
      <c r="N36" s="13"/>
      <c r="O36" s="13"/>
      <c r="P36" s="13" t="s">
        <v>88</v>
      </c>
      <c r="Q36" s="13"/>
      <c r="R36" s="13" t="s">
        <v>106</v>
      </c>
      <c r="S36" s="13"/>
      <c r="T36" s="13" t="s">
        <v>459</v>
      </c>
      <c r="U36" s="13" t="s">
        <v>492</v>
      </c>
      <c r="V36" s="13" t="s">
        <v>493</v>
      </c>
      <c r="W36" s="13" t="s">
        <v>462</v>
      </c>
      <c r="X36" s="13" t="s">
        <v>202</v>
      </c>
      <c r="Y36" s="13"/>
      <c r="Z36" s="13" t="s">
        <v>494</v>
      </c>
      <c r="AA36" s="14" t="s">
        <v>190</v>
      </c>
      <c r="AB36" s="15" t="s">
        <v>191</v>
      </c>
      <c r="AC36" s="15"/>
      <c r="AD36" s="15"/>
    </row>
    <row r="37" customFormat="false" ht="32.8" hidden="false" customHeight="false" outlineLevel="0" collapsed="false">
      <c r="A37" s="13" t="n">
        <v>36</v>
      </c>
      <c r="B37" s="13" t="s">
        <v>495</v>
      </c>
      <c r="C37" s="13" t="s">
        <v>31</v>
      </c>
      <c r="D37" s="13" t="s">
        <v>496</v>
      </c>
      <c r="E37" s="13" t="s">
        <v>497</v>
      </c>
      <c r="F37" s="13" t="s">
        <v>50</v>
      </c>
      <c r="G37" s="13" t="s">
        <v>498</v>
      </c>
      <c r="H37" s="13" t="s">
        <v>252</v>
      </c>
      <c r="I37" s="13" t="s">
        <v>179</v>
      </c>
      <c r="J37" s="13" t="s">
        <v>25</v>
      </c>
      <c r="K37" s="13" t="s">
        <v>254</v>
      </c>
      <c r="L37" s="13" t="s">
        <v>499</v>
      </c>
      <c r="M37" s="13" t="s">
        <v>500</v>
      </c>
      <c r="N37" s="13"/>
      <c r="O37" s="13"/>
      <c r="P37" s="13"/>
      <c r="Q37" s="13"/>
      <c r="R37" s="13" t="s">
        <v>120</v>
      </c>
      <c r="S37" s="13" t="s">
        <v>123</v>
      </c>
      <c r="T37" s="13"/>
      <c r="U37" s="13" t="s">
        <v>184</v>
      </c>
      <c r="V37" s="13" t="s">
        <v>236</v>
      </c>
      <c r="W37" s="13"/>
      <c r="X37" s="13" t="s">
        <v>202</v>
      </c>
      <c r="Y37" s="13"/>
      <c r="Z37" s="13" t="s">
        <v>501</v>
      </c>
      <c r="AA37" s="14" t="s">
        <v>190</v>
      </c>
      <c r="AB37" s="15" t="s">
        <v>191</v>
      </c>
      <c r="AC37" s="15"/>
      <c r="AD37" s="15"/>
    </row>
    <row r="38" customFormat="false" ht="32.8" hidden="false" customHeight="false" outlineLevel="0" collapsed="false">
      <c r="A38" s="13" t="n">
        <v>37</v>
      </c>
      <c r="B38" s="13" t="s">
        <v>502</v>
      </c>
      <c r="C38" s="13" t="s">
        <v>31</v>
      </c>
      <c r="D38" s="13" t="s">
        <v>503</v>
      </c>
      <c r="E38" s="13" t="s">
        <v>504</v>
      </c>
      <c r="F38" s="13" t="s">
        <v>50</v>
      </c>
      <c r="G38" s="13" t="s">
        <v>505</v>
      </c>
      <c r="H38" s="13" t="s">
        <v>252</v>
      </c>
      <c r="I38" s="13" t="s">
        <v>179</v>
      </c>
      <c r="J38" s="13" t="s">
        <v>23</v>
      </c>
      <c r="K38" s="13" t="s">
        <v>254</v>
      </c>
      <c r="L38" s="13" t="s">
        <v>482</v>
      </c>
      <c r="M38" s="13" t="s">
        <v>506</v>
      </c>
      <c r="N38" s="13"/>
      <c r="O38" s="13"/>
      <c r="P38" s="13" t="s">
        <v>79</v>
      </c>
      <c r="Q38" s="13"/>
      <c r="R38" s="13" t="s">
        <v>110</v>
      </c>
      <c r="S38" s="13" t="s">
        <v>128</v>
      </c>
      <c r="T38" s="13" t="s">
        <v>507</v>
      </c>
      <c r="U38" s="13" t="s">
        <v>508</v>
      </c>
      <c r="V38" s="13" t="s">
        <v>509</v>
      </c>
      <c r="W38" s="13"/>
      <c r="X38" s="13" t="s">
        <v>202</v>
      </c>
      <c r="Y38" s="13"/>
      <c r="Z38" s="13" t="s">
        <v>510</v>
      </c>
      <c r="AA38" s="14" t="s">
        <v>190</v>
      </c>
      <c r="AB38" s="15" t="s">
        <v>191</v>
      </c>
      <c r="AC38" s="15"/>
      <c r="AD38" s="15"/>
    </row>
    <row r="39" customFormat="false" ht="32.8" hidden="false" customHeight="false" outlineLevel="0" collapsed="false">
      <c r="A39" s="13" t="n">
        <v>38</v>
      </c>
      <c r="B39" s="13" t="s">
        <v>511</v>
      </c>
      <c r="C39" s="13" t="s">
        <v>31</v>
      </c>
      <c r="D39" s="13" t="s">
        <v>503</v>
      </c>
      <c r="E39" s="13" t="s">
        <v>512</v>
      </c>
      <c r="F39" s="13" t="s">
        <v>50</v>
      </c>
      <c r="G39" s="13" t="s">
        <v>513</v>
      </c>
      <c r="H39" s="13" t="s">
        <v>252</v>
      </c>
      <c r="I39" s="13" t="s">
        <v>179</v>
      </c>
      <c r="J39" s="13" t="s">
        <v>23</v>
      </c>
      <c r="K39" s="13" t="s">
        <v>254</v>
      </c>
      <c r="L39" s="13" t="s">
        <v>482</v>
      </c>
      <c r="M39" s="13" t="s">
        <v>514</v>
      </c>
      <c r="N39" s="13"/>
      <c r="O39" s="13"/>
      <c r="P39" s="13" t="s">
        <v>79</v>
      </c>
      <c r="Q39" s="13"/>
      <c r="R39" s="13" t="s">
        <v>110</v>
      </c>
      <c r="S39" s="13" t="s">
        <v>128</v>
      </c>
      <c r="T39" s="13" t="s">
        <v>507</v>
      </c>
      <c r="U39" s="13" t="s">
        <v>515</v>
      </c>
      <c r="V39" s="13" t="s">
        <v>509</v>
      </c>
      <c r="W39" s="13"/>
      <c r="X39" s="13" t="s">
        <v>202</v>
      </c>
      <c r="Y39" s="13"/>
      <c r="Z39" s="13" t="s">
        <v>516</v>
      </c>
      <c r="AA39" s="14" t="s">
        <v>190</v>
      </c>
      <c r="AB39" s="15" t="s">
        <v>191</v>
      </c>
      <c r="AC39" s="15"/>
      <c r="AD39" s="15"/>
    </row>
    <row r="40" customFormat="false" ht="32.8" hidden="false" customHeight="false" outlineLevel="0" collapsed="false">
      <c r="A40" s="13" t="n">
        <v>39</v>
      </c>
      <c r="B40" s="13" t="s">
        <v>517</v>
      </c>
      <c r="C40" s="13" t="s">
        <v>31</v>
      </c>
      <c r="D40" s="13" t="s">
        <v>503</v>
      </c>
      <c r="E40" s="13" t="s">
        <v>518</v>
      </c>
      <c r="F40" s="13" t="s">
        <v>50</v>
      </c>
      <c r="G40" s="13" t="s">
        <v>519</v>
      </c>
      <c r="H40" s="13" t="s">
        <v>252</v>
      </c>
      <c r="I40" s="13" t="s">
        <v>253</v>
      </c>
      <c r="J40" s="13" t="s">
        <v>24</v>
      </c>
      <c r="K40" s="13" t="s">
        <v>254</v>
      </c>
      <c r="L40" s="13" t="s">
        <v>482</v>
      </c>
      <c r="M40" s="13" t="s">
        <v>520</v>
      </c>
      <c r="N40" s="13"/>
      <c r="O40" s="13"/>
      <c r="P40" s="13" t="s">
        <v>79</v>
      </c>
      <c r="Q40" s="13"/>
      <c r="R40" s="13" t="s">
        <v>110</v>
      </c>
      <c r="S40" s="13" t="s">
        <v>128</v>
      </c>
      <c r="T40" s="13" t="s">
        <v>507</v>
      </c>
      <c r="U40" s="13" t="s">
        <v>515</v>
      </c>
      <c r="V40" s="13" t="s">
        <v>353</v>
      </c>
      <c r="W40" s="13"/>
      <c r="X40" s="13" t="s">
        <v>202</v>
      </c>
      <c r="Y40" s="13"/>
      <c r="Z40" s="13" t="s">
        <v>521</v>
      </c>
      <c r="AA40" s="14" t="s">
        <v>190</v>
      </c>
      <c r="AB40" s="15" t="s">
        <v>191</v>
      </c>
      <c r="AC40" s="15"/>
      <c r="AD40" s="15"/>
    </row>
    <row r="41" customFormat="false" ht="32.8" hidden="false" customHeight="false" outlineLevel="0" collapsed="false">
      <c r="A41" s="13" t="n">
        <v>40</v>
      </c>
      <c r="B41" s="13" t="s">
        <v>522</v>
      </c>
      <c r="C41" s="13" t="s">
        <v>31</v>
      </c>
      <c r="D41" s="13" t="s">
        <v>523</v>
      </c>
      <c r="E41" s="13" t="s">
        <v>524</v>
      </c>
      <c r="F41" s="13" t="s">
        <v>50</v>
      </c>
      <c r="G41" s="13" t="s">
        <v>525</v>
      </c>
      <c r="H41" s="13" t="s">
        <v>252</v>
      </c>
      <c r="I41" s="13" t="s">
        <v>253</v>
      </c>
      <c r="J41" s="13" t="s">
        <v>23</v>
      </c>
      <c r="K41" s="13" t="s">
        <v>254</v>
      </c>
      <c r="L41" s="13" t="s">
        <v>276</v>
      </c>
      <c r="M41" s="13" t="s">
        <v>526</v>
      </c>
      <c r="N41" s="13"/>
      <c r="O41" s="13"/>
      <c r="P41" s="13"/>
      <c r="Q41" s="13"/>
      <c r="R41" s="13" t="s">
        <v>121</v>
      </c>
      <c r="S41" s="13" t="s">
        <v>125</v>
      </c>
      <c r="T41" s="13" t="s">
        <v>527</v>
      </c>
      <c r="U41" s="13" t="s">
        <v>528</v>
      </c>
      <c r="V41" s="13" t="s">
        <v>529</v>
      </c>
      <c r="W41" s="13"/>
      <c r="X41" s="13" t="s">
        <v>187</v>
      </c>
      <c r="Y41" s="13" t="s">
        <v>530</v>
      </c>
      <c r="Z41" s="13" t="s">
        <v>531</v>
      </c>
      <c r="AA41" s="14" t="s">
        <v>190</v>
      </c>
      <c r="AB41" s="15" t="s">
        <v>191</v>
      </c>
      <c r="AC41" s="15"/>
      <c r="AD41" s="15"/>
    </row>
    <row r="42" customFormat="false" ht="32.8" hidden="false" customHeight="false" outlineLevel="0" collapsed="false">
      <c r="A42" s="13" t="n">
        <v>41</v>
      </c>
      <c r="B42" s="13" t="s">
        <v>532</v>
      </c>
      <c r="C42" s="13" t="s">
        <v>31</v>
      </c>
      <c r="D42" s="13" t="s">
        <v>523</v>
      </c>
      <c r="E42" s="13" t="s">
        <v>533</v>
      </c>
      <c r="F42" s="13" t="s">
        <v>50</v>
      </c>
      <c r="G42" s="13" t="s">
        <v>534</v>
      </c>
      <c r="H42" s="13" t="s">
        <v>252</v>
      </c>
      <c r="I42" s="13" t="s">
        <v>179</v>
      </c>
      <c r="J42" s="13" t="s">
        <v>24</v>
      </c>
      <c r="K42" s="13" t="s">
        <v>254</v>
      </c>
      <c r="L42" s="13" t="s">
        <v>276</v>
      </c>
      <c r="M42" s="13" t="s">
        <v>535</v>
      </c>
      <c r="N42" s="13"/>
      <c r="O42" s="13"/>
      <c r="P42" s="13"/>
      <c r="Q42" s="13"/>
      <c r="R42" s="13" t="s">
        <v>121</v>
      </c>
      <c r="S42" s="13" t="s">
        <v>125</v>
      </c>
      <c r="T42" s="13" t="s">
        <v>527</v>
      </c>
      <c r="U42" s="13" t="s">
        <v>536</v>
      </c>
      <c r="V42" s="13" t="s">
        <v>529</v>
      </c>
      <c r="W42" s="13"/>
      <c r="X42" s="13" t="s">
        <v>202</v>
      </c>
      <c r="Y42" s="13"/>
      <c r="Z42" s="13" t="s">
        <v>537</v>
      </c>
      <c r="AA42" s="14" t="s">
        <v>190</v>
      </c>
      <c r="AB42" s="15" t="s">
        <v>191</v>
      </c>
      <c r="AC42" s="15"/>
      <c r="AD42" s="15"/>
    </row>
    <row r="43" customFormat="false" ht="32.8" hidden="false" customHeight="false" outlineLevel="0" collapsed="false">
      <c r="A43" s="13" t="n">
        <v>42</v>
      </c>
      <c r="B43" s="13" t="s">
        <v>538</v>
      </c>
      <c r="C43" s="13" t="s">
        <v>31</v>
      </c>
      <c r="D43" s="13" t="s">
        <v>523</v>
      </c>
      <c r="E43" s="13" t="s">
        <v>539</v>
      </c>
      <c r="F43" s="13" t="s">
        <v>50</v>
      </c>
      <c r="G43" s="13" t="s">
        <v>540</v>
      </c>
      <c r="H43" s="13" t="s">
        <v>252</v>
      </c>
      <c r="I43" s="13" t="s">
        <v>179</v>
      </c>
      <c r="J43" s="13" t="s">
        <v>24</v>
      </c>
      <c r="K43" s="13" t="s">
        <v>254</v>
      </c>
      <c r="L43" s="13" t="s">
        <v>276</v>
      </c>
      <c r="M43" s="13" t="s">
        <v>541</v>
      </c>
      <c r="N43" s="13"/>
      <c r="O43" s="13"/>
      <c r="P43" s="13"/>
      <c r="Q43" s="13"/>
      <c r="R43" s="13" t="s">
        <v>121</v>
      </c>
      <c r="S43" s="13" t="s">
        <v>125</v>
      </c>
      <c r="T43" s="13" t="s">
        <v>527</v>
      </c>
      <c r="U43" s="13" t="s">
        <v>536</v>
      </c>
      <c r="V43" s="13" t="s">
        <v>529</v>
      </c>
      <c r="W43" s="13"/>
      <c r="X43" s="13" t="s">
        <v>202</v>
      </c>
      <c r="Y43" s="13"/>
      <c r="Z43" s="13" t="s">
        <v>542</v>
      </c>
      <c r="AA43" s="14" t="s">
        <v>190</v>
      </c>
      <c r="AB43" s="15" t="s">
        <v>191</v>
      </c>
      <c r="AC43" s="15"/>
      <c r="AD43" s="15"/>
    </row>
    <row r="44" customFormat="false" ht="32.8" hidden="false" customHeight="false" outlineLevel="0" collapsed="false">
      <c r="A44" s="13" t="n">
        <v>43</v>
      </c>
      <c r="B44" s="13" t="s">
        <v>543</v>
      </c>
      <c r="C44" s="13" t="s">
        <v>31</v>
      </c>
      <c r="D44" s="13" t="s">
        <v>523</v>
      </c>
      <c r="E44" s="13" t="s">
        <v>544</v>
      </c>
      <c r="F44" s="13" t="s">
        <v>50</v>
      </c>
      <c r="G44" s="13" t="s">
        <v>545</v>
      </c>
      <c r="H44" s="13" t="s">
        <v>252</v>
      </c>
      <c r="I44" s="13" t="s">
        <v>179</v>
      </c>
      <c r="J44" s="13" t="s">
        <v>23</v>
      </c>
      <c r="K44" s="13" t="s">
        <v>254</v>
      </c>
      <c r="L44" s="13" t="s">
        <v>276</v>
      </c>
      <c r="M44" s="13" t="s">
        <v>546</v>
      </c>
      <c r="N44" s="13"/>
      <c r="O44" s="13"/>
      <c r="P44" s="13"/>
      <c r="Q44" s="13"/>
      <c r="R44" s="13" t="s">
        <v>121</v>
      </c>
      <c r="S44" s="13" t="s">
        <v>125</v>
      </c>
      <c r="T44" s="13" t="s">
        <v>527</v>
      </c>
      <c r="U44" s="13" t="s">
        <v>536</v>
      </c>
      <c r="V44" s="13" t="s">
        <v>529</v>
      </c>
      <c r="W44" s="13"/>
      <c r="X44" s="13" t="s">
        <v>202</v>
      </c>
      <c r="Y44" s="13"/>
      <c r="Z44" s="13" t="s">
        <v>547</v>
      </c>
      <c r="AA44" s="14" t="s">
        <v>190</v>
      </c>
      <c r="AB44" s="15" t="s">
        <v>191</v>
      </c>
      <c r="AC44" s="15"/>
      <c r="AD44" s="15"/>
    </row>
    <row r="45" customFormat="false" ht="32.8" hidden="false" customHeight="false" outlineLevel="0" collapsed="false">
      <c r="A45" s="13" t="n">
        <v>44</v>
      </c>
      <c r="B45" s="13" t="s">
        <v>548</v>
      </c>
      <c r="C45" s="13" t="s">
        <v>31</v>
      </c>
      <c r="D45" s="13" t="s">
        <v>523</v>
      </c>
      <c r="E45" s="13" t="s">
        <v>549</v>
      </c>
      <c r="F45" s="13" t="s">
        <v>50</v>
      </c>
      <c r="G45" s="13" t="s">
        <v>550</v>
      </c>
      <c r="H45" s="13" t="s">
        <v>252</v>
      </c>
      <c r="I45" s="13" t="s">
        <v>253</v>
      </c>
      <c r="J45" s="13" t="s">
        <v>24</v>
      </c>
      <c r="K45" s="13" t="s">
        <v>254</v>
      </c>
      <c r="L45" s="13" t="s">
        <v>276</v>
      </c>
      <c r="M45" s="13" t="s">
        <v>551</v>
      </c>
      <c r="N45" s="13"/>
      <c r="O45" s="13"/>
      <c r="P45" s="13"/>
      <c r="Q45" s="13"/>
      <c r="R45" s="13" t="s">
        <v>121</v>
      </c>
      <c r="S45" s="13" t="s">
        <v>125</v>
      </c>
      <c r="T45" s="13" t="s">
        <v>527</v>
      </c>
      <c r="U45" s="13" t="s">
        <v>536</v>
      </c>
      <c r="V45" s="13" t="s">
        <v>552</v>
      </c>
      <c r="W45" s="13"/>
      <c r="X45" s="13" t="s">
        <v>202</v>
      </c>
      <c r="Y45" s="13"/>
      <c r="Z45" s="13" t="s">
        <v>553</v>
      </c>
      <c r="AA45" s="14" t="s">
        <v>190</v>
      </c>
      <c r="AB45" s="15" t="s">
        <v>191</v>
      </c>
      <c r="AC45" s="15"/>
      <c r="AD45" s="15"/>
    </row>
    <row r="46" customFormat="false" ht="32.8" hidden="false" customHeight="false" outlineLevel="0" collapsed="false">
      <c r="A46" s="13" t="n">
        <v>45</v>
      </c>
      <c r="B46" s="13" t="s">
        <v>554</v>
      </c>
      <c r="C46" s="13" t="s">
        <v>31</v>
      </c>
      <c r="D46" s="13" t="s">
        <v>479</v>
      </c>
      <c r="E46" s="13" t="s">
        <v>555</v>
      </c>
      <c r="F46" s="13" t="s">
        <v>50</v>
      </c>
      <c r="G46" s="13" t="s">
        <v>556</v>
      </c>
      <c r="H46" s="13" t="s">
        <v>252</v>
      </c>
      <c r="I46" s="13" t="s">
        <v>253</v>
      </c>
      <c r="J46" s="13" t="s">
        <v>23</v>
      </c>
      <c r="K46" s="13" t="s">
        <v>254</v>
      </c>
      <c r="L46" s="13" t="s">
        <v>482</v>
      </c>
      <c r="M46" s="13" t="s">
        <v>557</v>
      </c>
      <c r="N46" s="13"/>
      <c r="O46" s="13"/>
      <c r="P46" s="13" t="s">
        <v>88</v>
      </c>
      <c r="Q46" s="13"/>
      <c r="R46" s="13" t="s">
        <v>113</v>
      </c>
      <c r="S46" s="13" t="s">
        <v>127</v>
      </c>
      <c r="T46" s="13" t="s">
        <v>485</v>
      </c>
      <c r="U46" s="13" t="s">
        <v>475</v>
      </c>
      <c r="V46" s="13" t="s">
        <v>476</v>
      </c>
      <c r="W46" s="13"/>
      <c r="X46" s="13" t="s">
        <v>187</v>
      </c>
      <c r="Y46" s="13" t="s">
        <v>558</v>
      </c>
      <c r="Z46" s="13" t="s">
        <v>559</v>
      </c>
      <c r="AA46" s="14" t="s">
        <v>190</v>
      </c>
      <c r="AB46" s="15" t="s">
        <v>191</v>
      </c>
      <c r="AC46" s="15"/>
      <c r="AD46" s="15"/>
    </row>
    <row r="47" customFormat="false" ht="32.8" hidden="false" customHeight="false" outlineLevel="0" collapsed="false">
      <c r="A47" s="13" t="n">
        <v>46</v>
      </c>
      <c r="B47" s="13" t="s">
        <v>560</v>
      </c>
      <c r="C47" s="13" t="s">
        <v>31</v>
      </c>
      <c r="D47" s="13" t="s">
        <v>561</v>
      </c>
      <c r="E47" s="13" t="s">
        <v>562</v>
      </c>
      <c r="F47" s="13" t="s">
        <v>50</v>
      </c>
      <c r="G47" s="13" t="s">
        <v>563</v>
      </c>
      <c r="H47" s="13" t="s">
        <v>252</v>
      </c>
      <c r="I47" s="13" t="s">
        <v>253</v>
      </c>
      <c r="J47" s="13" t="s">
        <v>23</v>
      </c>
      <c r="K47" s="13" t="s">
        <v>254</v>
      </c>
      <c r="L47" s="13" t="s">
        <v>482</v>
      </c>
      <c r="M47" s="13" t="s">
        <v>564</v>
      </c>
      <c r="N47" s="13"/>
      <c r="O47" s="13"/>
      <c r="P47" s="13" t="s">
        <v>79</v>
      </c>
      <c r="Q47" s="13"/>
      <c r="R47" s="13" t="s">
        <v>121</v>
      </c>
      <c r="S47" s="13" t="s">
        <v>125</v>
      </c>
      <c r="T47" s="13" t="s">
        <v>425</v>
      </c>
      <c r="U47" s="13" t="s">
        <v>565</v>
      </c>
      <c r="V47" s="13" t="s">
        <v>353</v>
      </c>
      <c r="W47" s="13"/>
      <c r="X47" s="13" t="s">
        <v>202</v>
      </c>
      <c r="Y47" s="13"/>
      <c r="Z47" s="13" t="s">
        <v>566</v>
      </c>
      <c r="AA47" s="14" t="s">
        <v>190</v>
      </c>
      <c r="AB47" s="15" t="s">
        <v>191</v>
      </c>
      <c r="AC47" s="15"/>
      <c r="AD47" s="15"/>
    </row>
    <row r="48" customFormat="false" ht="32.8" hidden="false" customHeight="false" outlineLevel="0" collapsed="false">
      <c r="A48" s="13" t="n">
        <v>47</v>
      </c>
      <c r="B48" s="13" t="s">
        <v>567</v>
      </c>
      <c r="C48" s="13" t="s">
        <v>31</v>
      </c>
      <c r="D48" s="13" t="s">
        <v>568</v>
      </c>
      <c r="E48" s="13" t="s">
        <v>569</v>
      </c>
      <c r="F48" s="13" t="s">
        <v>50</v>
      </c>
      <c r="G48" s="13" t="s">
        <v>570</v>
      </c>
      <c r="H48" s="13" t="s">
        <v>571</v>
      </c>
      <c r="I48" s="13" t="s">
        <v>572</v>
      </c>
      <c r="J48" s="13" t="s">
        <v>26</v>
      </c>
      <c r="K48" s="13" t="s">
        <v>254</v>
      </c>
      <c r="L48" s="13" t="s">
        <v>573</v>
      </c>
      <c r="M48" s="13" t="s">
        <v>574</v>
      </c>
      <c r="N48" s="13"/>
      <c r="O48" s="13"/>
      <c r="P48" s="13" t="s">
        <v>79</v>
      </c>
      <c r="Q48" s="13"/>
      <c r="R48" s="13" t="s">
        <v>121</v>
      </c>
      <c r="S48" s="13" t="s">
        <v>575</v>
      </c>
      <c r="T48" s="13"/>
      <c r="U48" s="13" t="s">
        <v>576</v>
      </c>
      <c r="V48" s="13" t="s">
        <v>353</v>
      </c>
      <c r="W48" s="13"/>
      <c r="X48" s="13" t="s">
        <v>202</v>
      </c>
      <c r="Y48" s="13"/>
      <c r="Z48" s="13" t="s">
        <v>577</v>
      </c>
      <c r="AA48" s="14" t="s">
        <v>190</v>
      </c>
      <c r="AB48" s="15" t="s">
        <v>191</v>
      </c>
      <c r="AC48" s="15"/>
      <c r="AD48" s="15"/>
    </row>
    <row r="49" customFormat="false" ht="32.8" hidden="false" customHeight="false" outlineLevel="0" collapsed="false">
      <c r="A49" s="13" t="n">
        <v>48</v>
      </c>
      <c r="B49" s="13" t="s">
        <v>578</v>
      </c>
      <c r="C49" s="13" t="s">
        <v>31</v>
      </c>
      <c r="D49" s="13" t="s">
        <v>579</v>
      </c>
      <c r="E49" s="13" t="s">
        <v>580</v>
      </c>
      <c r="F49" s="13" t="s">
        <v>50</v>
      </c>
      <c r="G49" s="13" t="s">
        <v>581</v>
      </c>
      <c r="H49" s="13" t="s">
        <v>571</v>
      </c>
      <c r="I49" s="13" t="s">
        <v>179</v>
      </c>
      <c r="J49" s="13" t="s">
        <v>23</v>
      </c>
      <c r="K49" s="13" t="s">
        <v>254</v>
      </c>
      <c r="L49" s="13" t="s">
        <v>573</v>
      </c>
      <c r="M49" s="13" t="s">
        <v>582</v>
      </c>
      <c r="N49" s="13"/>
      <c r="O49" s="13"/>
      <c r="P49" s="13" t="s">
        <v>79</v>
      </c>
      <c r="Q49" s="13"/>
      <c r="R49" s="13" t="s">
        <v>121</v>
      </c>
      <c r="S49" s="13" t="s">
        <v>123</v>
      </c>
      <c r="T49" s="13"/>
      <c r="U49" s="13" t="s">
        <v>565</v>
      </c>
      <c r="V49" s="13" t="s">
        <v>353</v>
      </c>
      <c r="W49" s="13"/>
      <c r="X49" s="13" t="s">
        <v>202</v>
      </c>
      <c r="Y49" s="13"/>
      <c r="Z49" s="13" t="s">
        <v>583</v>
      </c>
      <c r="AA49" s="14" t="s">
        <v>190</v>
      </c>
      <c r="AB49" s="15" t="s">
        <v>191</v>
      </c>
      <c r="AC49" s="15"/>
      <c r="AD49" s="15"/>
    </row>
    <row r="50" customFormat="false" ht="32.8" hidden="false" customHeight="false" outlineLevel="0" collapsed="false">
      <c r="A50" s="13" t="n">
        <v>49</v>
      </c>
      <c r="B50" s="13" t="s">
        <v>584</v>
      </c>
      <c r="C50" s="13" t="s">
        <v>31</v>
      </c>
      <c r="D50" s="13" t="s">
        <v>579</v>
      </c>
      <c r="E50" s="13" t="s">
        <v>585</v>
      </c>
      <c r="F50" s="13" t="s">
        <v>50</v>
      </c>
      <c r="G50" s="13" t="s">
        <v>586</v>
      </c>
      <c r="H50" s="13" t="s">
        <v>571</v>
      </c>
      <c r="I50" s="13" t="s">
        <v>179</v>
      </c>
      <c r="J50" s="13" t="s">
        <v>23</v>
      </c>
      <c r="K50" s="13" t="s">
        <v>254</v>
      </c>
      <c r="L50" s="13" t="s">
        <v>573</v>
      </c>
      <c r="M50" s="13" t="s">
        <v>587</v>
      </c>
      <c r="N50" s="13"/>
      <c r="O50" s="13"/>
      <c r="P50" s="13" t="s">
        <v>79</v>
      </c>
      <c r="Q50" s="13"/>
      <c r="R50" s="13" t="s">
        <v>121</v>
      </c>
      <c r="S50" s="13" t="s">
        <v>123</v>
      </c>
      <c r="T50" s="13"/>
      <c r="U50" s="13" t="s">
        <v>565</v>
      </c>
      <c r="V50" s="13" t="s">
        <v>353</v>
      </c>
      <c r="W50" s="13"/>
      <c r="X50" s="13" t="s">
        <v>202</v>
      </c>
      <c r="Y50" s="13"/>
      <c r="Z50" s="13" t="s">
        <v>588</v>
      </c>
      <c r="AA50" s="14" t="s">
        <v>190</v>
      </c>
      <c r="AB50" s="15" t="s">
        <v>191</v>
      </c>
      <c r="AC50" s="15"/>
      <c r="AD50" s="15"/>
    </row>
    <row r="51" customFormat="false" ht="32.8" hidden="false" customHeight="false" outlineLevel="0" collapsed="false">
      <c r="A51" s="13" t="n">
        <v>50</v>
      </c>
      <c r="B51" s="13" t="s">
        <v>589</v>
      </c>
      <c r="C51" s="13" t="s">
        <v>31</v>
      </c>
      <c r="D51" s="13" t="s">
        <v>590</v>
      </c>
      <c r="E51" s="13" t="s">
        <v>591</v>
      </c>
      <c r="F51" s="13" t="s">
        <v>50</v>
      </c>
      <c r="G51" s="13" t="s">
        <v>592</v>
      </c>
      <c r="H51" s="13" t="s">
        <v>571</v>
      </c>
      <c r="I51" s="13" t="s">
        <v>179</v>
      </c>
      <c r="J51" s="13" t="s">
        <v>23</v>
      </c>
      <c r="K51" s="13" t="s">
        <v>254</v>
      </c>
      <c r="L51" s="13" t="s">
        <v>573</v>
      </c>
      <c r="M51" s="13" t="s">
        <v>593</v>
      </c>
      <c r="N51" s="13"/>
      <c r="O51" s="13"/>
      <c r="P51" s="13" t="s">
        <v>79</v>
      </c>
      <c r="Q51" s="13"/>
      <c r="R51" s="13" t="s">
        <v>121</v>
      </c>
      <c r="S51" s="13" t="s">
        <v>123</v>
      </c>
      <c r="T51" s="13"/>
      <c r="U51" s="13" t="s">
        <v>565</v>
      </c>
      <c r="V51" s="13" t="s">
        <v>353</v>
      </c>
      <c r="W51" s="13"/>
      <c r="X51" s="13" t="s">
        <v>202</v>
      </c>
      <c r="Y51" s="13"/>
      <c r="Z51" s="13" t="s">
        <v>594</v>
      </c>
      <c r="AA51" s="14" t="s">
        <v>190</v>
      </c>
      <c r="AB51" s="15" t="s">
        <v>191</v>
      </c>
      <c r="AC51" s="15"/>
      <c r="AD51" s="15"/>
    </row>
    <row r="52" customFormat="false" ht="32.8" hidden="false" customHeight="false" outlineLevel="0" collapsed="false">
      <c r="A52" s="13" t="n">
        <v>51</v>
      </c>
      <c r="B52" s="13" t="s">
        <v>595</v>
      </c>
      <c r="C52" s="13" t="s">
        <v>31</v>
      </c>
      <c r="D52" s="13" t="s">
        <v>590</v>
      </c>
      <c r="E52" s="13" t="s">
        <v>596</v>
      </c>
      <c r="F52" s="13" t="s">
        <v>50</v>
      </c>
      <c r="G52" s="13" t="s">
        <v>597</v>
      </c>
      <c r="H52" s="13" t="s">
        <v>571</v>
      </c>
      <c r="I52" s="13" t="s">
        <v>253</v>
      </c>
      <c r="J52" s="13" t="s">
        <v>24</v>
      </c>
      <c r="K52" s="13" t="s">
        <v>254</v>
      </c>
      <c r="L52" s="13" t="s">
        <v>573</v>
      </c>
      <c r="M52" s="13" t="s">
        <v>598</v>
      </c>
      <c r="N52" s="13"/>
      <c r="O52" s="13"/>
      <c r="P52" s="13" t="s">
        <v>79</v>
      </c>
      <c r="Q52" s="13"/>
      <c r="R52" s="13" t="s">
        <v>121</v>
      </c>
      <c r="S52" s="13" t="s">
        <v>123</v>
      </c>
      <c r="T52" s="13"/>
      <c r="U52" s="13" t="s">
        <v>565</v>
      </c>
      <c r="V52" s="13" t="s">
        <v>353</v>
      </c>
      <c r="W52" s="13"/>
      <c r="X52" s="13" t="s">
        <v>202</v>
      </c>
      <c r="Y52" s="13"/>
      <c r="Z52" s="13" t="s">
        <v>599</v>
      </c>
      <c r="AA52" s="14" t="s">
        <v>190</v>
      </c>
      <c r="AB52" s="15" t="s">
        <v>191</v>
      </c>
      <c r="AC52" s="15"/>
      <c r="AD52" s="15"/>
    </row>
    <row r="53" customFormat="false" ht="32.8" hidden="false" customHeight="false" outlineLevel="0" collapsed="false">
      <c r="A53" s="13" t="n">
        <v>52</v>
      </c>
      <c r="B53" s="13" t="s">
        <v>600</v>
      </c>
      <c r="C53" s="13" t="s">
        <v>31</v>
      </c>
      <c r="D53" s="13" t="s">
        <v>601</v>
      </c>
      <c r="E53" s="13" t="s">
        <v>602</v>
      </c>
      <c r="F53" s="13" t="s">
        <v>50</v>
      </c>
      <c r="G53" s="13" t="s">
        <v>603</v>
      </c>
      <c r="H53" s="13" t="s">
        <v>571</v>
      </c>
      <c r="I53" s="13" t="s">
        <v>179</v>
      </c>
      <c r="J53" s="13" t="s">
        <v>24</v>
      </c>
      <c r="K53" s="13" t="s">
        <v>254</v>
      </c>
      <c r="L53" s="13" t="s">
        <v>573</v>
      </c>
      <c r="M53" s="13" t="s">
        <v>604</v>
      </c>
      <c r="N53" s="13"/>
      <c r="O53" s="13"/>
      <c r="P53" s="13" t="s">
        <v>79</v>
      </c>
      <c r="Q53" s="13"/>
      <c r="R53" s="13" t="s">
        <v>121</v>
      </c>
      <c r="S53" s="13" t="s">
        <v>575</v>
      </c>
      <c r="T53" s="13"/>
      <c r="U53" s="13" t="s">
        <v>605</v>
      </c>
      <c r="V53" s="13" t="s">
        <v>353</v>
      </c>
      <c r="W53" s="13"/>
      <c r="X53" s="13" t="s">
        <v>202</v>
      </c>
      <c r="Y53" s="13"/>
      <c r="Z53" s="13" t="s">
        <v>606</v>
      </c>
      <c r="AA53" s="14" t="s">
        <v>190</v>
      </c>
      <c r="AB53" s="15" t="s">
        <v>191</v>
      </c>
      <c r="AC53" s="15"/>
      <c r="AD53" s="15"/>
    </row>
    <row r="54" customFormat="false" ht="32.8" hidden="false" customHeight="false" outlineLevel="0" collapsed="false">
      <c r="A54" s="13" t="n">
        <v>53</v>
      </c>
      <c r="B54" s="13" t="s">
        <v>607</v>
      </c>
      <c r="C54" s="13" t="s">
        <v>31</v>
      </c>
      <c r="D54" s="13" t="s">
        <v>608</v>
      </c>
      <c r="E54" s="13" t="s">
        <v>609</v>
      </c>
      <c r="F54" s="13" t="s">
        <v>50</v>
      </c>
      <c r="G54" s="13" t="s">
        <v>610</v>
      </c>
      <c r="H54" s="13" t="s">
        <v>611</v>
      </c>
      <c r="I54" s="13" t="s">
        <v>179</v>
      </c>
      <c r="J54" s="13" t="s">
        <v>24</v>
      </c>
      <c r="K54" s="13" t="s">
        <v>254</v>
      </c>
      <c r="L54" s="13" t="s">
        <v>573</v>
      </c>
      <c r="M54" s="13" t="s">
        <v>612</v>
      </c>
      <c r="N54" s="13"/>
      <c r="O54" s="13"/>
      <c r="P54" s="13" t="s">
        <v>79</v>
      </c>
      <c r="Q54" s="13"/>
      <c r="R54" s="13" t="s">
        <v>121</v>
      </c>
      <c r="S54" s="13" t="s">
        <v>123</v>
      </c>
      <c r="T54" s="13"/>
      <c r="U54" s="13" t="s">
        <v>565</v>
      </c>
      <c r="V54" s="13" t="s">
        <v>353</v>
      </c>
      <c r="W54" s="13"/>
      <c r="X54" s="13" t="s">
        <v>202</v>
      </c>
      <c r="Y54" s="13"/>
      <c r="Z54" s="13" t="s">
        <v>613</v>
      </c>
      <c r="AA54" s="14" t="s">
        <v>190</v>
      </c>
      <c r="AB54" s="15" t="s">
        <v>191</v>
      </c>
      <c r="AC54" s="15"/>
      <c r="AD54" s="15"/>
    </row>
    <row r="55" customFormat="false" ht="32.8" hidden="false" customHeight="false" outlineLevel="0" collapsed="false">
      <c r="A55" s="13" t="n">
        <v>54</v>
      </c>
      <c r="B55" s="13" t="s">
        <v>614</v>
      </c>
      <c r="C55" s="13" t="s">
        <v>31</v>
      </c>
      <c r="D55" s="13" t="s">
        <v>615</v>
      </c>
      <c r="E55" s="13" t="s">
        <v>616</v>
      </c>
      <c r="F55" s="13" t="s">
        <v>50</v>
      </c>
      <c r="G55" s="13" t="s">
        <v>617</v>
      </c>
      <c r="H55" s="13" t="s">
        <v>611</v>
      </c>
      <c r="I55" s="13" t="s">
        <v>179</v>
      </c>
      <c r="J55" s="13" t="s">
        <v>24</v>
      </c>
      <c r="K55" s="13" t="s">
        <v>254</v>
      </c>
      <c r="L55" s="13" t="s">
        <v>573</v>
      </c>
      <c r="M55" s="13" t="s">
        <v>618</v>
      </c>
      <c r="N55" s="13"/>
      <c r="O55" s="13"/>
      <c r="P55" s="13" t="s">
        <v>79</v>
      </c>
      <c r="Q55" s="13"/>
      <c r="R55" s="13" t="s">
        <v>121</v>
      </c>
      <c r="S55" s="13" t="s">
        <v>124</v>
      </c>
      <c r="T55" s="13"/>
      <c r="U55" s="13" t="s">
        <v>565</v>
      </c>
      <c r="V55" s="13" t="s">
        <v>353</v>
      </c>
      <c r="W55" s="13"/>
      <c r="X55" s="13" t="s">
        <v>187</v>
      </c>
      <c r="Y55" s="13" t="s">
        <v>619</v>
      </c>
      <c r="Z55" s="13" t="s">
        <v>620</v>
      </c>
      <c r="AA55" s="14" t="s">
        <v>190</v>
      </c>
      <c r="AB55" s="15" t="s">
        <v>191</v>
      </c>
      <c r="AC55" s="15"/>
      <c r="AD55" s="15"/>
    </row>
    <row r="56" customFormat="false" ht="32.8" hidden="false" customHeight="false" outlineLevel="0" collapsed="false">
      <c r="A56" s="13" t="n">
        <v>55</v>
      </c>
      <c r="B56" s="13" t="s">
        <v>621</v>
      </c>
      <c r="C56" s="13" t="s">
        <v>31</v>
      </c>
      <c r="D56" s="13" t="s">
        <v>615</v>
      </c>
      <c r="E56" s="13" t="s">
        <v>622</v>
      </c>
      <c r="F56" s="13" t="s">
        <v>50</v>
      </c>
      <c r="G56" s="13" t="s">
        <v>623</v>
      </c>
      <c r="H56" s="13" t="s">
        <v>611</v>
      </c>
      <c r="I56" s="13" t="s">
        <v>253</v>
      </c>
      <c r="J56" s="13" t="s">
        <v>25</v>
      </c>
      <c r="K56" s="13" t="s">
        <v>254</v>
      </c>
      <c r="L56" s="13" t="s">
        <v>573</v>
      </c>
      <c r="M56" s="13" t="s">
        <v>624</v>
      </c>
      <c r="N56" s="13"/>
      <c r="O56" s="13"/>
      <c r="P56" s="13" t="s">
        <v>79</v>
      </c>
      <c r="Q56" s="13"/>
      <c r="R56" s="13" t="s">
        <v>121</v>
      </c>
      <c r="S56" s="13" t="s">
        <v>124</v>
      </c>
      <c r="T56" s="13"/>
      <c r="U56" s="13" t="s">
        <v>565</v>
      </c>
      <c r="V56" s="13" t="s">
        <v>353</v>
      </c>
      <c r="W56" s="13"/>
      <c r="X56" s="13" t="s">
        <v>202</v>
      </c>
      <c r="Y56" s="13"/>
      <c r="Z56" s="13" t="s">
        <v>625</v>
      </c>
      <c r="AA56" s="14" t="s">
        <v>190</v>
      </c>
      <c r="AB56" s="15" t="s">
        <v>191</v>
      </c>
      <c r="AC56" s="15"/>
      <c r="AD56" s="15"/>
    </row>
    <row r="57" customFormat="false" ht="32.8" hidden="false" customHeight="false" outlineLevel="0" collapsed="false">
      <c r="A57" s="13" t="n">
        <v>56</v>
      </c>
      <c r="B57" s="13" t="s">
        <v>626</v>
      </c>
      <c r="C57" s="13" t="s">
        <v>31</v>
      </c>
      <c r="D57" s="13" t="s">
        <v>627</v>
      </c>
      <c r="E57" s="13" t="s">
        <v>628</v>
      </c>
      <c r="F57" s="13" t="s">
        <v>50</v>
      </c>
      <c r="G57" s="13" t="s">
        <v>629</v>
      </c>
      <c r="H57" s="13" t="s">
        <v>611</v>
      </c>
      <c r="I57" s="13" t="s">
        <v>179</v>
      </c>
      <c r="J57" s="13" t="s">
        <v>24</v>
      </c>
      <c r="K57" s="13" t="s">
        <v>254</v>
      </c>
      <c r="L57" s="13" t="s">
        <v>630</v>
      </c>
      <c r="M57" s="13" t="s">
        <v>631</v>
      </c>
      <c r="N57" s="13"/>
      <c r="O57" s="13"/>
      <c r="P57" s="13" t="s">
        <v>79</v>
      </c>
      <c r="Q57" s="13"/>
      <c r="R57" s="13" t="s">
        <v>121</v>
      </c>
      <c r="S57" s="13"/>
      <c r="T57" s="13"/>
      <c r="U57" s="13" t="s">
        <v>565</v>
      </c>
      <c r="V57" s="13" t="s">
        <v>353</v>
      </c>
      <c r="W57" s="13"/>
      <c r="X57" s="13" t="s">
        <v>202</v>
      </c>
      <c r="Y57" s="13"/>
      <c r="Z57" s="13" t="s">
        <v>632</v>
      </c>
      <c r="AA57" s="14" t="s">
        <v>190</v>
      </c>
      <c r="AB57" s="15" t="s">
        <v>191</v>
      </c>
      <c r="AC57" s="15"/>
      <c r="AD57" s="15"/>
    </row>
    <row r="58" customFormat="false" ht="32.8" hidden="false" customHeight="false" outlineLevel="0" collapsed="false">
      <c r="A58" s="13" t="n">
        <v>57</v>
      </c>
      <c r="B58" s="13" t="s">
        <v>633</v>
      </c>
      <c r="C58" s="13" t="s">
        <v>31</v>
      </c>
      <c r="D58" s="13" t="s">
        <v>590</v>
      </c>
      <c r="E58" s="13" t="s">
        <v>634</v>
      </c>
      <c r="F58" s="13" t="s">
        <v>50</v>
      </c>
      <c r="G58" s="13" t="s">
        <v>635</v>
      </c>
      <c r="H58" s="13" t="s">
        <v>611</v>
      </c>
      <c r="I58" s="13" t="s">
        <v>253</v>
      </c>
      <c r="J58" s="13" t="s">
        <v>25</v>
      </c>
      <c r="K58" s="13" t="s">
        <v>254</v>
      </c>
      <c r="L58" s="13" t="s">
        <v>630</v>
      </c>
      <c r="M58" s="13" t="s">
        <v>636</v>
      </c>
      <c r="N58" s="13"/>
      <c r="O58" s="13"/>
      <c r="P58" s="13" t="s">
        <v>79</v>
      </c>
      <c r="Q58" s="13"/>
      <c r="R58" s="13" t="s">
        <v>121</v>
      </c>
      <c r="S58" s="13"/>
      <c r="T58" s="13"/>
      <c r="U58" s="13" t="s">
        <v>565</v>
      </c>
      <c r="V58" s="13" t="s">
        <v>637</v>
      </c>
      <c r="W58" s="13"/>
      <c r="X58" s="13" t="s">
        <v>202</v>
      </c>
      <c r="Y58" s="13"/>
      <c r="Z58" s="13" t="s">
        <v>638</v>
      </c>
      <c r="AA58" s="14" t="s">
        <v>190</v>
      </c>
      <c r="AB58" s="15" t="s">
        <v>191</v>
      </c>
      <c r="AC58" s="15"/>
      <c r="AD58" s="15"/>
    </row>
    <row r="59" customFormat="false" ht="32.8" hidden="false" customHeight="false" outlineLevel="0" collapsed="false">
      <c r="A59" s="13" t="n">
        <v>58</v>
      </c>
      <c r="B59" s="13" t="s">
        <v>639</v>
      </c>
      <c r="C59" s="13" t="s">
        <v>31</v>
      </c>
      <c r="D59" s="13" t="s">
        <v>590</v>
      </c>
      <c r="E59" s="13" t="s">
        <v>640</v>
      </c>
      <c r="F59" s="13" t="s">
        <v>50</v>
      </c>
      <c r="G59" s="13" t="s">
        <v>641</v>
      </c>
      <c r="H59" s="13" t="s">
        <v>611</v>
      </c>
      <c r="I59" s="13" t="s">
        <v>179</v>
      </c>
      <c r="J59" s="13" t="s">
        <v>23</v>
      </c>
      <c r="K59" s="13" t="s">
        <v>254</v>
      </c>
      <c r="L59" s="13" t="s">
        <v>573</v>
      </c>
      <c r="M59" s="13" t="s">
        <v>642</v>
      </c>
      <c r="N59" s="13"/>
      <c r="O59" s="13"/>
      <c r="P59" s="13" t="s">
        <v>79</v>
      </c>
      <c r="Q59" s="13"/>
      <c r="R59" s="13" t="s">
        <v>121</v>
      </c>
      <c r="S59" s="13" t="s">
        <v>123</v>
      </c>
      <c r="T59" s="13"/>
      <c r="U59" s="13" t="s">
        <v>565</v>
      </c>
      <c r="V59" s="13" t="s">
        <v>353</v>
      </c>
      <c r="W59" s="13"/>
      <c r="X59" s="13" t="s">
        <v>202</v>
      </c>
      <c r="Y59" s="13"/>
      <c r="Z59" s="13" t="s">
        <v>643</v>
      </c>
      <c r="AA59" s="14" t="s">
        <v>190</v>
      </c>
      <c r="AB59" s="15" t="s">
        <v>191</v>
      </c>
      <c r="AC59" s="15"/>
      <c r="AD59" s="15"/>
    </row>
    <row r="60" customFormat="false" ht="32.8" hidden="false" customHeight="false" outlineLevel="0" collapsed="false">
      <c r="A60" s="13" t="n">
        <v>59</v>
      </c>
      <c r="B60" s="13" t="s">
        <v>644</v>
      </c>
      <c r="C60" s="13" t="s">
        <v>31</v>
      </c>
      <c r="D60" s="13" t="s">
        <v>645</v>
      </c>
      <c r="E60" s="13" t="s">
        <v>646</v>
      </c>
      <c r="F60" s="13" t="s">
        <v>50</v>
      </c>
      <c r="G60" s="13" t="s">
        <v>647</v>
      </c>
      <c r="H60" s="13" t="s">
        <v>611</v>
      </c>
      <c r="I60" s="13" t="s">
        <v>253</v>
      </c>
      <c r="J60" s="13" t="s">
        <v>25</v>
      </c>
      <c r="K60" s="13" t="s">
        <v>254</v>
      </c>
      <c r="L60" s="13" t="s">
        <v>630</v>
      </c>
      <c r="M60" s="13" t="s">
        <v>648</v>
      </c>
      <c r="N60" s="13"/>
      <c r="O60" s="13"/>
      <c r="P60" s="13" t="s">
        <v>79</v>
      </c>
      <c r="Q60" s="13"/>
      <c r="R60" s="13" t="s">
        <v>121</v>
      </c>
      <c r="S60" s="13"/>
      <c r="T60" s="13"/>
      <c r="U60" s="13" t="s">
        <v>565</v>
      </c>
      <c r="V60" s="13" t="s">
        <v>353</v>
      </c>
      <c r="W60" s="13"/>
      <c r="X60" s="13" t="s">
        <v>202</v>
      </c>
      <c r="Y60" s="13"/>
      <c r="Z60" s="13" t="s">
        <v>632</v>
      </c>
      <c r="AA60" s="14" t="s">
        <v>190</v>
      </c>
      <c r="AB60" s="15" t="s">
        <v>191</v>
      </c>
      <c r="AC60" s="15"/>
      <c r="AD60" s="15"/>
    </row>
    <row r="61" customFormat="false" ht="32.8" hidden="false" customHeight="false" outlineLevel="0" collapsed="false">
      <c r="A61" s="13" t="n">
        <v>60</v>
      </c>
      <c r="B61" s="13" t="s">
        <v>649</v>
      </c>
      <c r="C61" s="13" t="s">
        <v>31</v>
      </c>
      <c r="D61" s="13" t="s">
        <v>650</v>
      </c>
      <c r="E61" s="13" t="s">
        <v>651</v>
      </c>
      <c r="F61" s="13" t="s">
        <v>50</v>
      </c>
      <c r="G61" s="13" t="s">
        <v>652</v>
      </c>
      <c r="H61" s="13" t="s">
        <v>611</v>
      </c>
      <c r="I61" s="13" t="s">
        <v>253</v>
      </c>
      <c r="J61" s="13" t="s">
        <v>26</v>
      </c>
      <c r="K61" s="13" t="s">
        <v>254</v>
      </c>
      <c r="L61" s="13" t="s">
        <v>630</v>
      </c>
      <c r="M61" s="13" t="s">
        <v>653</v>
      </c>
      <c r="N61" s="13"/>
      <c r="O61" s="13"/>
      <c r="P61" s="13" t="s">
        <v>79</v>
      </c>
      <c r="Q61" s="13"/>
      <c r="R61" s="13" t="s">
        <v>121</v>
      </c>
      <c r="S61" s="13"/>
      <c r="T61" s="13"/>
      <c r="U61" s="13" t="s">
        <v>565</v>
      </c>
      <c r="V61" s="13" t="s">
        <v>353</v>
      </c>
      <c r="W61" s="13"/>
      <c r="X61" s="13" t="s">
        <v>202</v>
      </c>
      <c r="Y61" s="13"/>
      <c r="Z61" s="13" t="s">
        <v>654</v>
      </c>
      <c r="AA61" s="14" t="s">
        <v>190</v>
      </c>
      <c r="AB61" s="15" t="s">
        <v>191</v>
      </c>
      <c r="AC61" s="15"/>
      <c r="AD61" s="15"/>
    </row>
    <row r="62" customFormat="false" ht="32.8" hidden="false" customHeight="false" outlineLevel="0" collapsed="false">
      <c r="A62" s="13" t="n">
        <v>61</v>
      </c>
      <c r="B62" s="13" t="s">
        <v>655</v>
      </c>
      <c r="C62" s="13" t="s">
        <v>31</v>
      </c>
      <c r="D62" s="13" t="s">
        <v>656</v>
      </c>
      <c r="E62" s="13" t="s">
        <v>657</v>
      </c>
      <c r="F62" s="13" t="s">
        <v>50</v>
      </c>
      <c r="G62" s="13" t="s">
        <v>658</v>
      </c>
      <c r="H62" s="13" t="s">
        <v>659</v>
      </c>
      <c r="I62" s="13" t="s">
        <v>179</v>
      </c>
      <c r="J62" s="13" t="s">
        <v>23</v>
      </c>
      <c r="K62" s="13" t="s">
        <v>254</v>
      </c>
      <c r="L62" s="13" t="s">
        <v>482</v>
      </c>
      <c r="M62" s="13" t="s">
        <v>660</v>
      </c>
      <c r="N62" s="13"/>
      <c r="O62" s="13"/>
      <c r="P62" s="13" t="s">
        <v>79</v>
      </c>
      <c r="Q62" s="13"/>
      <c r="R62" s="13" t="s">
        <v>121</v>
      </c>
      <c r="S62" s="13" t="s">
        <v>125</v>
      </c>
      <c r="T62" s="13" t="s">
        <v>425</v>
      </c>
      <c r="U62" s="13" t="s">
        <v>565</v>
      </c>
      <c r="V62" s="13" t="s">
        <v>353</v>
      </c>
      <c r="W62" s="13"/>
      <c r="X62" s="13" t="s">
        <v>202</v>
      </c>
      <c r="Y62" s="13"/>
      <c r="Z62" s="13" t="s">
        <v>661</v>
      </c>
      <c r="AA62" s="14" t="s">
        <v>190</v>
      </c>
      <c r="AB62" s="15" t="s">
        <v>191</v>
      </c>
      <c r="AC62" s="15"/>
      <c r="AD62" s="15"/>
    </row>
    <row r="63" customFormat="false" ht="32.8" hidden="false" customHeight="false" outlineLevel="0" collapsed="false">
      <c r="A63" s="13" t="n">
        <v>62</v>
      </c>
      <c r="B63" s="13" t="s">
        <v>662</v>
      </c>
      <c r="C63" s="13" t="s">
        <v>31</v>
      </c>
      <c r="D63" s="13" t="s">
        <v>663</v>
      </c>
      <c r="E63" s="13" t="s">
        <v>664</v>
      </c>
      <c r="F63" s="13" t="s">
        <v>50</v>
      </c>
      <c r="G63" s="13" t="s">
        <v>665</v>
      </c>
      <c r="H63" s="13" t="s">
        <v>659</v>
      </c>
      <c r="I63" s="13" t="s">
        <v>253</v>
      </c>
      <c r="J63" s="13" t="s">
        <v>23</v>
      </c>
      <c r="K63" s="13" t="s">
        <v>254</v>
      </c>
      <c r="L63" s="13" t="s">
        <v>482</v>
      </c>
      <c r="M63" s="13" t="s">
        <v>666</v>
      </c>
      <c r="N63" s="13"/>
      <c r="O63" s="13"/>
      <c r="P63" s="13" t="s">
        <v>79</v>
      </c>
      <c r="Q63" s="13"/>
      <c r="R63" s="13" t="s">
        <v>121</v>
      </c>
      <c r="S63" s="13" t="s">
        <v>125</v>
      </c>
      <c r="T63" s="13" t="s">
        <v>425</v>
      </c>
      <c r="U63" s="13" t="s">
        <v>565</v>
      </c>
      <c r="V63" s="13" t="s">
        <v>353</v>
      </c>
      <c r="W63" s="13"/>
      <c r="X63" s="13" t="s">
        <v>202</v>
      </c>
      <c r="Y63" s="13"/>
      <c r="Z63" s="13" t="s">
        <v>667</v>
      </c>
      <c r="AA63" s="14" t="s">
        <v>190</v>
      </c>
      <c r="AB63" s="15" t="s">
        <v>191</v>
      </c>
      <c r="AC63" s="15"/>
      <c r="AD63" s="15"/>
    </row>
    <row r="64" customFormat="false" ht="32.8" hidden="false" customHeight="false" outlineLevel="0" collapsed="false">
      <c r="A64" s="13" t="n">
        <v>63</v>
      </c>
      <c r="B64" s="13" t="s">
        <v>668</v>
      </c>
      <c r="C64" s="13" t="s">
        <v>31</v>
      </c>
      <c r="D64" s="13" t="s">
        <v>663</v>
      </c>
      <c r="E64" s="13" t="s">
        <v>669</v>
      </c>
      <c r="F64" s="13" t="s">
        <v>50</v>
      </c>
      <c r="G64" s="13" t="s">
        <v>670</v>
      </c>
      <c r="H64" s="13" t="s">
        <v>659</v>
      </c>
      <c r="I64" s="13" t="s">
        <v>572</v>
      </c>
      <c r="J64" s="13" t="s">
        <v>26</v>
      </c>
      <c r="K64" s="13" t="s">
        <v>254</v>
      </c>
      <c r="L64" s="13" t="s">
        <v>482</v>
      </c>
      <c r="M64" s="13" t="s">
        <v>671</v>
      </c>
      <c r="N64" s="13"/>
      <c r="O64" s="13"/>
      <c r="P64" s="13" t="s">
        <v>79</v>
      </c>
      <c r="Q64" s="13"/>
      <c r="R64" s="13" t="s">
        <v>121</v>
      </c>
      <c r="S64" s="13" t="s">
        <v>125</v>
      </c>
      <c r="T64" s="13" t="s">
        <v>425</v>
      </c>
      <c r="U64" s="13" t="s">
        <v>565</v>
      </c>
      <c r="V64" s="13" t="s">
        <v>353</v>
      </c>
      <c r="W64" s="13"/>
      <c r="X64" s="13" t="s">
        <v>202</v>
      </c>
      <c r="Y64" s="13"/>
      <c r="Z64" s="13" t="s">
        <v>542</v>
      </c>
      <c r="AA64" s="14" t="s">
        <v>190</v>
      </c>
      <c r="AB64" s="15" t="s">
        <v>191</v>
      </c>
      <c r="AC64" s="15"/>
      <c r="AD64" s="15"/>
    </row>
    <row r="65" customFormat="false" ht="32.8" hidden="false" customHeight="false" outlineLevel="0" collapsed="false">
      <c r="A65" s="13" t="n">
        <v>64</v>
      </c>
      <c r="B65" s="13" t="s">
        <v>672</v>
      </c>
      <c r="C65" s="13" t="s">
        <v>31</v>
      </c>
      <c r="D65" s="13" t="s">
        <v>663</v>
      </c>
      <c r="E65" s="13" t="s">
        <v>673</v>
      </c>
      <c r="F65" s="13" t="s">
        <v>50</v>
      </c>
      <c r="G65" s="13" t="s">
        <v>674</v>
      </c>
      <c r="H65" s="13" t="s">
        <v>659</v>
      </c>
      <c r="I65" s="13" t="s">
        <v>253</v>
      </c>
      <c r="J65" s="13" t="s">
        <v>24</v>
      </c>
      <c r="K65" s="13" t="s">
        <v>254</v>
      </c>
      <c r="L65" s="13" t="s">
        <v>482</v>
      </c>
      <c r="M65" s="13" t="s">
        <v>675</v>
      </c>
      <c r="N65" s="13"/>
      <c r="O65" s="13"/>
      <c r="P65" s="13" t="s">
        <v>79</v>
      </c>
      <c r="Q65" s="13"/>
      <c r="R65" s="13" t="s">
        <v>121</v>
      </c>
      <c r="S65" s="13" t="s">
        <v>125</v>
      </c>
      <c r="T65" s="13" t="s">
        <v>425</v>
      </c>
      <c r="U65" s="13" t="s">
        <v>565</v>
      </c>
      <c r="V65" s="13" t="s">
        <v>353</v>
      </c>
      <c r="W65" s="13"/>
      <c r="X65" s="13" t="s">
        <v>202</v>
      </c>
      <c r="Y65" s="13"/>
      <c r="Z65" s="13" t="s">
        <v>676</v>
      </c>
      <c r="AA65" s="14" t="s">
        <v>190</v>
      </c>
      <c r="AB65" s="15" t="s">
        <v>191</v>
      </c>
      <c r="AC65" s="15"/>
      <c r="AD65" s="15"/>
    </row>
    <row r="66" customFormat="false" ht="32.8" hidden="false" customHeight="false" outlineLevel="0" collapsed="false">
      <c r="A66" s="13" t="n">
        <v>65</v>
      </c>
      <c r="B66" s="13" t="s">
        <v>677</v>
      </c>
      <c r="C66" s="13" t="s">
        <v>31</v>
      </c>
      <c r="D66" s="13" t="s">
        <v>678</v>
      </c>
      <c r="E66" s="13" t="s">
        <v>679</v>
      </c>
      <c r="F66" s="13" t="s">
        <v>50</v>
      </c>
      <c r="G66" s="13" t="s">
        <v>680</v>
      </c>
      <c r="H66" s="13" t="s">
        <v>659</v>
      </c>
      <c r="I66" s="13" t="s">
        <v>253</v>
      </c>
      <c r="J66" s="13" t="s">
        <v>24</v>
      </c>
      <c r="K66" s="13" t="s">
        <v>681</v>
      </c>
      <c r="L66" s="13" t="s">
        <v>482</v>
      </c>
      <c r="M66" s="13" t="s">
        <v>682</v>
      </c>
      <c r="N66" s="13"/>
      <c r="O66" s="13"/>
      <c r="P66" s="13" t="s">
        <v>79</v>
      </c>
      <c r="Q66" s="13"/>
      <c r="R66" s="13" t="s">
        <v>121</v>
      </c>
      <c r="S66" s="13" t="s">
        <v>125</v>
      </c>
      <c r="T66" s="13" t="s">
        <v>683</v>
      </c>
      <c r="U66" s="13" t="s">
        <v>684</v>
      </c>
      <c r="V66" s="13" t="s">
        <v>685</v>
      </c>
      <c r="W66" s="13"/>
      <c r="X66" s="13" t="s">
        <v>187</v>
      </c>
      <c r="Y66" s="13" t="s">
        <v>686</v>
      </c>
      <c r="Z66" s="13" t="s">
        <v>687</v>
      </c>
      <c r="AA66" s="14" t="s">
        <v>190</v>
      </c>
      <c r="AB66" s="15" t="s">
        <v>191</v>
      </c>
      <c r="AC66" s="15"/>
      <c r="AD66" s="15"/>
    </row>
    <row r="67" customFormat="false" ht="32.8" hidden="false" customHeight="false" outlineLevel="0" collapsed="false">
      <c r="A67" s="13" t="n">
        <v>66</v>
      </c>
      <c r="B67" s="13" t="s">
        <v>688</v>
      </c>
      <c r="C67" s="13" t="s">
        <v>31</v>
      </c>
      <c r="D67" s="13" t="s">
        <v>689</v>
      </c>
      <c r="E67" s="13" t="s">
        <v>690</v>
      </c>
      <c r="F67" s="13" t="s">
        <v>50</v>
      </c>
      <c r="G67" s="13" t="s">
        <v>691</v>
      </c>
      <c r="H67" s="13" t="s">
        <v>692</v>
      </c>
      <c r="I67" s="13" t="s">
        <v>179</v>
      </c>
      <c r="J67" s="13" t="s">
        <v>23</v>
      </c>
      <c r="K67" s="13" t="s">
        <v>254</v>
      </c>
      <c r="L67" s="13" t="s">
        <v>482</v>
      </c>
      <c r="M67" s="13" t="s">
        <v>693</v>
      </c>
      <c r="N67" s="13"/>
      <c r="O67" s="13"/>
      <c r="P67" s="13" t="s">
        <v>79</v>
      </c>
      <c r="Q67" s="13"/>
      <c r="R67" s="13" t="s">
        <v>121</v>
      </c>
      <c r="S67" s="13" t="s">
        <v>125</v>
      </c>
      <c r="T67" s="13" t="s">
        <v>243</v>
      </c>
      <c r="U67" s="13" t="s">
        <v>244</v>
      </c>
      <c r="V67" s="13" t="s">
        <v>353</v>
      </c>
      <c r="W67" s="13"/>
      <c r="X67" s="13" t="s">
        <v>202</v>
      </c>
      <c r="Y67" s="13"/>
      <c r="Z67" s="13" t="s">
        <v>694</v>
      </c>
      <c r="AA67" s="14" t="s">
        <v>190</v>
      </c>
      <c r="AB67" s="15" t="s">
        <v>191</v>
      </c>
      <c r="AC67" s="15"/>
      <c r="AD67" s="15"/>
    </row>
    <row r="68" customFormat="false" ht="32.8" hidden="false" customHeight="false" outlineLevel="0" collapsed="false">
      <c r="A68" s="13" t="n">
        <v>67</v>
      </c>
      <c r="B68" s="13" t="s">
        <v>695</v>
      </c>
      <c r="C68" s="13" t="s">
        <v>31</v>
      </c>
      <c r="D68" s="13" t="s">
        <v>696</v>
      </c>
      <c r="E68" s="13" t="s">
        <v>697</v>
      </c>
      <c r="F68" s="13" t="s">
        <v>50</v>
      </c>
      <c r="G68" s="13" t="s">
        <v>698</v>
      </c>
      <c r="H68" s="13" t="s">
        <v>692</v>
      </c>
      <c r="I68" s="13" t="s">
        <v>179</v>
      </c>
      <c r="J68" s="13" t="s">
        <v>24</v>
      </c>
      <c r="K68" s="13" t="s">
        <v>254</v>
      </c>
      <c r="L68" s="13" t="s">
        <v>699</v>
      </c>
      <c r="M68" s="13" t="s">
        <v>700</v>
      </c>
      <c r="N68" s="13"/>
      <c r="O68" s="13"/>
      <c r="P68" s="13" t="s">
        <v>79</v>
      </c>
      <c r="Q68" s="13"/>
      <c r="R68" s="13" t="s">
        <v>121</v>
      </c>
      <c r="S68" s="13"/>
      <c r="T68" s="13" t="s">
        <v>243</v>
      </c>
      <c r="U68" s="13" t="s">
        <v>244</v>
      </c>
      <c r="V68" s="13" t="s">
        <v>245</v>
      </c>
      <c r="W68" s="13"/>
      <c r="X68" s="13" t="s">
        <v>202</v>
      </c>
      <c r="Y68" s="13"/>
      <c r="Z68" s="13" t="s">
        <v>701</v>
      </c>
      <c r="AA68" s="14" t="s">
        <v>190</v>
      </c>
      <c r="AB68" s="15" t="s">
        <v>191</v>
      </c>
      <c r="AC68" s="15"/>
      <c r="AD68" s="15"/>
    </row>
    <row r="69" customFormat="false" ht="32.8" hidden="false" customHeight="false" outlineLevel="0" collapsed="false">
      <c r="A69" s="13" t="n">
        <v>68</v>
      </c>
      <c r="B69" s="13" t="s">
        <v>702</v>
      </c>
      <c r="C69" s="13" t="s">
        <v>31</v>
      </c>
      <c r="D69" s="13" t="s">
        <v>703</v>
      </c>
      <c r="E69" s="13" t="s">
        <v>704</v>
      </c>
      <c r="F69" s="13" t="s">
        <v>50</v>
      </c>
      <c r="G69" s="13" t="s">
        <v>705</v>
      </c>
      <c r="H69" s="13" t="s">
        <v>692</v>
      </c>
      <c r="I69" s="13" t="s">
        <v>179</v>
      </c>
      <c r="J69" s="13" t="s">
        <v>24</v>
      </c>
      <c r="K69" s="13" t="s">
        <v>254</v>
      </c>
      <c r="L69" s="13" t="s">
        <v>699</v>
      </c>
      <c r="M69" s="13" t="s">
        <v>706</v>
      </c>
      <c r="N69" s="13"/>
      <c r="O69" s="13"/>
      <c r="P69" s="13" t="s">
        <v>79</v>
      </c>
      <c r="Q69" s="13"/>
      <c r="R69" s="13" t="s">
        <v>121</v>
      </c>
      <c r="S69" s="13"/>
      <c r="T69" s="13" t="s">
        <v>243</v>
      </c>
      <c r="U69" s="13" t="s">
        <v>244</v>
      </c>
      <c r="V69" s="13" t="s">
        <v>353</v>
      </c>
      <c r="W69" s="13"/>
      <c r="X69" s="13" t="s">
        <v>202</v>
      </c>
      <c r="Y69" s="13"/>
      <c r="Z69" s="13" t="s">
        <v>707</v>
      </c>
      <c r="AA69" s="14" t="s">
        <v>190</v>
      </c>
      <c r="AB69" s="15" t="s">
        <v>191</v>
      </c>
      <c r="AC69" s="15"/>
      <c r="AD69" s="15"/>
    </row>
    <row r="70" customFormat="false" ht="32.8" hidden="false" customHeight="false" outlineLevel="0" collapsed="false">
      <c r="A70" s="13" t="n">
        <v>69</v>
      </c>
      <c r="B70" s="13" t="s">
        <v>708</v>
      </c>
      <c r="C70" s="13" t="s">
        <v>31</v>
      </c>
      <c r="D70" s="13" t="s">
        <v>709</v>
      </c>
      <c r="E70" s="13" t="s">
        <v>710</v>
      </c>
      <c r="F70" s="13" t="s">
        <v>50</v>
      </c>
      <c r="G70" s="13" t="s">
        <v>711</v>
      </c>
      <c r="H70" s="13" t="s">
        <v>692</v>
      </c>
      <c r="I70" s="13" t="s">
        <v>179</v>
      </c>
      <c r="J70" s="13" t="s">
        <v>24</v>
      </c>
      <c r="K70" s="13" t="s">
        <v>254</v>
      </c>
      <c r="L70" s="13" t="s">
        <v>573</v>
      </c>
      <c r="M70" s="13" t="s">
        <v>712</v>
      </c>
      <c r="N70" s="13"/>
      <c r="O70" s="13"/>
      <c r="P70" s="13" t="s">
        <v>79</v>
      </c>
      <c r="Q70" s="13"/>
      <c r="R70" s="13" t="s">
        <v>121</v>
      </c>
      <c r="S70" s="13" t="s">
        <v>125</v>
      </c>
      <c r="T70" s="13"/>
      <c r="U70" s="13" t="s">
        <v>244</v>
      </c>
      <c r="V70" s="13" t="s">
        <v>713</v>
      </c>
      <c r="W70" s="13"/>
      <c r="X70" s="13" t="s">
        <v>202</v>
      </c>
      <c r="Y70" s="13"/>
      <c r="Z70" s="13" t="s">
        <v>714</v>
      </c>
      <c r="AA70" s="14" t="s">
        <v>190</v>
      </c>
      <c r="AB70" s="15" t="s">
        <v>191</v>
      </c>
      <c r="AC70" s="15"/>
      <c r="AD70" s="15"/>
    </row>
    <row r="71" customFormat="false" ht="32.8" hidden="false" customHeight="false" outlineLevel="0" collapsed="false">
      <c r="A71" s="13" t="n">
        <v>70</v>
      </c>
      <c r="B71" s="13" t="s">
        <v>715</v>
      </c>
      <c r="C71" s="13" t="s">
        <v>31</v>
      </c>
      <c r="D71" s="13" t="s">
        <v>716</v>
      </c>
      <c r="E71" s="13" t="s">
        <v>717</v>
      </c>
      <c r="F71" s="13" t="s">
        <v>50</v>
      </c>
      <c r="G71" s="13" t="s">
        <v>718</v>
      </c>
      <c r="H71" s="13" t="s">
        <v>692</v>
      </c>
      <c r="I71" s="13" t="s">
        <v>253</v>
      </c>
      <c r="J71" s="13" t="s">
        <v>24</v>
      </c>
      <c r="K71" s="13" t="s">
        <v>254</v>
      </c>
      <c r="L71" s="13" t="s">
        <v>482</v>
      </c>
      <c r="M71" s="13" t="s">
        <v>719</v>
      </c>
      <c r="N71" s="13"/>
      <c r="O71" s="13"/>
      <c r="P71" s="13" t="s">
        <v>79</v>
      </c>
      <c r="Q71" s="13"/>
      <c r="R71" s="13" t="s">
        <v>121</v>
      </c>
      <c r="S71" s="13" t="s">
        <v>126</v>
      </c>
      <c r="T71" s="13" t="s">
        <v>485</v>
      </c>
      <c r="U71" s="13" t="s">
        <v>475</v>
      </c>
      <c r="V71" s="13" t="s">
        <v>720</v>
      </c>
      <c r="W71" s="13"/>
      <c r="X71" s="13" t="s">
        <v>202</v>
      </c>
      <c r="Y71" s="13"/>
      <c r="Z71" s="13" t="s">
        <v>721</v>
      </c>
      <c r="AA71" s="14" t="s">
        <v>190</v>
      </c>
      <c r="AB71" s="15" t="s">
        <v>191</v>
      </c>
      <c r="AC71" s="15"/>
      <c r="AD71" s="15"/>
    </row>
    <row r="72" customFormat="false" ht="32.8" hidden="false" customHeight="false" outlineLevel="0" collapsed="false">
      <c r="A72" s="13" t="n">
        <v>71</v>
      </c>
      <c r="B72" s="13" t="s">
        <v>722</v>
      </c>
      <c r="C72" s="13" t="s">
        <v>31</v>
      </c>
      <c r="D72" s="13" t="s">
        <v>723</v>
      </c>
      <c r="E72" s="13" t="s">
        <v>724</v>
      </c>
      <c r="F72" s="13" t="s">
        <v>50</v>
      </c>
      <c r="G72" s="13" t="s">
        <v>725</v>
      </c>
      <c r="H72" s="13" t="s">
        <v>692</v>
      </c>
      <c r="I72" s="13" t="s">
        <v>253</v>
      </c>
      <c r="J72" s="13" t="s">
        <v>25</v>
      </c>
      <c r="K72" s="13" t="s">
        <v>254</v>
      </c>
      <c r="L72" s="13" t="s">
        <v>699</v>
      </c>
      <c r="M72" s="13" t="s">
        <v>726</v>
      </c>
      <c r="N72" s="13"/>
      <c r="O72" s="13"/>
      <c r="P72" s="13" t="s">
        <v>79</v>
      </c>
      <c r="Q72" s="13"/>
      <c r="R72" s="13" t="s">
        <v>121</v>
      </c>
      <c r="S72" s="13"/>
      <c r="T72" s="13" t="s">
        <v>485</v>
      </c>
      <c r="U72" s="13" t="s">
        <v>475</v>
      </c>
      <c r="V72" s="13" t="s">
        <v>353</v>
      </c>
      <c r="W72" s="13"/>
      <c r="X72" s="13" t="s">
        <v>202</v>
      </c>
      <c r="Y72" s="13"/>
      <c r="Z72" s="13" t="s">
        <v>727</v>
      </c>
      <c r="AA72" s="14" t="s">
        <v>190</v>
      </c>
      <c r="AB72" s="15" t="s">
        <v>191</v>
      </c>
      <c r="AC72" s="15"/>
      <c r="AD72" s="15"/>
    </row>
    <row r="73" customFormat="false" ht="32.8" hidden="false" customHeight="false" outlineLevel="0" collapsed="false">
      <c r="A73" s="13" t="n">
        <v>72</v>
      </c>
      <c r="B73" s="13" t="s">
        <v>728</v>
      </c>
      <c r="C73" s="13" t="s">
        <v>31</v>
      </c>
      <c r="D73" s="13" t="s">
        <v>729</v>
      </c>
      <c r="E73" s="13" t="s">
        <v>730</v>
      </c>
      <c r="F73" s="13" t="s">
        <v>50</v>
      </c>
      <c r="G73" s="13" t="s">
        <v>731</v>
      </c>
      <c r="H73" s="13" t="s">
        <v>692</v>
      </c>
      <c r="I73" s="13" t="s">
        <v>253</v>
      </c>
      <c r="J73" s="13" t="s">
        <v>25</v>
      </c>
      <c r="K73" s="13" t="s">
        <v>254</v>
      </c>
      <c r="L73" s="13" t="s">
        <v>699</v>
      </c>
      <c r="M73" s="13" t="s">
        <v>732</v>
      </c>
      <c r="N73" s="13"/>
      <c r="O73" s="13"/>
      <c r="P73" s="13" t="s">
        <v>79</v>
      </c>
      <c r="Q73" s="13"/>
      <c r="R73" s="13" t="s">
        <v>121</v>
      </c>
      <c r="S73" s="13"/>
      <c r="T73" s="13" t="s">
        <v>243</v>
      </c>
      <c r="U73" s="13" t="s">
        <v>244</v>
      </c>
      <c r="V73" s="13" t="s">
        <v>245</v>
      </c>
      <c r="W73" s="13"/>
      <c r="X73" s="13" t="s">
        <v>202</v>
      </c>
      <c r="Y73" s="13"/>
      <c r="Z73" s="13" t="s">
        <v>701</v>
      </c>
      <c r="AA73" s="14" t="s">
        <v>190</v>
      </c>
      <c r="AB73" s="15" t="s">
        <v>191</v>
      </c>
      <c r="AC73" s="15"/>
      <c r="AD73" s="15"/>
    </row>
    <row r="74" customFormat="false" ht="32.8" hidden="false" customHeight="false" outlineLevel="0" collapsed="false">
      <c r="A74" s="13" t="n">
        <v>73</v>
      </c>
      <c r="B74" s="13" t="s">
        <v>733</v>
      </c>
      <c r="C74" s="13" t="s">
        <v>31</v>
      </c>
      <c r="D74" s="13" t="s">
        <v>734</v>
      </c>
      <c r="E74" s="13" t="s">
        <v>735</v>
      </c>
      <c r="F74" s="13" t="s">
        <v>50</v>
      </c>
      <c r="G74" s="13" t="s">
        <v>736</v>
      </c>
      <c r="H74" s="13" t="s">
        <v>737</v>
      </c>
      <c r="I74" s="13" t="s">
        <v>179</v>
      </c>
      <c r="J74" s="13" t="s">
        <v>23</v>
      </c>
      <c r="K74" s="13" t="s">
        <v>254</v>
      </c>
      <c r="L74" s="13" t="s">
        <v>482</v>
      </c>
      <c r="M74" s="13" t="s">
        <v>738</v>
      </c>
      <c r="N74" s="13"/>
      <c r="O74" s="13"/>
      <c r="P74" s="13" t="s">
        <v>77</v>
      </c>
      <c r="Q74" s="13"/>
      <c r="R74" s="13" t="s">
        <v>120</v>
      </c>
      <c r="S74" s="13" t="s">
        <v>127</v>
      </c>
      <c r="T74" s="13" t="s">
        <v>485</v>
      </c>
      <c r="U74" s="13" t="s">
        <v>475</v>
      </c>
      <c r="V74" s="13" t="s">
        <v>739</v>
      </c>
      <c r="W74" s="13"/>
      <c r="X74" s="13" t="s">
        <v>202</v>
      </c>
      <c r="Y74" s="13"/>
      <c r="Z74" s="13" t="s">
        <v>740</v>
      </c>
      <c r="AA74" s="14" t="s">
        <v>190</v>
      </c>
      <c r="AB74" s="15" t="s">
        <v>191</v>
      </c>
      <c r="AC74" s="15"/>
      <c r="AD74" s="15"/>
    </row>
    <row r="75" customFormat="false" ht="32.8" hidden="false" customHeight="false" outlineLevel="0" collapsed="false">
      <c r="A75" s="13" t="n">
        <v>74</v>
      </c>
      <c r="B75" s="13" t="s">
        <v>741</v>
      </c>
      <c r="C75" s="13" t="s">
        <v>31</v>
      </c>
      <c r="D75" s="13" t="s">
        <v>734</v>
      </c>
      <c r="E75" s="13" t="s">
        <v>742</v>
      </c>
      <c r="F75" s="13" t="s">
        <v>50</v>
      </c>
      <c r="G75" s="13" t="s">
        <v>743</v>
      </c>
      <c r="H75" s="13" t="s">
        <v>737</v>
      </c>
      <c r="I75" s="13" t="s">
        <v>253</v>
      </c>
      <c r="J75" s="13" t="s">
        <v>24</v>
      </c>
      <c r="K75" s="13" t="s">
        <v>254</v>
      </c>
      <c r="L75" s="13" t="s">
        <v>482</v>
      </c>
      <c r="M75" s="13" t="s">
        <v>744</v>
      </c>
      <c r="N75" s="13"/>
      <c r="O75" s="13"/>
      <c r="P75" s="13" t="s">
        <v>77</v>
      </c>
      <c r="Q75" s="13"/>
      <c r="R75" s="13" t="s">
        <v>120</v>
      </c>
      <c r="S75" s="13" t="s">
        <v>126</v>
      </c>
      <c r="T75" s="13" t="s">
        <v>485</v>
      </c>
      <c r="U75" s="13" t="s">
        <v>475</v>
      </c>
      <c r="V75" s="13" t="s">
        <v>745</v>
      </c>
      <c r="W75" s="13"/>
      <c r="X75" s="13" t="s">
        <v>202</v>
      </c>
      <c r="Y75" s="13"/>
      <c r="Z75" s="13" t="s">
        <v>746</v>
      </c>
      <c r="AA75" s="14" t="s">
        <v>190</v>
      </c>
      <c r="AB75" s="15" t="s">
        <v>191</v>
      </c>
      <c r="AC75" s="15"/>
      <c r="AD75" s="15"/>
    </row>
    <row r="76" customFormat="false" ht="32.8" hidden="false" customHeight="false" outlineLevel="0" collapsed="false">
      <c r="A76" s="13" t="n">
        <v>75</v>
      </c>
      <c r="B76" s="13" t="s">
        <v>747</v>
      </c>
      <c r="C76" s="13" t="s">
        <v>31</v>
      </c>
      <c r="D76" s="13" t="s">
        <v>748</v>
      </c>
      <c r="E76" s="13" t="s">
        <v>749</v>
      </c>
      <c r="F76" s="13" t="s">
        <v>50</v>
      </c>
      <c r="G76" s="13" t="s">
        <v>750</v>
      </c>
      <c r="H76" s="13" t="s">
        <v>737</v>
      </c>
      <c r="I76" s="13" t="s">
        <v>179</v>
      </c>
      <c r="J76" s="13" t="s">
        <v>23</v>
      </c>
      <c r="K76" s="13" t="s">
        <v>254</v>
      </c>
      <c r="L76" s="13" t="s">
        <v>482</v>
      </c>
      <c r="M76" s="13" t="s">
        <v>751</v>
      </c>
      <c r="N76" s="13"/>
      <c r="O76" s="13"/>
      <c r="P76" s="13" t="s">
        <v>77</v>
      </c>
      <c r="Q76" s="13"/>
      <c r="R76" s="13" t="s">
        <v>752</v>
      </c>
      <c r="S76" s="13" t="s">
        <v>127</v>
      </c>
      <c r="T76" s="13" t="s">
        <v>485</v>
      </c>
      <c r="U76" s="13" t="s">
        <v>475</v>
      </c>
      <c r="V76" s="13" t="s">
        <v>476</v>
      </c>
      <c r="W76" s="13"/>
      <c r="X76" s="13" t="s">
        <v>187</v>
      </c>
      <c r="Y76" s="13" t="s">
        <v>753</v>
      </c>
      <c r="Z76" s="13" t="s">
        <v>754</v>
      </c>
      <c r="AA76" s="14" t="s">
        <v>190</v>
      </c>
      <c r="AB76" s="15" t="s">
        <v>191</v>
      </c>
      <c r="AC76" s="15"/>
      <c r="AD76" s="15"/>
    </row>
    <row r="77" customFormat="false" ht="32.8" hidden="false" customHeight="false" outlineLevel="0" collapsed="false">
      <c r="A77" s="13" t="n">
        <v>76</v>
      </c>
      <c r="B77" s="13" t="s">
        <v>755</v>
      </c>
      <c r="C77" s="13" t="s">
        <v>31</v>
      </c>
      <c r="D77" s="13" t="s">
        <v>756</v>
      </c>
      <c r="E77" s="13" t="s">
        <v>757</v>
      </c>
      <c r="F77" s="13" t="s">
        <v>50</v>
      </c>
      <c r="G77" s="13" t="s">
        <v>758</v>
      </c>
      <c r="H77" s="13" t="s">
        <v>737</v>
      </c>
      <c r="I77" s="13" t="s">
        <v>253</v>
      </c>
      <c r="J77" s="13" t="s">
        <v>24</v>
      </c>
      <c r="K77" s="13" t="s">
        <v>681</v>
      </c>
      <c r="L77" s="13" t="s">
        <v>759</v>
      </c>
      <c r="M77" s="13" t="s">
        <v>760</v>
      </c>
      <c r="N77" s="13"/>
      <c r="O77" s="13"/>
      <c r="P77" s="13" t="s">
        <v>79</v>
      </c>
      <c r="Q77" s="13"/>
      <c r="R77" s="13" t="s">
        <v>121</v>
      </c>
      <c r="S77" s="13" t="s">
        <v>127</v>
      </c>
      <c r="T77" s="13" t="s">
        <v>485</v>
      </c>
      <c r="U77" s="13" t="s">
        <v>475</v>
      </c>
      <c r="V77" s="13" t="s">
        <v>739</v>
      </c>
      <c r="W77" s="13" t="s">
        <v>761</v>
      </c>
      <c r="X77" s="13" t="s">
        <v>202</v>
      </c>
      <c r="Y77" s="13"/>
      <c r="Z77" s="13" t="s">
        <v>762</v>
      </c>
      <c r="AA77" s="14" t="s">
        <v>190</v>
      </c>
      <c r="AB77" s="15" t="s">
        <v>191</v>
      </c>
      <c r="AC77" s="15"/>
      <c r="AD77" s="15"/>
    </row>
    <row r="78" customFormat="false" ht="32.8" hidden="false" customHeight="false" outlineLevel="0" collapsed="false">
      <c r="A78" s="13" t="n">
        <v>77</v>
      </c>
      <c r="B78" s="13" t="s">
        <v>763</v>
      </c>
      <c r="C78" s="13" t="s">
        <v>31</v>
      </c>
      <c r="D78" s="13" t="s">
        <v>764</v>
      </c>
      <c r="E78" s="13" t="s">
        <v>765</v>
      </c>
      <c r="F78" s="13" t="s">
        <v>50</v>
      </c>
      <c r="G78" s="13" t="s">
        <v>766</v>
      </c>
      <c r="H78" s="13" t="s">
        <v>737</v>
      </c>
      <c r="I78" s="13" t="s">
        <v>179</v>
      </c>
      <c r="J78" s="13" t="s">
        <v>23</v>
      </c>
      <c r="K78" s="13" t="s">
        <v>254</v>
      </c>
      <c r="L78" s="13" t="s">
        <v>573</v>
      </c>
      <c r="M78" s="13" t="s">
        <v>767</v>
      </c>
      <c r="N78" s="13"/>
      <c r="O78" s="13"/>
      <c r="P78" s="13" t="s">
        <v>79</v>
      </c>
      <c r="Q78" s="13"/>
      <c r="R78" s="13" t="s">
        <v>121</v>
      </c>
      <c r="S78" s="13" t="s">
        <v>127</v>
      </c>
      <c r="T78" s="13"/>
      <c r="U78" s="13" t="s">
        <v>768</v>
      </c>
      <c r="V78" s="13" t="s">
        <v>353</v>
      </c>
      <c r="W78" s="13"/>
      <c r="X78" s="13" t="s">
        <v>202</v>
      </c>
      <c r="Y78" s="13"/>
      <c r="Z78" s="13" t="s">
        <v>769</v>
      </c>
      <c r="AA78" s="14" t="s">
        <v>190</v>
      </c>
      <c r="AB78" s="15" t="s">
        <v>191</v>
      </c>
      <c r="AC78" s="15"/>
      <c r="AD78" s="15"/>
    </row>
    <row r="79" customFormat="false" ht="32.8" hidden="false" customHeight="false" outlineLevel="0" collapsed="false">
      <c r="A79" s="13" t="n">
        <v>78</v>
      </c>
      <c r="B79" s="13" t="s">
        <v>770</v>
      </c>
      <c r="C79" s="13" t="s">
        <v>31</v>
      </c>
      <c r="D79" s="13" t="s">
        <v>764</v>
      </c>
      <c r="E79" s="13" t="s">
        <v>771</v>
      </c>
      <c r="F79" s="13" t="s">
        <v>50</v>
      </c>
      <c r="G79" s="13" t="s">
        <v>772</v>
      </c>
      <c r="H79" s="13" t="s">
        <v>737</v>
      </c>
      <c r="I79" s="13" t="s">
        <v>179</v>
      </c>
      <c r="J79" s="13" t="s">
        <v>23</v>
      </c>
      <c r="K79" s="13" t="s">
        <v>254</v>
      </c>
      <c r="L79" s="13" t="s">
        <v>573</v>
      </c>
      <c r="M79" s="13" t="s">
        <v>773</v>
      </c>
      <c r="N79" s="13"/>
      <c r="O79" s="13"/>
      <c r="P79" s="13" t="s">
        <v>79</v>
      </c>
      <c r="Q79" s="13"/>
      <c r="R79" s="13" t="s">
        <v>121</v>
      </c>
      <c r="S79" s="13" t="s">
        <v>130</v>
      </c>
      <c r="T79" s="13"/>
      <c r="U79" s="13" t="s">
        <v>768</v>
      </c>
      <c r="V79" s="13" t="s">
        <v>774</v>
      </c>
      <c r="W79" s="13"/>
      <c r="X79" s="13" t="s">
        <v>202</v>
      </c>
      <c r="Y79" s="13"/>
      <c r="Z79" s="13" t="s">
        <v>775</v>
      </c>
      <c r="AA79" s="14" t="s">
        <v>190</v>
      </c>
      <c r="AB79" s="15" t="s">
        <v>191</v>
      </c>
      <c r="AC79" s="15"/>
      <c r="AD79" s="15"/>
    </row>
    <row r="80" customFormat="false" ht="32.8" hidden="false" customHeight="false" outlineLevel="0" collapsed="false">
      <c r="A80" s="13" t="n">
        <v>79</v>
      </c>
      <c r="B80" s="13" t="s">
        <v>776</v>
      </c>
      <c r="C80" s="13" t="s">
        <v>31</v>
      </c>
      <c r="D80" s="13" t="s">
        <v>777</v>
      </c>
      <c r="E80" s="13" t="s">
        <v>778</v>
      </c>
      <c r="F80" s="13" t="s">
        <v>50</v>
      </c>
      <c r="G80" s="13" t="s">
        <v>779</v>
      </c>
      <c r="H80" s="13" t="s">
        <v>737</v>
      </c>
      <c r="I80" s="13" t="s">
        <v>179</v>
      </c>
      <c r="J80" s="13" t="s">
        <v>24</v>
      </c>
      <c r="K80" s="13" t="s">
        <v>254</v>
      </c>
      <c r="L80" s="13" t="s">
        <v>573</v>
      </c>
      <c r="M80" s="13" t="s">
        <v>780</v>
      </c>
      <c r="N80" s="13"/>
      <c r="O80" s="13"/>
      <c r="P80" s="13" t="s">
        <v>79</v>
      </c>
      <c r="Q80" s="13"/>
      <c r="R80" s="13" t="s">
        <v>121</v>
      </c>
      <c r="S80" s="13" t="s">
        <v>127</v>
      </c>
      <c r="T80" s="13"/>
      <c r="U80" s="13" t="s">
        <v>565</v>
      </c>
      <c r="V80" s="13" t="s">
        <v>353</v>
      </c>
      <c r="W80" s="13"/>
      <c r="X80" s="13" t="s">
        <v>202</v>
      </c>
      <c r="Y80" s="13"/>
      <c r="Z80" s="13" t="s">
        <v>781</v>
      </c>
      <c r="AA80" s="14" t="s">
        <v>190</v>
      </c>
      <c r="AB80" s="15" t="s">
        <v>191</v>
      </c>
      <c r="AC80" s="15"/>
      <c r="AD80" s="15"/>
    </row>
    <row r="81" customFormat="false" ht="32.8" hidden="false" customHeight="false" outlineLevel="0" collapsed="false">
      <c r="A81" s="13" t="n">
        <v>80</v>
      </c>
      <c r="B81" s="13" t="s">
        <v>782</v>
      </c>
      <c r="C81" s="13" t="s">
        <v>31</v>
      </c>
      <c r="D81" s="13" t="s">
        <v>777</v>
      </c>
      <c r="E81" s="13" t="s">
        <v>783</v>
      </c>
      <c r="F81" s="13" t="s">
        <v>50</v>
      </c>
      <c r="G81" s="13" t="s">
        <v>784</v>
      </c>
      <c r="H81" s="13" t="s">
        <v>737</v>
      </c>
      <c r="I81" s="13" t="s">
        <v>179</v>
      </c>
      <c r="J81" s="13" t="s">
        <v>25</v>
      </c>
      <c r="K81" s="13" t="s">
        <v>254</v>
      </c>
      <c r="L81" s="13" t="s">
        <v>630</v>
      </c>
      <c r="M81" s="13" t="s">
        <v>785</v>
      </c>
      <c r="N81" s="13"/>
      <c r="O81" s="13"/>
      <c r="P81" s="13" t="s">
        <v>79</v>
      </c>
      <c r="Q81" s="13"/>
      <c r="R81" s="13" t="s">
        <v>121</v>
      </c>
      <c r="S81" s="13"/>
      <c r="T81" s="13"/>
      <c r="U81" s="13" t="s">
        <v>565</v>
      </c>
      <c r="V81" s="13" t="s">
        <v>353</v>
      </c>
      <c r="W81" s="13"/>
      <c r="X81" s="13" t="s">
        <v>202</v>
      </c>
      <c r="Y81" s="13"/>
      <c r="Z81" s="13" t="s">
        <v>786</v>
      </c>
      <c r="AA81" s="14" t="s">
        <v>190</v>
      </c>
      <c r="AB81" s="15" t="s">
        <v>191</v>
      </c>
      <c r="AC81" s="15"/>
      <c r="AD81" s="15"/>
    </row>
    <row r="82" customFormat="false" ht="32.8" hidden="false" customHeight="false" outlineLevel="0" collapsed="false">
      <c r="A82" s="13" t="n">
        <v>81</v>
      </c>
      <c r="B82" s="13" t="s">
        <v>787</v>
      </c>
      <c r="C82" s="13" t="s">
        <v>31</v>
      </c>
      <c r="D82" s="13" t="s">
        <v>777</v>
      </c>
      <c r="E82" s="13" t="s">
        <v>788</v>
      </c>
      <c r="F82" s="13" t="s">
        <v>50</v>
      </c>
      <c r="G82" s="13" t="s">
        <v>789</v>
      </c>
      <c r="H82" s="13" t="s">
        <v>737</v>
      </c>
      <c r="I82" s="13" t="s">
        <v>179</v>
      </c>
      <c r="J82" s="13" t="s">
        <v>23</v>
      </c>
      <c r="K82" s="13" t="s">
        <v>254</v>
      </c>
      <c r="L82" s="13" t="s">
        <v>630</v>
      </c>
      <c r="M82" s="13" t="s">
        <v>790</v>
      </c>
      <c r="N82" s="13"/>
      <c r="O82" s="13"/>
      <c r="P82" s="13" t="s">
        <v>79</v>
      </c>
      <c r="Q82" s="13"/>
      <c r="R82" s="13" t="s">
        <v>121</v>
      </c>
      <c r="S82" s="13"/>
      <c r="T82" s="13"/>
      <c r="U82" s="13" t="s">
        <v>536</v>
      </c>
      <c r="V82" s="13" t="s">
        <v>353</v>
      </c>
      <c r="W82" s="13"/>
      <c r="X82" s="13" t="s">
        <v>202</v>
      </c>
      <c r="Y82" s="13"/>
      <c r="Z82" s="13" t="s">
        <v>791</v>
      </c>
      <c r="AA82" s="14" t="s">
        <v>190</v>
      </c>
      <c r="AB82" s="15" t="s">
        <v>191</v>
      </c>
      <c r="AC82" s="15"/>
      <c r="AD82" s="15"/>
    </row>
    <row r="83" customFormat="false" ht="32.8" hidden="false" customHeight="false" outlineLevel="0" collapsed="false">
      <c r="A83" s="13" t="n">
        <v>82</v>
      </c>
      <c r="B83" s="13" t="s">
        <v>792</v>
      </c>
      <c r="C83" s="13" t="s">
        <v>31</v>
      </c>
      <c r="D83" s="13" t="s">
        <v>793</v>
      </c>
      <c r="E83" s="13" t="s">
        <v>794</v>
      </c>
      <c r="F83" s="13" t="s">
        <v>50</v>
      </c>
      <c r="G83" s="13" t="s">
        <v>795</v>
      </c>
      <c r="H83" s="13" t="s">
        <v>737</v>
      </c>
      <c r="I83" s="13" t="s">
        <v>179</v>
      </c>
      <c r="J83" s="13" t="s">
        <v>24</v>
      </c>
      <c r="K83" s="13" t="s">
        <v>254</v>
      </c>
      <c r="L83" s="13" t="s">
        <v>482</v>
      </c>
      <c r="M83" s="13" t="s">
        <v>796</v>
      </c>
      <c r="N83" s="13"/>
      <c r="O83" s="13"/>
      <c r="P83" s="13" t="s">
        <v>79</v>
      </c>
      <c r="Q83" s="13"/>
      <c r="R83" s="13" t="s">
        <v>121</v>
      </c>
      <c r="S83" s="13" t="s">
        <v>127</v>
      </c>
      <c r="T83" s="13" t="s">
        <v>485</v>
      </c>
      <c r="U83" s="13" t="s">
        <v>565</v>
      </c>
      <c r="V83" s="13" t="s">
        <v>353</v>
      </c>
      <c r="W83" s="13"/>
      <c r="X83" s="13" t="s">
        <v>202</v>
      </c>
      <c r="Y83" s="13"/>
      <c r="Z83" s="13" t="s">
        <v>797</v>
      </c>
      <c r="AA83" s="14" t="s">
        <v>190</v>
      </c>
      <c r="AB83" s="15" t="s">
        <v>191</v>
      </c>
      <c r="AC83" s="15"/>
      <c r="AD83" s="15"/>
    </row>
    <row r="84" customFormat="false" ht="32.8" hidden="false" customHeight="false" outlineLevel="0" collapsed="false">
      <c r="A84" s="13" t="n">
        <v>83</v>
      </c>
      <c r="B84" s="13" t="s">
        <v>798</v>
      </c>
      <c r="C84" s="13" t="s">
        <v>31</v>
      </c>
      <c r="D84" s="13" t="s">
        <v>793</v>
      </c>
      <c r="E84" s="13" t="s">
        <v>799</v>
      </c>
      <c r="F84" s="13" t="s">
        <v>50</v>
      </c>
      <c r="G84" s="13" t="s">
        <v>800</v>
      </c>
      <c r="H84" s="13" t="s">
        <v>737</v>
      </c>
      <c r="I84" s="13" t="s">
        <v>253</v>
      </c>
      <c r="J84" s="13" t="s">
        <v>24</v>
      </c>
      <c r="K84" s="13" t="s">
        <v>254</v>
      </c>
      <c r="L84" s="13" t="s">
        <v>482</v>
      </c>
      <c r="M84" s="13" t="s">
        <v>801</v>
      </c>
      <c r="N84" s="13"/>
      <c r="O84" s="13"/>
      <c r="P84" s="13" t="s">
        <v>79</v>
      </c>
      <c r="Q84" s="13"/>
      <c r="R84" s="13" t="s">
        <v>121</v>
      </c>
      <c r="S84" s="13" t="s">
        <v>127</v>
      </c>
      <c r="T84" s="13" t="s">
        <v>485</v>
      </c>
      <c r="U84" s="13" t="s">
        <v>475</v>
      </c>
      <c r="V84" s="13" t="s">
        <v>353</v>
      </c>
      <c r="W84" s="13"/>
      <c r="X84" s="13" t="s">
        <v>202</v>
      </c>
      <c r="Y84" s="13"/>
      <c r="Z84" s="13" t="s">
        <v>802</v>
      </c>
      <c r="AA84" s="14" t="s">
        <v>190</v>
      </c>
      <c r="AB84" s="15" t="s">
        <v>191</v>
      </c>
      <c r="AC84" s="15"/>
      <c r="AD84" s="15"/>
    </row>
    <row r="85" customFormat="false" ht="32.8" hidden="false" customHeight="false" outlineLevel="0" collapsed="false">
      <c r="A85" s="13" t="n">
        <v>84</v>
      </c>
      <c r="B85" s="13" t="s">
        <v>803</v>
      </c>
      <c r="C85" s="13" t="s">
        <v>31</v>
      </c>
      <c r="D85" s="13" t="s">
        <v>793</v>
      </c>
      <c r="E85" s="13" t="s">
        <v>804</v>
      </c>
      <c r="F85" s="13" t="s">
        <v>50</v>
      </c>
      <c r="G85" s="13" t="s">
        <v>805</v>
      </c>
      <c r="H85" s="13" t="s">
        <v>737</v>
      </c>
      <c r="I85" s="13" t="s">
        <v>253</v>
      </c>
      <c r="J85" s="13" t="s">
        <v>25</v>
      </c>
      <c r="K85" s="13" t="s">
        <v>254</v>
      </c>
      <c r="L85" s="13" t="s">
        <v>699</v>
      </c>
      <c r="M85" s="13" t="s">
        <v>806</v>
      </c>
      <c r="N85" s="13"/>
      <c r="O85" s="13"/>
      <c r="P85" s="13" t="s">
        <v>79</v>
      </c>
      <c r="Q85" s="13"/>
      <c r="R85" s="13" t="s">
        <v>121</v>
      </c>
      <c r="S85" s="13"/>
      <c r="T85" s="13" t="s">
        <v>485</v>
      </c>
      <c r="U85" s="13" t="s">
        <v>565</v>
      </c>
      <c r="V85" s="13" t="s">
        <v>353</v>
      </c>
      <c r="W85" s="13"/>
      <c r="X85" s="13" t="s">
        <v>202</v>
      </c>
      <c r="Y85" s="13"/>
      <c r="Z85" s="13" t="s">
        <v>807</v>
      </c>
      <c r="AA85" s="14" t="s">
        <v>190</v>
      </c>
      <c r="AB85" s="15" t="s">
        <v>191</v>
      </c>
      <c r="AC85" s="15"/>
      <c r="AD85" s="15"/>
    </row>
    <row r="86" customFormat="false" ht="32.8" hidden="false" customHeight="false" outlineLevel="0" collapsed="false">
      <c r="A86" s="13" t="n">
        <v>85</v>
      </c>
      <c r="B86" s="13" t="s">
        <v>808</v>
      </c>
      <c r="C86" s="13" t="s">
        <v>31</v>
      </c>
      <c r="D86" s="13" t="s">
        <v>793</v>
      </c>
      <c r="E86" s="13" t="s">
        <v>809</v>
      </c>
      <c r="F86" s="13" t="s">
        <v>50</v>
      </c>
      <c r="G86" s="13" t="s">
        <v>810</v>
      </c>
      <c r="H86" s="13" t="s">
        <v>737</v>
      </c>
      <c r="I86" s="13" t="s">
        <v>179</v>
      </c>
      <c r="J86" s="13" t="s">
        <v>24</v>
      </c>
      <c r="K86" s="13" t="s">
        <v>254</v>
      </c>
      <c r="L86" s="13" t="s">
        <v>482</v>
      </c>
      <c r="M86" s="13" t="s">
        <v>811</v>
      </c>
      <c r="N86" s="13"/>
      <c r="O86" s="13"/>
      <c r="P86" s="13" t="s">
        <v>79</v>
      </c>
      <c r="Q86" s="13"/>
      <c r="R86" s="13" t="s">
        <v>121</v>
      </c>
      <c r="S86" s="13" t="s">
        <v>127</v>
      </c>
      <c r="T86" s="13" t="s">
        <v>485</v>
      </c>
      <c r="U86" s="13" t="s">
        <v>475</v>
      </c>
      <c r="V86" s="13" t="s">
        <v>353</v>
      </c>
      <c r="W86" s="13"/>
      <c r="X86" s="13" t="s">
        <v>202</v>
      </c>
      <c r="Y86" s="13"/>
      <c r="Z86" s="13" t="s">
        <v>638</v>
      </c>
      <c r="AA86" s="14" t="s">
        <v>190</v>
      </c>
      <c r="AB86" s="15" t="s">
        <v>191</v>
      </c>
      <c r="AC86" s="15"/>
      <c r="AD86" s="15"/>
    </row>
    <row r="87" customFormat="false" ht="32.8" hidden="false" customHeight="false" outlineLevel="0" collapsed="false">
      <c r="A87" s="13" t="n">
        <v>86</v>
      </c>
      <c r="B87" s="13" t="s">
        <v>812</v>
      </c>
      <c r="C87" s="13" t="s">
        <v>31</v>
      </c>
      <c r="D87" s="13" t="s">
        <v>813</v>
      </c>
      <c r="E87" s="13" t="s">
        <v>814</v>
      </c>
      <c r="F87" s="13" t="s">
        <v>50</v>
      </c>
      <c r="G87" s="13" t="s">
        <v>815</v>
      </c>
      <c r="H87" s="13" t="s">
        <v>816</v>
      </c>
      <c r="I87" s="13" t="s">
        <v>253</v>
      </c>
      <c r="J87" s="13" t="s">
        <v>24</v>
      </c>
      <c r="K87" s="13" t="s">
        <v>254</v>
      </c>
      <c r="L87" s="13" t="s">
        <v>255</v>
      </c>
      <c r="M87" s="13" t="s">
        <v>817</v>
      </c>
      <c r="N87" s="13"/>
      <c r="O87" s="13"/>
      <c r="P87" s="13"/>
      <c r="Q87" s="13"/>
      <c r="R87" s="13" t="s">
        <v>121</v>
      </c>
      <c r="S87" s="13"/>
      <c r="T87" s="13" t="s">
        <v>818</v>
      </c>
      <c r="U87" s="13" t="s">
        <v>475</v>
      </c>
      <c r="V87" s="13" t="s">
        <v>353</v>
      </c>
      <c r="W87" s="13"/>
      <c r="X87" s="13" t="s">
        <v>202</v>
      </c>
      <c r="Y87" s="13"/>
      <c r="Z87" s="13" t="s">
        <v>819</v>
      </c>
      <c r="AA87" s="14" t="s">
        <v>190</v>
      </c>
      <c r="AB87" s="15" t="s">
        <v>191</v>
      </c>
      <c r="AC87" s="15"/>
      <c r="AD87" s="15"/>
    </row>
    <row r="88" customFormat="false" ht="32.8" hidden="false" customHeight="false" outlineLevel="0" collapsed="false">
      <c r="A88" s="13" t="n">
        <v>87</v>
      </c>
      <c r="B88" s="13" t="s">
        <v>820</v>
      </c>
      <c r="C88" s="13" t="s">
        <v>31</v>
      </c>
      <c r="D88" s="13" t="s">
        <v>813</v>
      </c>
      <c r="E88" s="13" t="s">
        <v>821</v>
      </c>
      <c r="F88" s="13" t="s">
        <v>50</v>
      </c>
      <c r="G88" s="13" t="s">
        <v>822</v>
      </c>
      <c r="H88" s="13" t="s">
        <v>816</v>
      </c>
      <c r="I88" s="13" t="s">
        <v>253</v>
      </c>
      <c r="J88" s="13" t="s">
        <v>25</v>
      </c>
      <c r="K88" s="13" t="s">
        <v>254</v>
      </c>
      <c r="L88" s="13" t="s">
        <v>276</v>
      </c>
      <c r="M88" s="13" t="s">
        <v>823</v>
      </c>
      <c r="N88" s="13"/>
      <c r="O88" s="13"/>
      <c r="P88" s="13"/>
      <c r="Q88" s="13"/>
      <c r="R88" s="13" t="s">
        <v>121</v>
      </c>
      <c r="S88" s="13" t="s">
        <v>125</v>
      </c>
      <c r="T88" s="13" t="s">
        <v>425</v>
      </c>
      <c r="U88" s="13" t="s">
        <v>565</v>
      </c>
      <c r="V88" s="13" t="s">
        <v>353</v>
      </c>
      <c r="W88" s="13"/>
      <c r="X88" s="13" t="s">
        <v>202</v>
      </c>
      <c r="Y88" s="13"/>
      <c r="Z88" s="13" t="s">
        <v>824</v>
      </c>
      <c r="AA88" s="14" t="s">
        <v>190</v>
      </c>
      <c r="AB88" s="15" t="s">
        <v>191</v>
      </c>
      <c r="AC88" s="15"/>
      <c r="AD88" s="15"/>
    </row>
    <row r="89" customFormat="false" ht="32.8" hidden="false" customHeight="false" outlineLevel="0" collapsed="false">
      <c r="A89" s="13" t="n">
        <v>88</v>
      </c>
      <c r="B89" s="13" t="s">
        <v>825</v>
      </c>
      <c r="C89" s="13" t="s">
        <v>31</v>
      </c>
      <c r="D89" s="13" t="s">
        <v>813</v>
      </c>
      <c r="E89" s="13" t="s">
        <v>826</v>
      </c>
      <c r="F89" s="13" t="s">
        <v>50</v>
      </c>
      <c r="G89" s="13" t="s">
        <v>827</v>
      </c>
      <c r="H89" s="13" t="s">
        <v>816</v>
      </c>
      <c r="I89" s="13" t="s">
        <v>179</v>
      </c>
      <c r="J89" s="13" t="s">
        <v>24</v>
      </c>
      <c r="K89" s="13" t="s">
        <v>254</v>
      </c>
      <c r="L89" s="13" t="s">
        <v>276</v>
      </c>
      <c r="M89" s="13" t="s">
        <v>828</v>
      </c>
      <c r="N89" s="13"/>
      <c r="O89" s="13"/>
      <c r="P89" s="13"/>
      <c r="Q89" s="13"/>
      <c r="R89" s="13" t="s">
        <v>121</v>
      </c>
      <c r="S89" s="13" t="s">
        <v>130</v>
      </c>
      <c r="T89" s="13" t="s">
        <v>829</v>
      </c>
      <c r="U89" s="13" t="s">
        <v>565</v>
      </c>
      <c r="V89" s="13" t="s">
        <v>830</v>
      </c>
      <c r="W89" s="13"/>
      <c r="X89" s="13" t="s">
        <v>202</v>
      </c>
      <c r="Y89" s="13"/>
      <c r="Z89" s="13" t="s">
        <v>831</v>
      </c>
      <c r="AA89" s="14" t="s">
        <v>190</v>
      </c>
      <c r="AB89" s="15" t="s">
        <v>191</v>
      </c>
      <c r="AC89" s="15"/>
      <c r="AD89" s="15"/>
    </row>
    <row r="90" customFormat="false" ht="32.8" hidden="false" customHeight="false" outlineLevel="0" collapsed="false">
      <c r="A90" s="13" t="n">
        <v>89</v>
      </c>
      <c r="B90" s="13" t="s">
        <v>832</v>
      </c>
      <c r="C90" s="13" t="s">
        <v>31</v>
      </c>
      <c r="D90" s="13" t="s">
        <v>813</v>
      </c>
      <c r="E90" s="13" t="s">
        <v>833</v>
      </c>
      <c r="F90" s="13" t="s">
        <v>50</v>
      </c>
      <c r="G90" s="13" t="s">
        <v>834</v>
      </c>
      <c r="H90" s="13" t="s">
        <v>816</v>
      </c>
      <c r="I90" s="13" t="s">
        <v>253</v>
      </c>
      <c r="J90" s="13" t="s">
        <v>25</v>
      </c>
      <c r="K90" s="13" t="s">
        <v>254</v>
      </c>
      <c r="L90" s="13" t="s">
        <v>276</v>
      </c>
      <c r="M90" s="13" t="s">
        <v>835</v>
      </c>
      <c r="N90" s="13"/>
      <c r="O90" s="13"/>
      <c r="P90" s="13"/>
      <c r="Q90" s="13"/>
      <c r="R90" s="13" t="s">
        <v>121</v>
      </c>
      <c r="S90" s="13" t="s">
        <v>125</v>
      </c>
      <c r="T90" s="13" t="s">
        <v>425</v>
      </c>
      <c r="U90" s="13" t="s">
        <v>565</v>
      </c>
      <c r="V90" s="13" t="s">
        <v>353</v>
      </c>
      <c r="W90" s="13"/>
      <c r="X90" s="13" t="s">
        <v>202</v>
      </c>
      <c r="Y90" s="13"/>
      <c r="Z90" s="13" t="s">
        <v>824</v>
      </c>
      <c r="AA90" s="14" t="s">
        <v>190</v>
      </c>
      <c r="AB90" s="15" t="s">
        <v>191</v>
      </c>
      <c r="AC90" s="15"/>
      <c r="AD90" s="15"/>
    </row>
    <row r="91" customFormat="false" ht="32.8" hidden="false" customHeight="false" outlineLevel="0" collapsed="false">
      <c r="A91" s="13" t="n">
        <v>90</v>
      </c>
      <c r="B91" s="13" t="s">
        <v>836</v>
      </c>
      <c r="C91" s="13" t="s">
        <v>31</v>
      </c>
      <c r="D91" s="13" t="s">
        <v>837</v>
      </c>
      <c r="E91" s="13" t="s">
        <v>838</v>
      </c>
      <c r="F91" s="13" t="s">
        <v>50</v>
      </c>
      <c r="G91" s="13" t="s">
        <v>839</v>
      </c>
      <c r="H91" s="13" t="s">
        <v>840</v>
      </c>
      <c r="I91" s="13" t="s">
        <v>841</v>
      </c>
      <c r="J91" s="13" t="s">
        <v>24</v>
      </c>
      <c r="K91" s="13" t="s">
        <v>254</v>
      </c>
      <c r="L91" s="13" t="s">
        <v>276</v>
      </c>
      <c r="M91" s="13" t="s">
        <v>842</v>
      </c>
      <c r="N91" s="13"/>
      <c r="O91" s="13"/>
      <c r="P91" s="13"/>
      <c r="Q91" s="13"/>
      <c r="R91" s="13" t="s">
        <v>121</v>
      </c>
      <c r="S91" s="13" t="s">
        <v>130</v>
      </c>
      <c r="T91" s="13" t="s">
        <v>829</v>
      </c>
      <c r="U91" s="13" t="s">
        <v>536</v>
      </c>
      <c r="V91" s="13" t="s">
        <v>353</v>
      </c>
      <c r="W91" s="13"/>
      <c r="X91" s="13" t="s">
        <v>202</v>
      </c>
      <c r="Y91" s="13"/>
      <c r="Z91" s="13" t="s">
        <v>843</v>
      </c>
      <c r="AA91" s="14" t="s">
        <v>190</v>
      </c>
      <c r="AB91" s="15" t="s">
        <v>191</v>
      </c>
      <c r="AC91" s="15"/>
      <c r="AD91" s="15"/>
    </row>
    <row r="92" customFormat="false" ht="22.35" hidden="false" customHeight="false" outlineLevel="0" collapsed="false">
      <c r="A92" s="13" t="n">
        <v>91</v>
      </c>
      <c r="B92" s="13" t="s">
        <v>844</v>
      </c>
      <c r="C92" s="13" t="s">
        <v>31</v>
      </c>
      <c r="D92" s="13" t="s">
        <v>837</v>
      </c>
      <c r="E92" s="13" t="s">
        <v>845</v>
      </c>
      <c r="F92" s="13" t="s">
        <v>50</v>
      </c>
      <c r="G92" s="13" t="s">
        <v>846</v>
      </c>
      <c r="H92" s="13" t="s">
        <v>840</v>
      </c>
      <c r="I92" s="13" t="s">
        <v>253</v>
      </c>
      <c r="J92" s="13" t="s">
        <v>25</v>
      </c>
      <c r="K92" s="13" t="s">
        <v>681</v>
      </c>
      <c r="L92" s="13" t="s">
        <v>847</v>
      </c>
      <c r="M92" s="13" t="s">
        <v>848</v>
      </c>
      <c r="N92" s="13"/>
      <c r="O92" s="13"/>
      <c r="P92" s="13"/>
      <c r="Q92" s="13"/>
      <c r="R92" s="13" t="s">
        <v>121</v>
      </c>
      <c r="S92" s="13" t="s">
        <v>130</v>
      </c>
      <c r="T92" s="13" t="s">
        <v>829</v>
      </c>
      <c r="U92" s="13" t="s">
        <v>536</v>
      </c>
      <c r="V92" s="13" t="s">
        <v>353</v>
      </c>
      <c r="W92" s="13" t="s">
        <v>761</v>
      </c>
      <c r="X92" s="13" t="s">
        <v>202</v>
      </c>
      <c r="Y92" s="13"/>
      <c r="Z92" s="13" t="s">
        <v>849</v>
      </c>
      <c r="AA92" s="14" t="s">
        <v>190</v>
      </c>
      <c r="AB92" s="15" t="s">
        <v>191</v>
      </c>
      <c r="AC92" s="15"/>
      <c r="AD92" s="15"/>
    </row>
    <row r="93" customFormat="false" ht="32.8" hidden="false" customHeight="false" outlineLevel="0" collapsed="false">
      <c r="A93" s="13" t="n">
        <v>92</v>
      </c>
      <c r="B93" s="13" t="s">
        <v>850</v>
      </c>
      <c r="C93" s="13" t="s">
        <v>31</v>
      </c>
      <c r="D93" s="13" t="s">
        <v>837</v>
      </c>
      <c r="E93" s="13" t="s">
        <v>851</v>
      </c>
      <c r="F93" s="13" t="s">
        <v>50</v>
      </c>
      <c r="G93" s="13" t="s">
        <v>852</v>
      </c>
      <c r="H93" s="13" t="s">
        <v>840</v>
      </c>
      <c r="I93" s="13" t="s">
        <v>179</v>
      </c>
      <c r="J93" s="13" t="s">
        <v>24</v>
      </c>
      <c r="K93" s="13" t="s">
        <v>254</v>
      </c>
      <c r="L93" s="13" t="s">
        <v>276</v>
      </c>
      <c r="M93" s="13" t="s">
        <v>853</v>
      </c>
      <c r="N93" s="13"/>
      <c r="O93" s="13"/>
      <c r="P93" s="13"/>
      <c r="Q93" s="13"/>
      <c r="R93" s="13" t="s">
        <v>121</v>
      </c>
      <c r="S93" s="13" t="s">
        <v>130</v>
      </c>
      <c r="T93" s="13" t="s">
        <v>829</v>
      </c>
      <c r="U93" s="13" t="s">
        <v>468</v>
      </c>
      <c r="V93" s="13" t="s">
        <v>854</v>
      </c>
      <c r="W93" s="13"/>
      <c r="X93" s="13" t="s">
        <v>202</v>
      </c>
      <c r="Y93" s="13"/>
      <c r="Z93" s="13" t="s">
        <v>855</v>
      </c>
      <c r="AA93" s="14" t="s">
        <v>190</v>
      </c>
      <c r="AB93" s="15" t="s">
        <v>191</v>
      </c>
      <c r="AC93" s="15"/>
      <c r="AD93" s="15"/>
    </row>
    <row r="94" customFormat="false" ht="32.8" hidden="false" customHeight="false" outlineLevel="0" collapsed="false">
      <c r="A94" s="13" t="n">
        <v>93</v>
      </c>
      <c r="B94" s="13" t="s">
        <v>856</v>
      </c>
      <c r="C94" s="13" t="s">
        <v>31</v>
      </c>
      <c r="D94" s="13" t="s">
        <v>837</v>
      </c>
      <c r="E94" s="13" t="s">
        <v>857</v>
      </c>
      <c r="F94" s="13" t="s">
        <v>50</v>
      </c>
      <c r="G94" s="13" t="s">
        <v>858</v>
      </c>
      <c r="H94" s="13" t="s">
        <v>840</v>
      </c>
      <c r="I94" s="13" t="s">
        <v>179</v>
      </c>
      <c r="J94" s="13" t="s">
        <v>24</v>
      </c>
      <c r="K94" s="13" t="s">
        <v>254</v>
      </c>
      <c r="L94" s="13" t="s">
        <v>276</v>
      </c>
      <c r="M94" s="13" t="s">
        <v>859</v>
      </c>
      <c r="N94" s="13"/>
      <c r="O94" s="13"/>
      <c r="P94" s="13"/>
      <c r="Q94" s="13"/>
      <c r="R94" s="13" t="s">
        <v>121</v>
      </c>
      <c r="S94" s="13" t="s">
        <v>130</v>
      </c>
      <c r="T94" s="13" t="s">
        <v>829</v>
      </c>
      <c r="U94" s="13" t="s">
        <v>565</v>
      </c>
      <c r="V94" s="13" t="s">
        <v>830</v>
      </c>
      <c r="W94" s="13"/>
      <c r="X94" s="13" t="s">
        <v>187</v>
      </c>
      <c r="Y94" s="13" t="s">
        <v>860</v>
      </c>
      <c r="Z94" s="13" t="s">
        <v>831</v>
      </c>
      <c r="AA94" s="14" t="s">
        <v>190</v>
      </c>
      <c r="AB94" s="15" t="s">
        <v>191</v>
      </c>
      <c r="AC94" s="15"/>
      <c r="AD94" s="15"/>
    </row>
    <row r="95" customFormat="false" ht="32.8" hidden="false" customHeight="false" outlineLevel="0" collapsed="false">
      <c r="A95" s="13" t="n">
        <v>94</v>
      </c>
      <c r="B95" s="13" t="s">
        <v>861</v>
      </c>
      <c r="C95" s="13" t="s">
        <v>31</v>
      </c>
      <c r="D95" s="13" t="s">
        <v>862</v>
      </c>
      <c r="E95" s="13" t="s">
        <v>863</v>
      </c>
      <c r="F95" s="13" t="s">
        <v>52</v>
      </c>
      <c r="G95" s="13" t="s">
        <v>864</v>
      </c>
      <c r="H95" s="13" t="s">
        <v>388</v>
      </c>
      <c r="I95" s="13" t="s">
        <v>253</v>
      </c>
      <c r="J95" s="13" t="s">
        <v>23</v>
      </c>
      <c r="K95" s="13" t="s">
        <v>309</v>
      </c>
      <c r="L95" s="13" t="s">
        <v>865</v>
      </c>
      <c r="M95" s="13" t="s">
        <v>866</v>
      </c>
      <c r="N95" s="13"/>
      <c r="O95" s="13"/>
      <c r="P95" s="13" t="s">
        <v>79</v>
      </c>
      <c r="Q95" s="13"/>
      <c r="R95" s="13" t="s">
        <v>121</v>
      </c>
      <c r="S95" s="13" t="s">
        <v>867</v>
      </c>
      <c r="T95" s="13" t="s">
        <v>425</v>
      </c>
      <c r="U95" s="13" t="s">
        <v>565</v>
      </c>
      <c r="V95" s="13" t="s">
        <v>353</v>
      </c>
      <c r="W95" s="13"/>
      <c r="X95" s="13" t="s">
        <v>293</v>
      </c>
      <c r="Y95" s="13" t="s">
        <v>868</v>
      </c>
      <c r="Z95" s="13" t="s">
        <v>869</v>
      </c>
      <c r="AA95" s="14" t="s">
        <v>190</v>
      </c>
      <c r="AB95" s="15" t="s">
        <v>191</v>
      </c>
      <c r="AC95" s="15"/>
      <c r="AD95" s="15"/>
    </row>
    <row r="96" customFormat="false" ht="32.8" hidden="false" customHeight="false" outlineLevel="0" collapsed="false">
      <c r="A96" s="13" t="n">
        <v>95</v>
      </c>
      <c r="B96" s="13" t="s">
        <v>870</v>
      </c>
      <c r="C96" s="13" t="s">
        <v>31</v>
      </c>
      <c r="D96" s="13" t="s">
        <v>871</v>
      </c>
      <c r="E96" s="13" t="s">
        <v>872</v>
      </c>
      <c r="F96" s="13" t="s">
        <v>54</v>
      </c>
      <c r="G96" s="13" t="s">
        <v>873</v>
      </c>
      <c r="H96" s="13" t="s">
        <v>874</v>
      </c>
      <c r="I96" s="13" t="s">
        <v>397</v>
      </c>
      <c r="J96" s="13" t="s">
        <v>23</v>
      </c>
      <c r="K96" s="13" t="s">
        <v>406</v>
      </c>
      <c r="L96" s="13" t="s">
        <v>875</v>
      </c>
      <c r="M96" s="13"/>
      <c r="N96" s="13" t="s">
        <v>101</v>
      </c>
      <c r="O96" s="13"/>
      <c r="P96" s="13" t="s">
        <v>83</v>
      </c>
      <c r="Q96" s="13"/>
      <c r="R96" s="13" t="s">
        <v>876</v>
      </c>
      <c r="S96" s="13"/>
      <c r="T96" s="13"/>
      <c r="U96" s="13" t="s">
        <v>877</v>
      </c>
      <c r="V96" s="13" t="s">
        <v>878</v>
      </c>
      <c r="W96" s="13"/>
      <c r="X96" s="13" t="s">
        <v>187</v>
      </c>
      <c r="Y96" s="13" t="s">
        <v>879</v>
      </c>
      <c r="Z96" s="13" t="s">
        <v>880</v>
      </c>
      <c r="AA96" s="14" t="s">
        <v>190</v>
      </c>
      <c r="AB96" s="15" t="s">
        <v>191</v>
      </c>
      <c r="AC96" s="15"/>
      <c r="AD96" s="15"/>
    </row>
    <row r="97" customFormat="false" ht="32.8" hidden="false" customHeight="false" outlineLevel="0" collapsed="false">
      <c r="A97" s="13" t="n">
        <v>96</v>
      </c>
      <c r="B97" s="13" t="s">
        <v>881</v>
      </c>
      <c r="C97" s="13" t="s">
        <v>31</v>
      </c>
      <c r="D97" s="13" t="s">
        <v>882</v>
      </c>
      <c r="E97" s="13" t="s">
        <v>883</v>
      </c>
      <c r="F97" s="13" t="s">
        <v>56</v>
      </c>
      <c r="G97" s="13" t="s">
        <v>113</v>
      </c>
      <c r="H97" s="13" t="s">
        <v>884</v>
      </c>
      <c r="I97" s="13" t="s">
        <v>397</v>
      </c>
      <c r="J97" s="13" t="s">
        <v>23</v>
      </c>
      <c r="K97" s="13" t="s">
        <v>885</v>
      </c>
      <c r="L97" s="13" t="s">
        <v>886</v>
      </c>
      <c r="M97" s="13"/>
      <c r="N97" s="13" t="s">
        <v>95</v>
      </c>
      <c r="O97" s="13" t="s">
        <v>67</v>
      </c>
      <c r="P97" s="13" t="s">
        <v>887</v>
      </c>
      <c r="Q97" s="13"/>
      <c r="R97" s="13" t="s">
        <v>888</v>
      </c>
      <c r="S97" s="13" t="s">
        <v>127</v>
      </c>
      <c r="T97" s="13" t="s">
        <v>889</v>
      </c>
      <c r="U97" s="13" t="s">
        <v>475</v>
      </c>
      <c r="V97" s="13" t="s">
        <v>476</v>
      </c>
      <c r="W97" s="13"/>
      <c r="X97" s="13" t="s">
        <v>187</v>
      </c>
      <c r="Y97" s="13" t="s">
        <v>890</v>
      </c>
      <c r="Z97" s="13" t="s">
        <v>891</v>
      </c>
      <c r="AA97" s="14" t="s">
        <v>190</v>
      </c>
      <c r="AB97" s="15" t="s">
        <v>191</v>
      </c>
      <c r="AC97" s="15"/>
      <c r="AD97" s="15"/>
    </row>
    <row r="98" customFormat="false" ht="32.8" hidden="false" customHeight="false" outlineLevel="0" collapsed="false">
      <c r="A98" s="13" t="n">
        <v>97</v>
      </c>
      <c r="B98" s="13" t="s">
        <v>892</v>
      </c>
      <c r="C98" s="13" t="s">
        <v>31</v>
      </c>
      <c r="D98" s="13" t="s">
        <v>893</v>
      </c>
      <c r="E98" s="13" t="s">
        <v>894</v>
      </c>
      <c r="F98" s="13" t="s">
        <v>56</v>
      </c>
      <c r="G98" s="13" t="s">
        <v>113</v>
      </c>
      <c r="H98" s="13" t="s">
        <v>884</v>
      </c>
      <c r="I98" s="13" t="s">
        <v>397</v>
      </c>
      <c r="J98" s="13" t="s">
        <v>23</v>
      </c>
      <c r="K98" s="13" t="s">
        <v>885</v>
      </c>
      <c r="L98" s="13" t="s">
        <v>886</v>
      </c>
      <c r="M98" s="13"/>
      <c r="N98" s="13" t="s">
        <v>95</v>
      </c>
      <c r="O98" s="13" t="s">
        <v>67</v>
      </c>
      <c r="P98" s="13" t="s">
        <v>895</v>
      </c>
      <c r="Q98" s="13"/>
      <c r="R98" s="13" t="s">
        <v>113</v>
      </c>
      <c r="S98" s="13" t="s">
        <v>124</v>
      </c>
      <c r="T98" s="13" t="s">
        <v>818</v>
      </c>
      <c r="U98" s="13" t="s">
        <v>475</v>
      </c>
      <c r="V98" s="13" t="s">
        <v>476</v>
      </c>
      <c r="W98" s="13"/>
      <c r="X98" s="13" t="s">
        <v>187</v>
      </c>
      <c r="Y98" s="13" t="s">
        <v>896</v>
      </c>
      <c r="Z98" s="13" t="s">
        <v>897</v>
      </c>
      <c r="AA98" s="14" t="s">
        <v>190</v>
      </c>
      <c r="AB98" s="15" t="s">
        <v>191</v>
      </c>
      <c r="AC98" s="15"/>
      <c r="AD98" s="15"/>
    </row>
    <row r="99" customFormat="false" ht="32.8" hidden="false" customHeight="false" outlineLevel="0" collapsed="false">
      <c r="A99" s="13" t="n">
        <v>98</v>
      </c>
      <c r="B99" s="13" t="s">
        <v>898</v>
      </c>
      <c r="C99" s="13" t="s">
        <v>31</v>
      </c>
      <c r="D99" s="13" t="s">
        <v>899</v>
      </c>
      <c r="E99" s="13" t="s">
        <v>900</v>
      </c>
      <c r="F99" s="13" t="s">
        <v>56</v>
      </c>
      <c r="G99" s="13" t="s">
        <v>120</v>
      </c>
      <c r="H99" s="13" t="s">
        <v>901</v>
      </c>
      <c r="I99" s="13" t="s">
        <v>397</v>
      </c>
      <c r="J99" s="13" t="s">
        <v>23</v>
      </c>
      <c r="K99" s="13" t="s">
        <v>902</v>
      </c>
      <c r="L99" s="13" t="s">
        <v>903</v>
      </c>
      <c r="M99" s="13"/>
      <c r="N99" s="13"/>
      <c r="O99" s="13"/>
      <c r="P99" s="13" t="s">
        <v>887</v>
      </c>
      <c r="Q99" s="13"/>
      <c r="R99" s="13" t="s">
        <v>120</v>
      </c>
      <c r="S99" s="13" t="s">
        <v>127</v>
      </c>
      <c r="T99" s="13" t="s">
        <v>485</v>
      </c>
      <c r="U99" s="13" t="s">
        <v>475</v>
      </c>
      <c r="V99" s="13" t="s">
        <v>739</v>
      </c>
      <c r="W99" s="13" t="s">
        <v>373</v>
      </c>
      <c r="X99" s="13" t="s">
        <v>187</v>
      </c>
      <c r="Y99" s="13" t="s">
        <v>904</v>
      </c>
      <c r="Z99" s="13" t="s">
        <v>905</v>
      </c>
      <c r="AA99" s="14" t="s">
        <v>190</v>
      </c>
      <c r="AB99" s="15" t="s">
        <v>191</v>
      </c>
      <c r="AC99" s="15"/>
      <c r="AD99" s="15"/>
    </row>
    <row r="100" customFormat="false" ht="32.8" hidden="false" customHeight="false" outlineLevel="0" collapsed="false">
      <c r="A100" s="13" t="n">
        <v>99</v>
      </c>
      <c r="B100" s="13" t="s">
        <v>906</v>
      </c>
      <c r="C100" s="13" t="s">
        <v>31</v>
      </c>
      <c r="D100" s="13" t="s">
        <v>907</v>
      </c>
      <c r="E100" s="13" t="s">
        <v>908</v>
      </c>
      <c r="F100" s="13" t="s">
        <v>56</v>
      </c>
      <c r="G100" s="13" t="s">
        <v>121</v>
      </c>
      <c r="H100" s="13" t="s">
        <v>909</v>
      </c>
      <c r="I100" s="13" t="s">
        <v>397</v>
      </c>
      <c r="J100" s="13" t="s">
        <v>24</v>
      </c>
      <c r="K100" s="13" t="s">
        <v>309</v>
      </c>
      <c r="L100" s="13" t="s">
        <v>910</v>
      </c>
      <c r="M100" s="13"/>
      <c r="N100" s="13"/>
      <c r="O100" s="13"/>
      <c r="P100" s="13" t="s">
        <v>90</v>
      </c>
      <c r="Q100" s="13"/>
      <c r="R100" s="13" t="s">
        <v>121</v>
      </c>
      <c r="S100" s="13" t="s">
        <v>125</v>
      </c>
      <c r="T100" s="13" t="s">
        <v>911</v>
      </c>
      <c r="U100" s="13" t="s">
        <v>912</v>
      </c>
      <c r="V100" s="13" t="s">
        <v>913</v>
      </c>
      <c r="W100" s="13"/>
      <c r="X100" s="13" t="s">
        <v>202</v>
      </c>
      <c r="Y100" s="13"/>
      <c r="Z100" s="13" t="s">
        <v>914</v>
      </c>
      <c r="AA100" s="14" t="s">
        <v>190</v>
      </c>
      <c r="AB100" s="15" t="s">
        <v>191</v>
      </c>
      <c r="AC100" s="15"/>
      <c r="AD100" s="15"/>
    </row>
    <row r="101" customFormat="false" ht="32.8" hidden="false" customHeight="false" outlineLevel="0" collapsed="false">
      <c r="A101" s="13" t="n">
        <v>100</v>
      </c>
      <c r="B101" s="13" t="s">
        <v>915</v>
      </c>
      <c r="C101" s="13" t="s">
        <v>31</v>
      </c>
      <c r="D101" s="13" t="s">
        <v>916</v>
      </c>
      <c r="E101" s="13" t="s">
        <v>917</v>
      </c>
      <c r="F101" s="13" t="s">
        <v>56</v>
      </c>
      <c r="G101" s="13" t="s">
        <v>113</v>
      </c>
      <c r="H101" s="13" t="s">
        <v>884</v>
      </c>
      <c r="I101" s="13" t="s">
        <v>397</v>
      </c>
      <c r="J101" s="13" t="s">
        <v>23</v>
      </c>
      <c r="K101" s="13" t="s">
        <v>885</v>
      </c>
      <c r="L101" s="13" t="s">
        <v>886</v>
      </c>
      <c r="M101" s="13"/>
      <c r="N101" s="13" t="s">
        <v>95</v>
      </c>
      <c r="O101" s="13" t="s">
        <v>67</v>
      </c>
      <c r="P101" s="13" t="s">
        <v>77</v>
      </c>
      <c r="Q101" s="13"/>
      <c r="R101" s="13" t="s">
        <v>918</v>
      </c>
      <c r="S101" s="13" t="s">
        <v>127</v>
      </c>
      <c r="T101" s="13" t="s">
        <v>485</v>
      </c>
      <c r="U101" s="13" t="s">
        <v>919</v>
      </c>
      <c r="V101" s="13" t="s">
        <v>720</v>
      </c>
      <c r="W101" s="13"/>
      <c r="X101" s="13" t="s">
        <v>187</v>
      </c>
      <c r="Y101" s="13" t="s">
        <v>890</v>
      </c>
      <c r="Z101" s="13" t="s">
        <v>920</v>
      </c>
      <c r="AA101" s="14" t="s">
        <v>190</v>
      </c>
      <c r="AB101" s="15" t="s">
        <v>191</v>
      </c>
      <c r="AC101" s="15"/>
      <c r="AD101" s="15"/>
    </row>
    <row r="102" customFormat="false" ht="32.8" hidden="false" customHeight="false" outlineLevel="0" collapsed="false">
      <c r="A102" s="13" t="n">
        <v>101</v>
      </c>
      <c r="B102" s="13" t="s">
        <v>921</v>
      </c>
      <c r="C102" s="13" t="s">
        <v>31</v>
      </c>
      <c r="D102" s="13" t="s">
        <v>922</v>
      </c>
      <c r="E102" s="13" t="s">
        <v>923</v>
      </c>
      <c r="F102" s="13" t="s">
        <v>56</v>
      </c>
      <c r="G102" s="13" t="s">
        <v>113</v>
      </c>
      <c r="H102" s="13" t="s">
        <v>884</v>
      </c>
      <c r="I102" s="13" t="s">
        <v>397</v>
      </c>
      <c r="J102" s="13" t="s">
        <v>24</v>
      </c>
      <c r="K102" s="13" t="s">
        <v>885</v>
      </c>
      <c r="L102" s="13" t="s">
        <v>910</v>
      </c>
      <c r="M102" s="13"/>
      <c r="N102" s="13"/>
      <c r="O102" s="13"/>
      <c r="P102" s="13" t="s">
        <v>77</v>
      </c>
      <c r="Q102" s="13"/>
      <c r="R102" s="13" t="s">
        <v>888</v>
      </c>
      <c r="S102" s="13" t="s">
        <v>126</v>
      </c>
      <c r="T102" s="13" t="s">
        <v>924</v>
      </c>
      <c r="U102" s="13" t="s">
        <v>925</v>
      </c>
      <c r="V102" s="13" t="s">
        <v>926</v>
      </c>
      <c r="W102" s="13"/>
      <c r="X102" s="13" t="s">
        <v>187</v>
      </c>
      <c r="Y102" s="13" t="s">
        <v>927</v>
      </c>
      <c r="Z102" s="13" t="s">
        <v>928</v>
      </c>
      <c r="AA102" s="14" t="s">
        <v>190</v>
      </c>
      <c r="AB102" s="15" t="s">
        <v>191</v>
      </c>
      <c r="AC102" s="15"/>
      <c r="AD102" s="15"/>
    </row>
    <row r="103" customFormat="false" ht="22.35" hidden="false" customHeight="false" outlineLevel="0" collapsed="false">
      <c r="A103" s="13" t="n">
        <v>102</v>
      </c>
      <c r="B103" s="13" t="s">
        <v>929</v>
      </c>
      <c r="C103" s="13" t="s">
        <v>31</v>
      </c>
      <c r="D103" s="13" t="s">
        <v>930</v>
      </c>
      <c r="E103" s="13" t="s">
        <v>931</v>
      </c>
      <c r="F103" s="13" t="s">
        <v>56</v>
      </c>
      <c r="G103" s="13" t="s">
        <v>120</v>
      </c>
      <c r="H103" s="13" t="s">
        <v>901</v>
      </c>
      <c r="I103" s="13" t="s">
        <v>397</v>
      </c>
      <c r="J103" s="13" t="s">
        <v>23</v>
      </c>
      <c r="K103" s="13" t="s">
        <v>406</v>
      </c>
      <c r="L103" s="13" t="s">
        <v>407</v>
      </c>
      <c r="M103" s="13"/>
      <c r="N103" s="13"/>
      <c r="O103" s="13"/>
      <c r="P103" s="13" t="s">
        <v>932</v>
      </c>
      <c r="Q103" s="13"/>
      <c r="R103" s="13" t="s">
        <v>933</v>
      </c>
      <c r="S103" s="13" t="s">
        <v>435</v>
      </c>
      <c r="T103" s="13"/>
      <c r="U103" s="13" t="s">
        <v>565</v>
      </c>
      <c r="V103" s="13" t="s">
        <v>353</v>
      </c>
      <c r="W103" s="13" t="s">
        <v>373</v>
      </c>
      <c r="X103" s="13" t="s">
        <v>187</v>
      </c>
      <c r="Y103" s="13" t="s">
        <v>934</v>
      </c>
      <c r="Z103" s="13" t="s">
        <v>935</v>
      </c>
      <c r="AA103" s="14" t="s">
        <v>190</v>
      </c>
      <c r="AB103" s="15" t="s">
        <v>191</v>
      </c>
      <c r="AC103" s="15"/>
      <c r="AD103" s="15"/>
    </row>
    <row r="104" customFormat="false" ht="32.8" hidden="false" customHeight="false" outlineLevel="0" collapsed="false">
      <c r="A104" s="13" t="n">
        <v>103</v>
      </c>
      <c r="B104" s="13" t="s">
        <v>936</v>
      </c>
      <c r="C104" s="13" t="s">
        <v>31</v>
      </c>
      <c r="D104" s="13" t="s">
        <v>937</v>
      </c>
      <c r="E104" s="13" t="s">
        <v>938</v>
      </c>
      <c r="F104" s="13" t="s">
        <v>57</v>
      </c>
      <c r="G104" s="13" t="s">
        <v>124</v>
      </c>
      <c r="H104" s="13" t="s">
        <v>939</v>
      </c>
      <c r="I104" s="13" t="s">
        <v>397</v>
      </c>
      <c r="J104" s="13" t="s">
        <v>24</v>
      </c>
      <c r="K104" s="13" t="s">
        <v>406</v>
      </c>
      <c r="L104" s="13" t="s">
        <v>910</v>
      </c>
      <c r="M104" s="13"/>
      <c r="N104" s="13"/>
      <c r="O104" s="13"/>
      <c r="P104" s="13" t="s">
        <v>79</v>
      </c>
      <c r="Q104" s="13"/>
      <c r="R104" s="13" t="s">
        <v>121</v>
      </c>
      <c r="S104" s="13" t="s">
        <v>124</v>
      </c>
      <c r="T104" s="13" t="s">
        <v>425</v>
      </c>
      <c r="U104" s="13" t="s">
        <v>565</v>
      </c>
      <c r="V104" s="13" t="s">
        <v>353</v>
      </c>
      <c r="W104" s="13"/>
      <c r="X104" s="13" t="s">
        <v>187</v>
      </c>
      <c r="Y104" s="13" t="s">
        <v>940</v>
      </c>
      <c r="Z104" s="13" t="s">
        <v>941</v>
      </c>
      <c r="AA104" s="14" t="s">
        <v>190</v>
      </c>
      <c r="AB104" s="15" t="s">
        <v>191</v>
      </c>
      <c r="AC104" s="15"/>
      <c r="AD104" s="15"/>
    </row>
    <row r="105" customFormat="false" ht="22.35" hidden="false" customHeight="false" outlineLevel="0" collapsed="false">
      <c r="A105" s="13" t="n">
        <v>104</v>
      </c>
      <c r="B105" s="13" t="s">
        <v>942</v>
      </c>
      <c r="C105" s="13" t="s">
        <v>31</v>
      </c>
      <c r="D105" s="13" t="s">
        <v>943</v>
      </c>
      <c r="E105" s="13" t="s">
        <v>944</v>
      </c>
      <c r="F105" s="13" t="s">
        <v>60</v>
      </c>
      <c r="G105" s="13" t="s">
        <v>945</v>
      </c>
      <c r="H105" s="13" t="s">
        <v>946</v>
      </c>
      <c r="I105" s="13" t="s">
        <v>397</v>
      </c>
      <c r="J105" s="13" t="s">
        <v>23</v>
      </c>
      <c r="K105" s="13" t="s">
        <v>947</v>
      </c>
      <c r="L105" s="13" t="s">
        <v>948</v>
      </c>
      <c r="M105" s="13"/>
      <c r="N105" s="13"/>
      <c r="O105" s="13"/>
      <c r="P105" s="13"/>
      <c r="Q105" s="13"/>
      <c r="R105" s="13" t="s">
        <v>120</v>
      </c>
      <c r="S105" s="13" t="s">
        <v>131</v>
      </c>
      <c r="T105" s="13"/>
      <c r="U105" s="13" t="s">
        <v>217</v>
      </c>
      <c r="V105" s="13" t="s">
        <v>218</v>
      </c>
      <c r="W105" s="13" t="s">
        <v>949</v>
      </c>
      <c r="X105" s="13" t="s">
        <v>187</v>
      </c>
      <c r="Y105" s="13" t="s">
        <v>408</v>
      </c>
      <c r="Z105" s="13" t="s">
        <v>950</v>
      </c>
      <c r="AA105" s="14" t="s">
        <v>190</v>
      </c>
      <c r="AB105" s="15" t="s">
        <v>191</v>
      </c>
      <c r="AC105" s="15"/>
      <c r="AD105" s="15"/>
    </row>
    <row r="106" customFormat="false" ht="32.8" hidden="false" customHeight="false" outlineLevel="0" collapsed="false">
      <c r="A106" s="13" t="n">
        <v>105</v>
      </c>
      <c r="B106" s="13" t="s">
        <v>951</v>
      </c>
      <c r="C106" s="13" t="s">
        <v>32</v>
      </c>
      <c r="D106" s="13" t="s">
        <v>952</v>
      </c>
      <c r="E106" s="13" t="s">
        <v>953</v>
      </c>
      <c r="F106" s="13" t="s">
        <v>51</v>
      </c>
      <c r="G106" s="13" t="s">
        <v>954</v>
      </c>
      <c r="H106" s="13" t="s">
        <v>955</v>
      </c>
      <c r="I106" s="13" t="s">
        <v>253</v>
      </c>
      <c r="J106" s="13" t="s">
        <v>26</v>
      </c>
      <c r="K106" s="13" t="s">
        <v>288</v>
      </c>
      <c r="L106" s="13" t="s">
        <v>956</v>
      </c>
      <c r="M106" s="13" t="s">
        <v>957</v>
      </c>
      <c r="N106" s="13" t="s">
        <v>93</v>
      </c>
      <c r="O106" s="13"/>
      <c r="P106" s="13"/>
      <c r="Q106" s="13"/>
      <c r="R106" s="13" t="s">
        <v>106</v>
      </c>
      <c r="S106" s="13"/>
      <c r="T106" s="13" t="s">
        <v>958</v>
      </c>
      <c r="U106" s="13" t="s">
        <v>492</v>
      </c>
      <c r="V106" s="13" t="s">
        <v>959</v>
      </c>
      <c r="W106" s="13"/>
      <c r="X106" s="13" t="s">
        <v>202</v>
      </c>
      <c r="Y106" s="13"/>
      <c r="Z106" s="13" t="s">
        <v>960</v>
      </c>
      <c r="AA106" s="14" t="s">
        <v>190</v>
      </c>
      <c r="AB106" s="15" t="s">
        <v>191</v>
      </c>
      <c r="AC106" s="15"/>
      <c r="AD106" s="15"/>
    </row>
    <row r="107" customFormat="false" ht="32.8" hidden="false" customHeight="false" outlineLevel="0" collapsed="false">
      <c r="A107" s="13" t="n">
        <v>106</v>
      </c>
      <c r="B107" s="13" t="s">
        <v>961</v>
      </c>
      <c r="C107" s="13" t="s">
        <v>32</v>
      </c>
      <c r="D107" s="13" t="s">
        <v>952</v>
      </c>
      <c r="E107" s="13" t="s">
        <v>962</v>
      </c>
      <c r="F107" s="13" t="s">
        <v>51</v>
      </c>
      <c r="G107" s="13" t="s">
        <v>963</v>
      </c>
      <c r="H107" s="13" t="s">
        <v>955</v>
      </c>
      <c r="I107" s="13" t="s">
        <v>253</v>
      </c>
      <c r="J107" s="13" t="s">
        <v>26</v>
      </c>
      <c r="K107" s="13" t="s">
        <v>288</v>
      </c>
      <c r="L107" s="13" t="s">
        <v>956</v>
      </c>
      <c r="M107" s="13" t="s">
        <v>964</v>
      </c>
      <c r="N107" s="13" t="s">
        <v>93</v>
      </c>
      <c r="O107" s="13"/>
      <c r="P107" s="13"/>
      <c r="Q107" s="13"/>
      <c r="R107" s="13" t="s">
        <v>106</v>
      </c>
      <c r="S107" s="13"/>
      <c r="T107" s="13" t="s">
        <v>958</v>
      </c>
      <c r="U107" s="13" t="s">
        <v>492</v>
      </c>
      <c r="V107" s="13" t="s">
        <v>959</v>
      </c>
      <c r="W107" s="13"/>
      <c r="X107" s="13" t="s">
        <v>202</v>
      </c>
      <c r="Y107" s="13"/>
      <c r="Z107" s="13" t="s">
        <v>965</v>
      </c>
      <c r="AA107" s="14" t="s">
        <v>190</v>
      </c>
      <c r="AB107" s="15" t="s">
        <v>191</v>
      </c>
      <c r="AC107" s="15"/>
      <c r="AD107" s="15"/>
    </row>
    <row r="108" customFormat="false" ht="32.8" hidden="false" customHeight="false" outlineLevel="0" collapsed="false">
      <c r="A108" s="13" t="n">
        <v>107</v>
      </c>
      <c r="B108" s="13" t="s">
        <v>966</v>
      </c>
      <c r="C108" s="13" t="s">
        <v>32</v>
      </c>
      <c r="D108" s="13" t="s">
        <v>967</v>
      </c>
      <c r="E108" s="13" t="s">
        <v>968</v>
      </c>
      <c r="F108" s="13" t="s">
        <v>51</v>
      </c>
      <c r="G108" s="13" t="s">
        <v>969</v>
      </c>
      <c r="H108" s="13" t="s">
        <v>955</v>
      </c>
      <c r="I108" s="13" t="s">
        <v>253</v>
      </c>
      <c r="J108" s="13" t="s">
        <v>26</v>
      </c>
      <c r="K108" s="13" t="s">
        <v>288</v>
      </c>
      <c r="L108" s="13" t="s">
        <v>956</v>
      </c>
      <c r="M108" s="13" t="s">
        <v>970</v>
      </c>
      <c r="N108" s="13" t="s">
        <v>93</v>
      </c>
      <c r="O108" s="13"/>
      <c r="P108" s="13"/>
      <c r="Q108" s="13"/>
      <c r="R108" s="13" t="s">
        <v>106</v>
      </c>
      <c r="S108" s="13"/>
      <c r="T108" s="13" t="s">
        <v>958</v>
      </c>
      <c r="U108" s="13" t="s">
        <v>492</v>
      </c>
      <c r="V108" s="13" t="s">
        <v>959</v>
      </c>
      <c r="W108" s="13"/>
      <c r="X108" s="13" t="s">
        <v>202</v>
      </c>
      <c r="Y108" s="13"/>
      <c r="Z108" s="13" t="s">
        <v>971</v>
      </c>
      <c r="AA108" s="14" t="s">
        <v>190</v>
      </c>
      <c r="AB108" s="15" t="s">
        <v>191</v>
      </c>
      <c r="AC108" s="15"/>
      <c r="AD108" s="15"/>
    </row>
    <row r="109" customFormat="false" ht="32.8" hidden="false" customHeight="false" outlineLevel="0" collapsed="false">
      <c r="A109" s="13" t="n">
        <v>108</v>
      </c>
      <c r="B109" s="13" t="s">
        <v>972</v>
      </c>
      <c r="C109" s="13" t="s">
        <v>32</v>
      </c>
      <c r="D109" s="13" t="s">
        <v>967</v>
      </c>
      <c r="E109" s="13" t="s">
        <v>973</v>
      </c>
      <c r="F109" s="13" t="s">
        <v>51</v>
      </c>
      <c r="G109" s="13" t="s">
        <v>974</v>
      </c>
      <c r="H109" s="13" t="s">
        <v>955</v>
      </c>
      <c r="I109" s="13" t="s">
        <v>179</v>
      </c>
      <c r="J109" s="13" t="s">
        <v>25</v>
      </c>
      <c r="K109" s="13" t="s">
        <v>288</v>
      </c>
      <c r="L109" s="13" t="s">
        <v>956</v>
      </c>
      <c r="M109" s="13" t="s">
        <v>975</v>
      </c>
      <c r="N109" s="13" t="s">
        <v>93</v>
      </c>
      <c r="O109" s="13"/>
      <c r="P109" s="13"/>
      <c r="Q109" s="13"/>
      <c r="R109" s="13" t="s">
        <v>106</v>
      </c>
      <c r="S109" s="13"/>
      <c r="T109" s="13" t="s">
        <v>958</v>
      </c>
      <c r="U109" s="13" t="s">
        <v>492</v>
      </c>
      <c r="V109" s="13" t="s">
        <v>959</v>
      </c>
      <c r="W109" s="13"/>
      <c r="X109" s="13" t="s">
        <v>202</v>
      </c>
      <c r="Y109" s="13"/>
      <c r="Z109" s="13" t="s">
        <v>976</v>
      </c>
      <c r="AA109" s="14" t="s">
        <v>190</v>
      </c>
      <c r="AB109" s="15" t="s">
        <v>191</v>
      </c>
      <c r="AC109" s="15"/>
      <c r="AD109" s="15"/>
    </row>
    <row r="110" customFormat="false" ht="32.8" hidden="false" customHeight="false" outlineLevel="0" collapsed="false">
      <c r="A110" s="13" t="n">
        <v>109</v>
      </c>
      <c r="B110" s="13" t="s">
        <v>977</v>
      </c>
      <c r="C110" s="13" t="s">
        <v>32</v>
      </c>
      <c r="D110" s="13" t="s">
        <v>978</v>
      </c>
      <c r="E110" s="13" t="s">
        <v>979</v>
      </c>
      <c r="F110" s="13" t="s">
        <v>51</v>
      </c>
      <c r="G110" s="13" t="s">
        <v>980</v>
      </c>
      <c r="H110" s="13" t="s">
        <v>955</v>
      </c>
      <c r="I110" s="13" t="s">
        <v>253</v>
      </c>
      <c r="J110" s="13" t="s">
        <v>25</v>
      </c>
      <c r="K110" s="13" t="s">
        <v>288</v>
      </c>
      <c r="L110" s="13" t="s">
        <v>981</v>
      </c>
      <c r="M110" s="13" t="s">
        <v>982</v>
      </c>
      <c r="N110" s="13" t="s">
        <v>92</v>
      </c>
      <c r="O110" s="13"/>
      <c r="P110" s="13"/>
      <c r="Q110" s="13"/>
      <c r="R110" s="13"/>
      <c r="S110" s="13"/>
      <c r="T110" s="13" t="s">
        <v>983</v>
      </c>
      <c r="U110" s="13" t="s">
        <v>492</v>
      </c>
      <c r="V110" s="13" t="s">
        <v>265</v>
      </c>
      <c r="W110" s="13"/>
      <c r="X110" s="13" t="s">
        <v>202</v>
      </c>
      <c r="Y110" s="13"/>
      <c r="Z110" s="13" t="s">
        <v>542</v>
      </c>
      <c r="AA110" s="14" t="s">
        <v>190</v>
      </c>
      <c r="AB110" s="15" t="s">
        <v>191</v>
      </c>
      <c r="AC110" s="15"/>
      <c r="AD110" s="15"/>
    </row>
    <row r="111" customFormat="false" ht="32.8" hidden="false" customHeight="false" outlineLevel="0" collapsed="false">
      <c r="A111" s="13" t="n">
        <v>110</v>
      </c>
      <c r="B111" s="13" t="s">
        <v>984</v>
      </c>
      <c r="C111" s="13" t="s">
        <v>32</v>
      </c>
      <c r="D111" s="13" t="s">
        <v>978</v>
      </c>
      <c r="E111" s="13" t="s">
        <v>985</v>
      </c>
      <c r="F111" s="13" t="s">
        <v>51</v>
      </c>
      <c r="G111" s="13" t="s">
        <v>986</v>
      </c>
      <c r="H111" s="13" t="s">
        <v>955</v>
      </c>
      <c r="I111" s="13" t="s">
        <v>253</v>
      </c>
      <c r="J111" s="13" t="s">
        <v>26</v>
      </c>
      <c r="K111" s="13" t="s">
        <v>288</v>
      </c>
      <c r="L111" s="13" t="s">
        <v>981</v>
      </c>
      <c r="M111" s="13" t="s">
        <v>987</v>
      </c>
      <c r="N111" s="13" t="s">
        <v>92</v>
      </c>
      <c r="O111" s="13"/>
      <c r="P111" s="13"/>
      <c r="Q111" s="13"/>
      <c r="R111" s="13"/>
      <c r="S111" s="13"/>
      <c r="T111" s="13" t="s">
        <v>983</v>
      </c>
      <c r="U111" s="13" t="s">
        <v>492</v>
      </c>
      <c r="V111" s="13" t="s">
        <v>959</v>
      </c>
      <c r="W111" s="13"/>
      <c r="X111" s="13" t="s">
        <v>202</v>
      </c>
      <c r="Y111" s="13"/>
      <c r="Z111" s="13" t="s">
        <v>988</v>
      </c>
      <c r="AA111" s="14" t="s">
        <v>190</v>
      </c>
      <c r="AB111" s="15" t="s">
        <v>191</v>
      </c>
      <c r="AC111" s="15"/>
      <c r="AD111" s="15"/>
    </row>
    <row r="112" customFormat="false" ht="32.8" hidden="false" customHeight="false" outlineLevel="0" collapsed="false">
      <c r="A112" s="13" t="n">
        <v>111</v>
      </c>
      <c r="B112" s="13" t="s">
        <v>989</v>
      </c>
      <c r="C112" s="13" t="s">
        <v>32</v>
      </c>
      <c r="D112" s="13" t="s">
        <v>978</v>
      </c>
      <c r="E112" s="13" t="s">
        <v>990</v>
      </c>
      <c r="F112" s="13" t="s">
        <v>51</v>
      </c>
      <c r="G112" s="13" t="s">
        <v>991</v>
      </c>
      <c r="H112" s="13" t="s">
        <v>955</v>
      </c>
      <c r="I112" s="13" t="s">
        <v>992</v>
      </c>
      <c r="J112" s="13" t="s">
        <v>25</v>
      </c>
      <c r="K112" s="13" t="s">
        <v>288</v>
      </c>
      <c r="L112" s="13" t="s">
        <v>981</v>
      </c>
      <c r="M112" s="13" t="s">
        <v>993</v>
      </c>
      <c r="N112" s="13" t="s">
        <v>92</v>
      </c>
      <c r="O112" s="13"/>
      <c r="P112" s="13"/>
      <c r="Q112" s="13"/>
      <c r="R112" s="13"/>
      <c r="S112" s="13"/>
      <c r="T112" s="13" t="s">
        <v>983</v>
      </c>
      <c r="U112" s="13" t="s">
        <v>994</v>
      </c>
      <c r="V112" s="13" t="s">
        <v>265</v>
      </c>
      <c r="W112" s="13"/>
      <c r="X112" s="13" t="s">
        <v>202</v>
      </c>
      <c r="Y112" s="13"/>
      <c r="Z112" s="13" t="s">
        <v>995</v>
      </c>
      <c r="AA112" s="14" t="s">
        <v>190</v>
      </c>
      <c r="AB112" s="15" t="s">
        <v>191</v>
      </c>
      <c r="AC112" s="15"/>
      <c r="AD112" s="15"/>
    </row>
    <row r="113" customFormat="false" ht="32.8" hidden="false" customHeight="false" outlineLevel="0" collapsed="false">
      <c r="A113" s="13" t="n">
        <v>112</v>
      </c>
      <c r="B113" s="13" t="s">
        <v>996</v>
      </c>
      <c r="C113" s="13" t="s">
        <v>32</v>
      </c>
      <c r="D113" s="13" t="s">
        <v>978</v>
      </c>
      <c r="E113" s="13" t="s">
        <v>997</v>
      </c>
      <c r="F113" s="13" t="s">
        <v>51</v>
      </c>
      <c r="G113" s="13" t="s">
        <v>998</v>
      </c>
      <c r="H113" s="13" t="s">
        <v>955</v>
      </c>
      <c r="I113" s="13" t="s">
        <v>253</v>
      </c>
      <c r="J113" s="13" t="s">
        <v>25</v>
      </c>
      <c r="K113" s="13" t="s">
        <v>288</v>
      </c>
      <c r="L113" s="13" t="s">
        <v>981</v>
      </c>
      <c r="M113" s="13" t="s">
        <v>999</v>
      </c>
      <c r="N113" s="13" t="s">
        <v>92</v>
      </c>
      <c r="O113" s="13"/>
      <c r="P113" s="13"/>
      <c r="Q113" s="13"/>
      <c r="R113" s="13"/>
      <c r="S113" s="13"/>
      <c r="T113" s="13" t="s">
        <v>983</v>
      </c>
      <c r="U113" s="13" t="s">
        <v>1000</v>
      </c>
      <c r="V113" s="13" t="s">
        <v>959</v>
      </c>
      <c r="W113" s="13"/>
      <c r="X113" s="13" t="s">
        <v>202</v>
      </c>
      <c r="Y113" s="13"/>
      <c r="Z113" s="13" t="s">
        <v>1001</v>
      </c>
      <c r="AA113" s="14" t="s">
        <v>190</v>
      </c>
      <c r="AB113" s="15" t="s">
        <v>191</v>
      </c>
      <c r="AC113" s="15"/>
      <c r="AD113" s="15"/>
    </row>
    <row r="114" customFormat="false" ht="32.8" hidden="false" customHeight="false" outlineLevel="0" collapsed="false">
      <c r="A114" s="13" t="n">
        <v>113</v>
      </c>
      <c r="B114" s="13" t="s">
        <v>1002</v>
      </c>
      <c r="C114" s="13" t="s">
        <v>32</v>
      </c>
      <c r="D114" s="13" t="s">
        <v>1003</v>
      </c>
      <c r="E114" s="13" t="s">
        <v>1004</v>
      </c>
      <c r="F114" s="13" t="s">
        <v>51</v>
      </c>
      <c r="G114" s="13" t="s">
        <v>1005</v>
      </c>
      <c r="H114" s="13" t="s">
        <v>955</v>
      </c>
      <c r="I114" s="13" t="s">
        <v>253</v>
      </c>
      <c r="J114" s="13" t="s">
        <v>25</v>
      </c>
      <c r="K114" s="13" t="s">
        <v>288</v>
      </c>
      <c r="L114" s="13" t="s">
        <v>1006</v>
      </c>
      <c r="M114" s="13" t="s">
        <v>1007</v>
      </c>
      <c r="N114" s="13" t="s">
        <v>92</v>
      </c>
      <c r="O114" s="13" t="s">
        <v>74</v>
      </c>
      <c r="P114" s="13"/>
      <c r="Q114" s="13" t="s">
        <v>1008</v>
      </c>
      <c r="R114" s="13"/>
      <c r="S114" s="13"/>
      <c r="T114" s="13" t="s">
        <v>983</v>
      </c>
      <c r="U114" s="13" t="s">
        <v>492</v>
      </c>
      <c r="V114" s="13" t="s">
        <v>959</v>
      </c>
      <c r="W114" s="13"/>
      <c r="X114" s="13" t="s">
        <v>187</v>
      </c>
      <c r="Y114" s="13" t="s">
        <v>1009</v>
      </c>
      <c r="Z114" s="13" t="s">
        <v>632</v>
      </c>
      <c r="AA114" s="14" t="s">
        <v>190</v>
      </c>
      <c r="AB114" s="15" t="s">
        <v>191</v>
      </c>
      <c r="AC114" s="15"/>
      <c r="AD114" s="15"/>
    </row>
    <row r="115" customFormat="false" ht="32.8" hidden="false" customHeight="false" outlineLevel="0" collapsed="false">
      <c r="A115" s="13" t="n">
        <v>114</v>
      </c>
      <c r="B115" s="13" t="s">
        <v>1010</v>
      </c>
      <c r="C115" s="13" t="s">
        <v>32</v>
      </c>
      <c r="D115" s="13" t="s">
        <v>1011</v>
      </c>
      <c r="E115" s="13" t="s">
        <v>1012</v>
      </c>
      <c r="F115" s="13" t="s">
        <v>51</v>
      </c>
      <c r="G115" s="13" t="s">
        <v>1013</v>
      </c>
      <c r="H115" s="13" t="s">
        <v>955</v>
      </c>
      <c r="I115" s="13" t="s">
        <v>179</v>
      </c>
      <c r="J115" s="13" t="s">
        <v>24</v>
      </c>
      <c r="K115" s="13" t="s">
        <v>288</v>
      </c>
      <c r="L115" s="13" t="s">
        <v>956</v>
      </c>
      <c r="M115" s="13" t="s">
        <v>1014</v>
      </c>
      <c r="N115" s="13" t="s">
        <v>92</v>
      </c>
      <c r="O115" s="13"/>
      <c r="P115" s="13"/>
      <c r="Q115" s="13"/>
      <c r="R115" s="13" t="s">
        <v>119</v>
      </c>
      <c r="S115" s="13"/>
      <c r="T115" s="13" t="s">
        <v>1015</v>
      </c>
      <c r="U115" s="13" t="s">
        <v>1016</v>
      </c>
      <c r="V115" s="13" t="s">
        <v>1017</v>
      </c>
      <c r="W115" s="13"/>
      <c r="X115" s="13" t="s">
        <v>202</v>
      </c>
      <c r="Y115" s="13"/>
      <c r="Z115" s="13" t="s">
        <v>1018</v>
      </c>
      <c r="AA115" s="14" t="s">
        <v>190</v>
      </c>
      <c r="AB115" s="15" t="s">
        <v>191</v>
      </c>
      <c r="AC115" s="15"/>
      <c r="AD115" s="15"/>
    </row>
    <row r="116" customFormat="false" ht="32.8" hidden="false" customHeight="false" outlineLevel="0" collapsed="false">
      <c r="A116" s="13" t="n">
        <v>115</v>
      </c>
      <c r="B116" s="13" t="s">
        <v>1019</v>
      </c>
      <c r="C116" s="13" t="s">
        <v>32</v>
      </c>
      <c r="D116" s="13" t="s">
        <v>1011</v>
      </c>
      <c r="E116" s="13" t="s">
        <v>1020</v>
      </c>
      <c r="F116" s="13" t="s">
        <v>51</v>
      </c>
      <c r="G116" s="13" t="s">
        <v>1021</v>
      </c>
      <c r="H116" s="13" t="s">
        <v>955</v>
      </c>
      <c r="I116" s="13" t="s">
        <v>179</v>
      </c>
      <c r="J116" s="13" t="s">
        <v>23</v>
      </c>
      <c r="K116" s="13" t="s">
        <v>288</v>
      </c>
      <c r="L116" s="13" t="s">
        <v>1022</v>
      </c>
      <c r="M116" s="13" t="s">
        <v>1023</v>
      </c>
      <c r="N116" s="13" t="s">
        <v>102</v>
      </c>
      <c r="O116" s="13" t="s">
        <v>69</v>
      </c>
      <c r="P116" s="13"/>
      <c r="Q116" s="13"/>
      <c r="R116" s="13"/>
      <c r="S116" s="13"/>
      <c r="T116" s="13"/>
      <c r="U116" s="13" t="s">
        <v>1024</v>
      </c>
      <c r="V116" s="13" t="s">
        <v>265</v>
      </c>
      <c r="W116" s="13"/>
      <c r="X116" s="13" t="s">
        <v>187</v>
      </c>
      <c r="Y116" s="13" t="s">
        <v>1025</v>
      </c>
      <c r="Z116" s="13" t="s">
        <v>1026</v>
      </c>
      <c r="AA116" s="14" t="s">
        <v>190</v>
      </c>
      <c r="AB116" s="15" t="s">
        <v>191</v>
      </c>
      <c r="AC116" s="15"/>
      <c r="AD116" s="15"/>
    </row>
    <row r="117" customFormat="false" ht="32.8" hidden="false" customHeight="false" outlineLevel="0" collapsed="false">
      <c r="A117" s="13" t="n">
        <v>116</v>
      </c>
      <c r="B117" s="13" t="s">
        <v>1027</v>
      </c>
      <c r="C117" s="13" t="s">
        <v>32</v>
      </c>
      <c r="D117" s="13" t="s">
        <v>1028</v>
      </c>
      <c r="E117" s="13" t="s">
        <v>1029</v>
      </c>
      <c r="F117" s="13" t="s">
        <v>51</v>
      </c>
      <c r="G117" s="13" t="s">
        <v>1030</v>
      </c>
      <c r="H117" s="13" t="s">
        <v>955</v>
      </c>
      <c r="I117" s="13" t="s">
        <v>179</v>
      </c>
      <c r="J117" s="13" t="s">
        <v>24</v>
      </c>
      <c r="K117" s="13" t="s">
        <v>288</v>
      </c>
      <c r="L117" s="13" t="s">
        <v>956</v>
      </c>
      <c r="M117" s="13" t="s">
        <v>1031</v>
      </c>
      <c r="N117" s="13" t="s">
        <v>93</v>
      </c>
      <c r="O117" s="13"/>
      <c r="P117" s="13"/>
      <c r="Q117" s="13"/>
      <c r="R117" s="13" t="s">
        <v>106</v>
      </c>
      <c r="S117" s="13"/>
      <c r="T117" s="13" t="s">
        <v>958</v>
      </c>
      <c r="U117" s="13" t="s">
        <v>1032</v>
      </c>
      <c r="V117" s="13" t="s">
        <v>1033</v>
      </c>
      <c r="W117" s="13"/>
      <c r="X117" s="13" t="s">
        <v>187</v>
      </c>
      <c r="Y117" s="13" t="s">
        <v>1034</v>
      </c>
      <c r="Z117" s="13" t="s">
        <v>1035</v>
      </c>
      <c r="AA117" s="14" t="s">
        <v>190</v>
      </c>
      <c r="AB117" s="15" t="s">
        <v>191</v>
      </c>
      <c r="AC117" s="15"/>
      <c r="AD117" s="15"/>
    </row>
    <row r="118" customFormat="false" ht="32.8" hidden="false" customHeight="false" outlineLevel="0" collapsed="false">
      <c r="A118" s="13" t="n">
        <v>117</v>
      </c>
      <c r="B118" s="13" t="s">
        <v>1036</v>
      </c>
      <c r="C118" s="13" t="s">
        <v>32</v>
      </c>
      <c r="D118" s="13" t="s">
        <v>1028</v>
      </c>
      <c r="E118" s="13" t="s">
        <v>1037</v>
      </c>
      <c r="F118" s="13" t="s">
        <v>51</v>
      </c>
      <c r="G118" s="13" t="s">
        <v>1038</v>
      </c>
      <c r="H118" s="13" t="s">
        <v>955</v>
      </c>
      <c r="I118" s="13" t="s">
        <v>179</v>
      </c>
      <c r="J118" s="13" t="s">
        <v>26</v>
      </c>
      <c r="K118" s="13" t="s">
        <v>288</v>
      </c>
      <c r="L118" s="13" t="s">
        <v>956</v>
      </c>
      <c r="M118" s="13" t="s">
        <v>1039</v>
      </c>
      <c r="N118" s="13" t="s">
        <v>93</v>
      </c>
      <c r="O118" s="13"/>
      <c r="P118" s="13"/>
      <c r="Q118" s="13"/>
      <c r="R118" s="13" t="s">
        <v>106</v>
      </c>
      <c r="S118" s="13"/>
      <c r="T118" s="13" t="s">
        <v>958</v>
      </c>
      <c r="U118" s="13" t="s">
        <v>1032</v>
      </c>
      <c r="V118" s="13" t="s">
        <v>461</v>
      </c>
      <c r="W118" s="13"/>
      <c r="X118" s="13" t="s">
        <v>202</v>
      </c>
      <c r="Y118" s="13"/>
      <c r="Z118" s="13" t="s">
        <v>1040</v>
      </c>
      <c r="AA118" s="14" t="s">
        <v>190</v>
      </c>
      <c r="AB118" s="15" t="s">
        <v>191</v>
      </c>
      <c r="AC118" s="15"/>
      <c r="AD118" s="15"/>
    </row>
    <row r="119" customFormat="false" ht="32.8" hidden="false" customHeight="false" outlineLevel="0" collapsed="false">
      <c r="A119" s="13" t="n">
        <v>118</v>
      </c>
      <c r="B119" s="13" t="s">
        <v>1041</v>
      </c>
      <c r="C119" s="13" t="s">
        <v>32</v>
      </c>
      <c r="D119" s="13" t="s">
        <v>1028</v>
      </c>
      <c r="E119" s="13" t="s">
        <v>1042</v>
      </c>
      <c r="F119" s="13" t="s">
        <v>51</v>
      </c>
      <c r="G119" s="13" t="s">
        <v>1043</v>
      </c>
      <c r="H119" s="13" t="s">
        <v>955</v>
      </c>
      <c r="I119" s="13" t="s">
        <v>179</v>
      </c>
      <c r="J119" s="13" t="s">
        <v>25</v>
      </c>
      <c r="K119" s="13" t="s">
        <v>288</v>
      </c>
      <c r="L119" s="13" t="s">
        <v>956</v>
      </c>
      <c r="M119" s="13" t="s">
        <v>1044</v>
      </c>
      <c r="N119" s="13" t="s">
        <v>93</v>
      </c>
      <c r="O119" s="13"/>
      <c r="P119" s="13"/>
      <c r="Q119" s="13"/>
      <c r="R119" s="13" t="s">
        <v>106</v>
      </c>
      <c r="S119" s="13"/>
      <c r="T119" s="13" t="s">
        <v>958</v>
      </c>
      <c r="U119" s="13" t="s">
        <v>1032</v>
      </c>
      <c r="V119" s="13" t="s">
        <v>461</v>
      </c>
      <c r="W119" s="13"/>
      <c r="X119" s="13" t="s">
        <v>202</v>
      </c>
      <c r="Y119" s="13"/>
      <c r="Z119" s="13" t="s">
        <v>1045</v>
      </c>
      <c r="AA119" s="14" t="s">
        <v>190</v>
      </c>
      <c r="AB119" s="15" t="s">
        <v>191</v>
      </c>
      <c r="AC119" s="15"/>
      <c r="AD119" s="15"/>
    </row>
    <row r="120" customFormat="false" ht="32.8" hidden="false" customHeight="false" outlineLevel="0" collapsed="false">
      <c r="A120" s="13" t="n">
        <v>119</v>
      </c>
      <c r="B120" s="13" t="s">
        <v>1046</v>
      </c>
      <c r="C120" s="13" t="s">
        <v>32</v>
      </c>
      <c r="D120" s="13" t="s">
        <v>1028</v>
      </c>
      <c r="E120" s="13" t="s">
        <v>1047</v>
      </c>
      <c r="F120" s="13" t="s">
        <v>51</v>
      </c>
      <c r="G120" s="13" t="s">
        <v>1048</v>
      </c>
      <c r="H120" s="13" t="s">
        <v>955</v>
      </c>
      <c r="I120" s="13" t="s">
        <v>253</v>
      </c>
      <c r="J120" s="13" t="s">
        <v>25</v>
      </c>
      <c r="K120" s="13" t="s">
        <v>288</v>
      </c>
      <c r="L120" s="13" t="s">
        <v>956</v>
      </c>
      <c r="M120" s="13" t="s">
        <v>1049</v>
      </c>
      <c r="N120" s="13" t="s">
        <v>93</v>
      </c>
      <c r="O120" s="13"/>
      <c r="P120" s="13"/>
      <c r="Q120" s="13"/>
      <c r="R120" s="13" t="s">
        <v>106</v>
      </c>
      <c r="S120" s="13"/>
      <c r="T120" s="13" t="s">
        <v>958</v>
      </c>
      <c r="U120" s="13" t="s">
        <v>994</v>
      </c>
      <c r="V120" s="13" t="s">
        <v>461</v>
      </c>
      <c r="W120" s="13"/>
      <c r="X120" s="13" t="s">
        <v>202</v>
      </c>
      <c r="Y120" s="13"/>
      <c r="Z120" s="13" t="s">
        <v>1050</v>
      </c>
      <c r="AA120" s="14" t="s">
        <v>190</v>
      </c>
      <c r="AB120" s="15" t="s">
        <v>191</v>
      </c>
      <c r="AC120" s="15"/>
      <c r="AD120" s="15"/>
    </row>
    <row r="121" customFormat="false" ht="32.8" hidden="false" customHeight="false" outlineLevel="0" collapsed="false">
      <c r="A121" s="13" t="n">
        <v>120</v>
      </c>
      <c r="B121" s="13" t="s">
        <v>1051</v>
      </c>
      <c r="C121" s="13" t="s">
        <v>32</v>
      </c>
      <c r="D121" s="13" t="s">
        <v>1028</v>
      </c>
      <c r="E121" s="13" t="s">
        <v>1052</v>
      </c>
      <c r="F121" s="13" t="s">
        <v>51</v>
      </c>
      <c r="G121" s="13" t="s">
        <v>1053</v>
      </c>
      <c r="H121" s="13" t="s">
        <v>955</v>
      </c>
      <c r="I121" s="13" t="s">
        <v>253</v>
      </c>
      <c r="J121" s="13" t="s">
        <v>25</v>
      </c>
      <c r="K121" s="13" t="s">
        <v>288</v>
      </c>
      <c r="L121" s="13" t="s">
        <v>956</v>
      </c>
      <c r="M121" s="13" t="s">
        <v>1054</v>
      </c>
      <c r="N121" s="13" t="s">
        <v>93</v>
      </c>
      <c r="O121" s="13"/>
      <c r="P121" s="13"/>
      <c r="Q121" s="13"/>
      <c r="R121" s="13" t="s">
        <v>103</v>
      </c>
      <c r="S121" s="13"/>
      <c r="T121" s="13" t="s">
        <v>958</v>
      </c>
      <c r="U121" s="13" t="s">
        <v>468</v>
      </c>
      <c r="V121" s="13" t="s">
        <v>959</v>
      </c>
      <c r="W121" s="13"/>
      <c r="X121" s="13" t="s">
        <v>187</v>
      </c>
      <c r="Y121" s="13" t="s">
        <v>1055</v>
      </c>
      <c r="Z121" s="13" t="s">
        <v>1056</v>
      </c>
      <c r="AA121" s="14" t="s">
        <v>190</v>
      </c>
      <c r="AB121" s="15" t="s">
        <v>191</v>
      </c>
      <c r="AC121" s="15"/>
      <c r="AD121" s="15"/>
    </row>
    <row r="122" customFormat="false" ht="32.8" hidden="false" customHeight="false" outlineLevel="0" collapsed="false">
      <c r="A122" s="13" t="n">
        <v>121</v>
      </c>
      <c r="B122" s="13" t="s">
        <v>1057</v>
      </c>
      <c r="C122" s="13" t="s">
        <v>32</v>
      </c>
      <c r="D122" s="13" t="s">
        <v>1058</v>
      </c>
      <c r="E122" s="13" t="s">
        <v>1059</v>
      </c>
      <c r="F122" s="13" t="s">
        <v>51</v>
      </c>
      <c r="G122" s="13" t="s">
        <v>1060</v>
      </c>
      <c r="H122" s="13" t="s">
        <v>955</v>
      </c>
      <c r="I122" s="13" t="s">
        <v>179</v>
      </c>
      <c r="J122" s="13" t="s">
        <v>25</v>
      </c>
      <c r="K122" s="13" t="s">
        <v>288</v>
      </c>
      <c r="L122" s="13" t="s">
        <v>1061</v>
      </c>
      <c r="M122" s="13" t="s">
        <v>1062</v>
      </c>
      <c r="N122" s="13" t="s">
        <v>93</v>
      </c>
      <c r="O122" s="13"/>
      <c r="P122" s="13"/>
      <c r="Q122" s="13" t="s">
        <v>1063</v>
      </c>
      <c r="R122" s="13"/>
      <c r="S122" s="13"/>
      <c r="T122" s="13" t="s">
        <v>958</v>
      </c>
      <c r="U122" s="13" t="s">
        <v>492</v>
      </c>
      <c r="V122" s="13" t="s">
        <v>959</v>
      </c>
      <c r="W122" s="13"/>
      <c r="X122" s="13" t="s">
        <v>202</v>
      </c>
      <c r="Y122" s="13"/>
      <c r="Z122" s="13" t="s">
        <v>1064</v>
      </c>
      <c r="AA122" s="14" t="s">
        <v>190</v>
      </c>
      <c r="AB122" s="15" t="s">
        <v>191</v>
      </c>
      <c r="AC122" s="15"/>
      <c r="AD122" s="15"/>
    </row>
    <row r="123" customFormat="false" ht="32.8" hidden="false" customHeight="false" outlineLevel="0" collapsed="false">
      <c r="A123" s="13" t="n">
        <v>122</v>
      </c>
      <c r="B123" s="13" t="s">
        <v>1065</v>
      </c>
      <c r="C123" s="13" t="s">
        <v>32</v>
      </c>
      <c r="D123" s="13" t="s">
        <v>1058</v>
      </c>
      <c r="E123" s="13" t="s">
        <v>1066</v>
      </c>
      <c r="F123" s="13" t="s">
        <v>51</v>
      </c>
      <c r="G123" s="13" t="s">
        <v>1067</v>
      </c>
      <c r="H123" s="13" t="s">
        <v>955</v>
      </c>
      <c r="I123" s="13" t="s">
        <v>253</v>
      </c>
      <c r="J123" s="13" t="s">
        <v>25</v>
      </c>
      <c r="K123" s="13" t="s">
        <v>288</v>
      </c>
      <c r="L123" s="13" t="s">
        <v>1061</v>
      </c>
      <c r="M123" s="13" t="s">
        <v>1068</v>
      </c>
      <c r="N123" s="13" t="s">
        <v>93</v>
      </c>
      <c r="O123" s="13"/>
      <c r="P123" s="13"/>
      <c r="Q123" s="13" t="s">
        <v>1063</v>
      </c>
      <c r="R123" s="13"/>
      <c r="S123" s="13"/>
      <c r="T123" s="13" t="s">
        <v>958</v>
      </c>
      <c r="U123" s="13" t="s">
        <v>492</v>
      </c>
      <c r="V123" s="13" t="s">
        <v>959</v>
      </c>
      <c r="W123" s="13"/>
      <c r="X123" s="13" t="s">
        <v>202</v>
      </c>
      <c r="Y123" s="13"/>
      <c r="Z123" s="13" t="s">
        <v>632</v>
      </c>
      <c r="AA123" s="14" t="s">
        <v>190</v>
      </c>
      <c r="AB123" s="15" t="s">
        <v>191</v>
      </c>
      <c r="AC123" s="15"/>
      <c r="AD123" s="15"/>
    </row>
    <row r="124" customFormat="false" ht="32.8" hidden="false" customHeight="false" outlineLevel="0" collapsed="false">
      <c r="A124" s="13" t="n">
        <v>123</v>
      </c>
      <c r="B124" s="13" t="s">
        <v>1069</v>
      </c>
      <c r="C124" s="13" t="s">
        <v>32</v>
      </c>
      <c r="D124" s="13" t="s">
        <v>1070</v>
      </c>
      <c r="E124" s="13" t="s">
        <v>1071</v>
      </c>
      <c r="F124" s="13" t="s">
        <v>51</v>
      </c>
      <c r="G124" s="13" t="s">
        <v>1072</v>
      </c>
      <c r="H124" s="13" t="s">
        <v>955</v>
      </c>
      <c r="I124" s="13" t="s">
        <v>253</v>
      </c>
      <c r="J124" s="13" t="s">
        <v>26</v>
      </c>
      <c r="K124" s="13" t="s">
        <v>288</v>
      </c>
      <c r="L124" s="13" t="s">
        <v>981</v>
      </c>
      <c r="M124" s="13" t="s">
        <v>1073</v>
      </c>
      <c r="N124" s="13" t="s">
        <v>93</v>
      </c>
      <c r="O124" s="13"/>
      <c r="P124" s="13"/>
      <c r="Q124" s="13"/>
      <c r="R124" s="13"/>
      <c r="S124" s="13"/>
      <c r="T124" s="13" t="s">
        <v>958</v>
      </c>
      <c r="U124" s="13" t="s">
        <v>492</v>
      </c>
      <c r="V124" s="13" t="s">
        <v>959</v>
      </c>
      <c r="W124" s="13"/>
      <c r="X124" s="13" t="s">
        <v>202</v>
      </c>
      <c r="Y124" s="13"/>
      <c r="Z124" s="13" t="s">
        <v>632</v>
      </c>
      <c r="AA124" s="14" t="s">
        <v>190</v>
      </c>
      <c r="AB124" s="15" t="s">
        <v>191</v>
      </c>
      <c r="AC124" s="15"/>
      <c r="AD124" s="15"/>
    </row>
    <row r="125" customFormat="false" ht="43.25" hidden="false" customHeight="false" outlineLevel="0" collapsed="false">
      <c r="A125" s="13" t="n">
        <v>124</v>
      </c>
      <c r="B125" s="13" t="s">
        <v>1074</v>
      </c>
      <c r="C125" s="13" t="s">
        <v>32</v>
      </c>
      <c r="D125" s="13" t="s">
        <v>1075</v>
      </c>
      <c r="E125" s="13" t="s">
        <v>1076</v>
      </c>
      <c r="F125" s="13" t="s">
        <v>51</v>
      </c>
      <c r="G125" s="13" t="s">
        <v>1077</v>
      </c>
      <c r="H125" s="13" t="s">
        <v>955</v>
      </c>
      <c r="I125" s="13" t="s">
        <v>179</v>
      </c>
      <c r="J125" s="13" t="s">
        <v>25</v>
      </c>
      <c r="K125" s="13" t="s">
        <v>288</v>
      </c>
      <c r="L125" s="13" t="s">
        <v>1078</v>
      </c>
      <c r="M125" s="13" t="s">
        <v>1079</v>
      </c>
      <c r="N125" s="13" t="s">
        <v>97</v>
      </c>
      <c r="O125" s="13"/>
      <c r="P125" s="13"/>
      <c r="Q125" s="13"/>
      <c r="R125" s="13"/>
      <c r="S125" s="13"/>
      <c r="T125" s="13"/>
      <c r="U125" s="13" t="s">
        <v>1080</v>
      </c>
      <c r="V125" s="13" t="s">
        <v>353</v>
      </c>
      <c r="W125" s="13"/>
      <c r="X125" s="13" t="s">
        <v>187</v>
      </c>
      <c r="Y125" s="13" t="s">
        <v>1081</v>
      </c>
      <c r="Z125" s="13" t="s">
        <v>1082</v>
      </c>
      <c r="AA125" s="14" t="s">
        <v>190</v>
      </c>
      <c r="AB125" s="15" t="s">
        <v>191</v>
      </c>
      <c r="AC125" s="15"/>
      <c r="AD125" s="15"/>
    </row>
    <row r="126" customFormat="false" ht="32.8" hidden="false" customHeight="false" outlineLevel="0" collapsed="false">
      <c r="A126" s="13" t="n">
        <v>125</v>
      </c>
      <c r="B126" s="13" t="s">
        <v>1083</v>
      </c>
      <c r="C126" s="13" t="s">
        <v>32</v>
      </c>
      <c r="D126" s="13" t="s">
        <v>1075</v>
      </c>
      <c r="E126" s="13" t="s">
        <v>1084</v>
      </c>
      <c r="F126" s="13" t="s">
        <v>51</v>
      </c>
      <c r="G126" s="13" t="s">
        <v>1085</v>
      </c>
      <c r="H126" s="13" t="s">
        <v>955</v>
      </c>
      <c r="I126" s="13" t="s">
        <v>253</v>
      </c>
      <c r="J126" s="13" t="s">
        <v>25</v>
      </c>
      <c r="K126" s="13" t="s">
        <v>288</v>
      </c>
      <c r="L126" s="13" t="s">
        <v>1078</v>
      </c>
      <c r="M126" s="13" t="s">
        <v>1086</v>
      </c>
      <c r="N126" s="13" t="s">
        <v>97</v>
      </c>
      <c r="O126" s="13"/>
      <c r="P126" s="13"/>
      <c r="Q126" s="13"/>
      <c r="R126" s="13"/>
      <c r="S126" s="13"/>
      <c r="T126" s="13"/>
      <c r="U126" s="13" t="s">
        <v>492</v>
      </c>
      <c r="V126" s="13" t="s">
        <v>353</v>
      </c>
      <c r="W126" s="13"/>
      <c r="X126" s="13" t="s">
        <v>202</v>
      </c>
      <c r="Y126" s="13"/>
      <c r="Z126" s="13" t="s">
        <v>654</v>
      </c>
      <c r="AA126" s="14" t="s">
        <v>190</v>
      </c>
      <c r="AB126" s="15" t="s">
        <v>191</v>
      </c>
      <c r="AC126" s="15"/>
      <c r="AD126" s="15"/>
    </row>
    <row r="127" customFormat="false" ht="32.8" hidden="false" customHeight="false" outlineLevel="0" collapsed="false">
      <c r="A127" s="13" t="n">
        <v>126</v>
      </c>
      <c r="B127" s="13" t="s">
        <v>1087</v>
      </c>
      <c r="C127" s="13" t="s">
        <v>32</v>
      </c>
      <c r="D127" s="13" t="s">
        <v>1075</v>
      </c>
      <c r="E127" s="13" t="s">
        <v>1088</v>
      </c>
      <c r="F127" s="13" t="s">
        <v>51</v>
      </c>
      <c r="G127" s="13" t="s">
        <v>1089</v>
      </c>
      <c r="H127" s="13" t="s">
        <v>955</v>
      </c>
      <c r="I127" s="13" t="s">
        <v>179</v>
      </c>
      <c r="J127" s="13" t="s">
        <v>25</v>
      </c>
      <c r="K127" s="13" t="s">
        <v>288</v>
      </c>
      <c r="L127" s="13" t="s">
        <v>1078</v>
      </c>
      <c r="M127" s="13" t="s">
        <v>1090</v>
      </c>
      <c r="N127" s="13" t="s">
        <v>97</v>
      </c>
      <c r="O127" s="13"/>
      <c r="P127" s="13"/>
      <c r="Q127" s="13"/>
      <c r="R127" s="13"/>
      <c r="S127" s="13"/>
      <c r="T127" s="13"/>
      <c r="U127" s="13" t="s">
        <v>291</v>
      </c>
      <c r="V127" s="13" t="s">
        <v>353</v>
      </c>
      <c r="W127" s="13"/>
      <c r="X127" s="13" t="s">
        <v>187</v>
      </c>
      <c r="Y127" s="13" t="s">
        <v>1091</v>
      </c>
      <c r="Z127" s="13" t="s">
        <v>1092</v>
      </c>
      <c r="AA127" s="14" t="s">
        <v>190</v>
      </c>
      <c r="AB127" s="15" t="s">
        <v>191</v>
      </c>
      <c r="AC127" s="15"/>
      <c r="AD127" s="15"/>
    </row>
    <row r="128" customFormat="false" ht="32.8" hidden="false" customHeight="false" outlineLevel="0" collapsed="false">
      <c r="A128" s="13" t="n">
        <v>127</v>
      </c>
      <c r="B128" s="13" t="s">
        <v>1093</v>
      </c>
      <c r="C128" s="13" t="s">
        <v>32</v>
      </c>
      <c r="D128" s="13" t="s">
        <v>1094</v>
      </c>
      <c r="E128" s="13" t="s">
        <v>1095</v>
      </c>
      <c r="F128" s="13" t="s">
        <v>51</v>
      </c>
      <c r="G128" s="13" t="s">
        <v>1096</v>
      </c>
      <c r="H128" s="13" t="s">
        <v>1097</v>
      </c>
      <c r="I128" s="13" t="s">
        <v>179</v>
      </c>
      <c r="J128" s="13" t="s">
        <v>24</v>
      </c>
      <c r="K128" s="13" t="s">
        <v>288</v>
      </c>
      <c r="L128" s="13" t="s">
        <v>1098</v>
      </c>
      <c r="M128" s="13" t="s">
        <v>1099</v>
      </c>
      <c r="N128" s="13" t="s">
        <v>93</v>
      </c>
      <c r="O128" s="13" t="s">
        <v>68</v>
      </c>
      <c r="P128" s="13"/>
      <c r="Q128" s="13"/>
      <c r="R128" s="13" t="s">
        <v>118</v>
      </c>
      <c r="S128" s="13"/>
      <c r="T128" s="13" t="s">
        <v>1100</v>
      </c>
      <c r="U128" s="13" t="s">
        <v>492</v>
      </c>
      <c r="V128" s="13" t="s">
        <v>1101</v>
      </c>
      <c r="W128" s="13"/>
      <c r="X128" s="13" t="s">
        <v>202</v>
      </c>
      <c r="Y128" s="13"/>
      <c r="Z128" s="13" t="s">
        <v>1102</v>
      </c>
      <c r="AA128" s="14" t="s">
        <v>190</v>
      </c>
      <c r="AB128" s="15" t="s">
        <v>191</v>
      </c>
      <c r="AC128" s="15"/>
      <c r="AD128" s="15"/>
    </row>
    <row r="129" customFormat="false" ht="32.8" hidden="false" customHeight="false" outlineLevel="0" collapsed="false">
      <c r="A129" s="13" t="n">
        <v>128</v>
      </c>
      <c r="B129" s="13" t="s">
        <v>1103</v>
      </c>
      <c r="C129" s="13" t="s">
        <v>32</v>
      </c>
      <c r="D129" s="13" t="s">
        <v>1094</v>
      </c>
      <c r="E129" s="13" t="s">
        <v>1104</v>
      </c>
      <c r="F129" s="13" t="s">
        <v>51</v>
      </c>
      <c r="G129" s="13" t="s">
        <v>1105</v>
      </c>
      <c r="H129" s="13" t="s">
        <v>1097</v>
      </c>
      <c r="I129" s="13" t="s">
        <v>253</v>
      </c>
      <c r="J129" s="13" t="s">
        <v>25</v>
      </c>
      <c r="K129" s="13" t="s">
        <v>288</v>
      </c>
      <c r="L129" s="13" t="s">
        <v>1098</v>
      </c>
      <c r="M129" s="13" t="s">
        <v>1106</v>
      </c>
      <c r="N129" s="13" t="s">
        <v>93</v>
      </c>
      <c r="O129" s="13" t="s">
        <v>68</v>
      </c>
      <c r="P129" s="13"/>
      <c r="Q129" s="13"/>
      <c r="R129" s="13" t="s">
        <v>118</v>
      </c>
      <c r="S129" s="13"/>
      <c r="T129" s="13" t="s">
        <v>1100</v>
      </c>
      <c r="U129" s="13" t="s">
        <v>492</v>
      </c>
      <c r="V129" s="13" t="s">
        <v>1101</v>
      </c>
      <c r="W129" s="13"/>
      <c r="X129" s="13" t="s">
        <v>202</v>
      </c>
      <c r="Y129" s="13"/>
      <c r="Z129" s="13" t="s">
        <v>1107</v>
      </c>
      <c r="AA129" s="14" t="s">
        <v>190</v>
      </c>
      <c r="AB129" s="15" t="s">
        <v>191</v>
      </c>
      <c r="AC129" s="15"/>
      <c r="AD129" s="15"/>
    </row>
    <row r="130" customFormat="false" ht="32.8" hidden="false" customHeight="false" outlineLevel="0" collapsed="false">
      <c r="A130" s="13" t="n">
        <v>129</v>
      </c>
      <c r="B130" s="13" t="s">
        <v>1108</v>
      </c>
      <c r="C130" s="13" t="s">
        <v>32</v>
      </c>
      <c r="D130" s="13" t="s">
        <v>1094</v>
      </c>
      <c r="E130" s="13" t="s">
        <v>1109</v>
      </c>
      <c r="F130" s="13" t="s">
        <v>51</v>
      </c>
      <c r="G130" s="13" t="s">
        <v>1110</v>
      </c>
      <c r="H130" s="13" t="s">
        <v>1097</v>
      </c>
      <c r="I130" s="13" t="s">
        <v>253</v>
      </c>
      <c r="J130" s="13" t="s">
        <v>24</v>
      </c>
      <c r="K130" s="13" t="s">
        <v>288</v>
      </c>
      <c r="L130" s="13" t="s">
        <v>1098</v>
      </c>
      <c r="M130" s="13" t="s">
        <v>1111</v>
      </c>
      <c r="N130" s="13" t="s">
        <v>93</v>
      </c>
      <c r="O130" s="13" t="s">
        <v>68</v>
      </c>
      <c r="P130" s="13"/>
      <c r="Q130" s="13"/>
      <c r="R130" s="13" t="s">
        <v>118</v>
      </c>
      <c r="S130" s="13"/>
      <c r="T130" s="13" t="s">
        <v>1100</v>
      </c>
      <c r="U130" s="13" t="s">
        <v>492</v>
      </c>
      <c r="V130" s="13" t="s">
        <v>1101</v>
      </c>
      <c r="W130" s="13"/>
      <c r="X130" s="13" t="s">
        <v>187</v>
      </c>
      <c r="Y130" s="13" t="s">
        <v>1112</v>
      </c>
      <c r="Z130" s="13" t="s">
        <v>1113</v>
      </c>
      <c r="AA130" s="14" t="s">
        <v>190</v>
      </c>
      <c r="AB130" s="15" t="s">
        <v>191</v>
      </c>
      <c r="AC130" s="15"/>
      <c r="AD130" s="15"/>
    </row>
    <row r="131" customFormat="false" ht="32.8" hidden="false" customHeight="false" outlineLevel="0" collapsed="false">
      <c r="A131" s="13" t="n">
        <v>130</v>
      </c>
      <c r="B131" s="13" t="s">
        <v>1114</v>
      </c>
      <c r="C131" s="13" t="s">
        <v>32</v>
      </c>
      <c r="D131" s="13" t="s">
        <v>1094</v>
      </c>
      <c r="E131" s="13" t="s">
        <v>1115</v>
      </c>
      <c r="F131" s="13" t="s">
        <v>51</v>
      </c>
      <c r="G131" s="13" t="s">
        <v>1116</v>
      </c>
      <c r="H131" s="13" t="s">
        <v>1097</v>
      </c>
      <c r="I131" s="13" t="s">
        <v>179</v>
      </c>
      <c r="J131" s="13" t="s">
        <v>25</v>
      </c>
      <c r="K131" s="13" t="s">
        <v>288</v>
      </c>
      <c r="L131" s="13" t="s">
        <v>1098</v>
      </c>
      <c r="M131" s="13" t="s">
        <v>1117</v>
      </c>
      <c r="N131" s="13" t="s">
        <v>93</v>
      </c>
      <c r="O131" s="13" t="s">
        <v>68</v>
      </c>
      <c r="P131" s="13"/>
      <c r="Q131" s="13"/>
      <c r="R131" s="13" t="s">
        <v>118</v>
      </c>
      <c r="S131" s="13"/>
      <c r="T131" s="13" t="s">
        <v>1100</v>
      </c>
      <c r="U131" s="13" t="s">
        <v>492</v>
      </c>
      <c r="V131" s="13" t="s">
        <v>1101</v>
      </c>
      <c r="W131" s="13"/>
      <c r="X131" s="13" t="s">
        <v>202</v>
      </c>
      <c r="Y131" s="13"/>
      <c r="Z131" s="13" t="s">
        <v>1118</v>
      </c>
      <c r="AA131" s="14" t="s">
        <v>190</v>
      </c>
      <c r="AB131" s="15" t="s">
        <v>191</v>
      </c>
      <c r="AC131" s="15"/>
      <c r="AD131" s="15"/>
    </row>
    <row r="132" customFormat="false" ht="32.8" hidden="false" customHeight="false" outlineLevel="0" collapsed="false">
      <c r="A132" s="13" t="n">
        <v>131</v>
      </c>
      <c r="B132" s="13" t="s">
        <v>1119</v>
      </c>
      <c r="C132" s="13" t="s">
        <v>32</v>
      </c>
      <c r="D132" s="13" t="s">
        <v>1094</v>
      </c>
      <c r="E132" s="13" t="s">
        <v>1120</v>
      </c>
      <c r="F132" s="13" t="s">
        <v>51</v>
      </c>
      <c r="G132" s="13" t="s">
        <v>1121</v>
      </c>
      <c r="H132" s="13" t="s">
        <v>1097</v>
      </c>
      <c r="I132" s="13" t="s">
        <v>179</v>
      </c>
      <c r="J132" s="13" t="s">
        <v>24</v>
      </c>
      <c r="K132" s="13" t="s">
        <v>288</v>
      </c>
      <c r="L132" s="13" t="s">
        <v>1098</v>
      </c>
      <c r="M132" s="13" t="s">
        <v>1122</v>
      </c>
      <c r="N132" s="13" t="s">
        <v>93</v>
      </c>
      <c r="O132" s="13" t="s">
        <v>1123</v>
      </c>
      <c r="P132" s="13"/>
      <c r="Q132" s="13"/>
      <c r="R132" s="13" t="s">
        <v>118</v>
      </c>
      <c r="S132" s="13"/>
      <c r="T132" s="13" t="s">
        <v>1100</v>
      </c>
      <c r="U132" s="13" t="s">
        <v>492</v>
      </c>
      <c r="V132" s="13" t="s">
        <v>1101</v>
      </c>
      <c r="W132" s="13"/>
      <c r="X132" s="13" t="s">
        <v>187</v>
      </c>
      <c r="Y132" s="13" t="s">
        <v>1124</v>
      </c>
      <c r="Z132" s="13" t="s">
        <v>1125</v>
      </c>
      <c r="AA132" s="14" t="s">
        <v>190</v>
      </c>
      <c r="AB132" s="15" t="s">
        <v>191</v>
      </c>
      <c r="AC132" s="15"/>
      <c r="AD132" s="15"/>
    </row>
    <row r="133" customFormat="false" ht="32.8" hidden="false" customHeight="false" outlineLevel="0" collapsed="false">
      <c r="A133" s="13" t="n">
        <v>132</v>
      </c>
      <c r="B133" s="13" t="s">
        <v>1126</v>
      </c>
      <c r="C133" s="13" t="s">
        <v>32</v>
      </c>
      <c r="D133" s="13" t="s">
        <v>1094</v>
      </c>
      <c r="E133" s="13" t="s">
        <v>1127</v>
      </c>
      <c r="F133" s="13" t="s">
        <v>51</v>
      </c>
      <c r="G133" s="13" t="s">
        <v>1128</v>
      </c>
      <c r="H133" s="13" t="s">
        <v>1097</v>
      </c>
      <c r="I133" s="13" t="s">
        <v>179</v>
      </c>
      <c r="J133" s="13" t="s">
        <v>25</v>
      </c>
      <c r="K133" s="13" t="s">
        <v>288</v>
      </c>
      <c r="L133" s="13" t="s">
        <v>1098</v>
      </c>
      <c r="M133" s="13" t="s">
        <v>1129</v>
      </c>
      <c r="N133" s="13" t="s">
        <v>93</v>
      </c>
      <c r="O133" s="13" t="s">
        <v>68</v>
      </c>
      <c r="P133" s="13"/>
      <c r="Q133" s="13"/>
      <c r="R133" s="13" t="s">
        <v>118</v>
      </c>
      <c r="S133" s="13"/>
      <c r="T133" s="13" t="s">
        <v>1100</v>
      </c>
      <c r="U133" s="13" t="s">
        <v>492</v>
      </c>
      <c r="V133" s="13" t="s">
        <v>1101</v>
      </c>
      <c r="W133" s="13"/>
      <c r="X133" s="13" t="s">
        <v>202</v>
      </c>
      <c r="Y133" s="13"/>
      <c r="Z133" s="13" t="s">
        <v>1130</v>
      </c>
      <c r="AA133" s="14" t="s">
        <v>190</v>
      </c>
      <c r="AB133" s="15" t="s">
        <v>191</v>
      </c>
      <c r="AC133" s="15"/>
      <c r="AD133" s="15"/>
    </row>
    <row r="134" customFormat="false" ht="32.8" hidden="false" customHeight="false" outlineLevel="0" collapsed="false">
      <c r="A134" s="13" t="n">
        <v>133</v>
      </c>
      <c r="B134" s="13" t="s">
        <v>1131</v>
      </c>
      <c r="C134" s="13" t="s">
        <v>32</v>
      </c>
      <c r="D134" s="13" t="s">
        <v>1094</v>
      </c>
      <c r="E134" s="13" t="s">
        <v>1132</v>
      </c>
      <c r="F134" s="13" t="s">
        <v>51</v>
      </c>
      <c r="G134" s="13" t="s">
        <v>1133</v>
      </c>
      <c r="H134" s="13" t="s">
        <v>1097</v>
      </c>
      <c r="I134" s="13" t="s">
        <v>253</v>
      </c>
      <c r="J134" s="13" t="s">
        <v>26</v>
      </c>
      <c r="K134" s="13" t="s">
        <v>288</v>
      </c>
      <c r="L134" s="13" t="s">
        <v>1098</v>
      </c>
      <c r="M134" s="13" t="s">
        <v>1134</v>
      </c>
      <c r="N134" s="13" t="s">
        <v>93</v>
      </c>
      <c r="O134" s="13" t="s">
        <v>68</v>
      </c>
      <c r="P134" s="13"/>
      <c r="Q134" s="13"/>
      <c r="R134" s="13" t="s">
        <v>118</v>
      </c>
      <c r="S134" s="13"/>
      <c r="T134" s="13" t="s">
        <v>1100</v>
      </c>
      <c r="U134" s="13" t="s">
        <v>492</v>
      </c>
      <c r="V134" s="13" t="s">
        <v>1101</v>
      </c>
      <c r="W134" s="13"/>
      <c r="X134" s="13" t="s">
        <v>202</v>
      </c>
      <c r="Y134" s="13"/>
      <c r="Z134" s="13" t="s">
        <v>1135</v>
      </c>
      <c r="AA134" s="14" t="s">
        <v>190</v>
      </c>
      <c r="AB134" s="15" t="s">
        <v>191</v>
      </c>
      <c r="AC134" s="15"/>
      <c r="AD134" s="15"/>
    </row>
    <row r="135" customFormat="false" ht="32.8" hidden="false" customHeight="false" outlineLevel="0" collapsed="false">
      <c r="A135" s="13" t="n">
        <v>134</v>
      </c>
      <c r="B135" s="13" t="s">
        <v>1136</v>
      </c>
      <c r="C135" s="13" t="s">
        <v>32</v>
      </c>
      <c r="D135" s="13" t="s">
        <v>1094</v>
      </c>
      <c r="E135" s="13" t="s">
        <v>1137</v>
      </c>
      <c r="F135" s="13" t="s">
        <v>51</v>
      </c>
      <c r="G135" s="13" t="s">
        <v>1138</v>
      </c>
      <c r="H135" s="13" t="s">
        <v>1097</v>
      </c>
      <c r="I135" s="13" t="s">
        <v>253</v>
      </c>
      <c r="J135" s="13" t="s">
        <v>26</v>
      </c>
      <c r="K135" s="13" t="s">
        <v>288</v>
      </c>
      <c r="L135" s="13" t="s">
        <v>1098</v>
      </c>
      <c r="M135" s="13" t="s">
        <v>1139</v>
      </c>
      <c r="N135" s="13" t="s">
        <v>93</v>
      </c>
      <c r="O135" s="13" t="s">
        <v>68</v>
      </c>
      <c r="P135" s="13"/>
      <c r="Q135" s="13"/>
      <c r="R135" s="13" t="s">
        <v>118</v>
      </c>
      <c r="S135" s="13"/>
      <c r="T135" s="13" t="s">
        <v>1100</v>
      </c>
      <c r="U135" s="13" t="s">
        <v>492</v>
      </c>
      <c r="V135" s="13" t="s">
        <v>1101</v>
      </c>
      <c r="W135" s="13"/>
      <c r="X135" s="13" t="s">
        <v>202</v>
      </c>
      <c r="Y135" s="13"/>
      <c r="Z135" s="13" t="s">
        <v>1140</v>
      </c>
      <c r="AA135" s="14" t="s">
        <v>190</v>
      </c>
      <c r="AB135" s="15" t="s">
        <v>191</v>
      </c>
      <c r="AC135" s="15"/>
      <c r="AD135" s="15"/>
    </row>
    <row r="136" customFormat="false" ht="32.8" hidden="false" customHeight="false" outlineLevel="0" collapsed="false">
      <c r="A136" s="13" t="n">
        <v>135</v>
      </c>
      <c r="B136" s="13" t="s">
        <v>1141</v>
      </c>
      <c r="C136" s="13" t="s">
        <v>32</v>
      </c>
      <c r="D136" s="13" t="s">
        <v>1142</v>
      </c>
      <c r="E136" s="13" t="s">
        <v>1143</v>
      </c>
      <c r="F136" s="13" t="s">
        <v>51</v>
      </c>
      <c r="G136" s="13" t="s">
        <v>1144</v>
      </c>
      <c r="H136" s="13" t="s">
        <v>1097</v>
      </c>
      <c r="I136" s="13" t="s">
        <v>179</v>
      </c>
      <c r="J136" s="13" t="s">
        <v>23</v>
      </c>
      <c r="K136" s="13" t="s">
        <v>288</v>
      </c>
      <c r="L136" s="13" t="s">
        <v>1145</v>
      </c>
      <c r="M136" s="13" t="s">
        <v>1146</v>
      </c>
      <c r="N136" s="13" t="s">
        <v>93</v>
      </c>
      <c r="O136" s="13" t="s">
        <v>1147</v>
      </c>
      <c r="P136" s="13"/>
      <c r="Q136" s="13" t="s">
        <v>1148</v>
      </c>
      <c r="R136" s="13" t="s">
        <v>109</v>
      </c>
      <c r="S136" s="13"/>
      <c r="T136" s="13" t="s">
        <v>1149</v>
      </c>
      <c r="U136" s="13" t="s">
        <v>1150</v>
      </c>
      <c r="V136" s="13" t="s">
        <v>1101</v>
      </c>
      <c r="W136" s="13"/>
      <c r="X136" s="13" t="s">
        <v>187</v>
      </c>
      <c r="Y136" s="13" t="s">
        <v>1151</v>
      </c>
      <c r="Z136" s="13" t="s">
        <v>1152</v>
      </c>
      <c r="AA136" s="14" t="s">
        <v>190</v>
      </c>
      <c r="AB136" s="15" t="s">
        <v>191</v>
      </c>
      <c r="AC136" s="15"/>
      <c r="AD136" s="15"/>
    </row>
    <row r="137" customFormat="false" ht="32.8" hidden="false" customHeight="false" outlineLevel="0" collapsed="false">
      <c r="A137" s="13" t="n">
        <v>136</v>
      </c>
      <c r="B137" s="13" t="s">
        <v>1153</v>
      </c>
      <c r="C137" s="13" t="s">
        <v>32</v>
      </c>
      <c r="D137" s="13" t="s">
        <v>1142</v>
      </c>
      <c r="E137" s="13" t="s">
        <v>1154</v>
      </c>
      <c r="F137" s="13" t="s">
        <v>51</v>
      </c>
      <c r="G137" s="13" t="s">
        <v>1155</v>
      </c>
      <c r="H137" s="13" t="s">
        <v>1097</v>
      </c>
      <c r="I137" s="13" t="s">
        <v>179</v>
      </c>
      <c r="J137" s="13" t="s">
        <v>24</v>
      </c>
      <c r="K137" s="13" t="s">
        <v>288</v>
      </c>
      <c r="L137" s="13" t="s">
        <v>1156</v>
      </c>
      <c r="M137" s="13" t="s">
        <v>1157</v>
      </c>
      <c r="N137" s="13" t="s">
        <v>93</v>
      </c>
      <c r="O137" s="13"/>
      <c r="P137" s="13"/>
      <c r="Q137" s="13" t="s">
        <v>1148</v>
      </c>
      <c r="R137" s="13" t="s">
        <v>109</v>
      </c>
      <c r="S137" s="13"/>
      <c r="T137" s="13" t="s">
        <v>1149</v>
      </c>
      <c r="U137" s="13" t="s">
        <v>1150</v>
      </c>
      <c r="V137" s="13" t="s">
        <v>1101</v>
      </c>
      <c r="W137" s="13"/>
      <c r="X137" s="13" t="s">
        <v>202</v>
      </c>
      <c r="Y137" s="13"/>
      <c r="Z137" s="13" t="s">
        <v>1158</v>
      </c>
      <c r="AA137" s="14" t="s">
        <v>190</v>
      </c>
      <c r="AB137" s="15" t="s">
        <v>191</v>
      </c>
      <c r="AC137" s="15"/>
      <c r="AD137" s="15"/>
    </row>
    <row r="138" customFormat="false" ht="32.8" hidden="false" customHeight="false" outlineLevel="0" collapsed="false">
      <c r="A138" s="13" t="n">
        <v>137</v>
      </c>
      <c r="B138" s="13" t="s">
        <v>1159</v>
      </c>
      <c r="C138" s="13" t="s">
        <v>32</v>
      </c>
      <c r="D138" s="13" t="s">
        <v>1142</v>
      </c>
      <c r="E138" s="13" t="s">
        <v>1160</v>
      </c>
      <c r="F138" s="13" t="s">
        <v>51</v>
      </c>
      <c r="G138" s="13" t="s">
        <v>1161</v>
      </c>
      <c r="H138" s="13" t="s">
        <v>1097</v>
      </c>
      <c r="I138" s="13" t="s">
        <v>179</v>
      </c>
      <c r="J138" s="13" t="s">
        <v>24</v>
      </c>
      <c r="K138" s="13" t="s">
        <v>288</v>
      </c>
      <c r="L138" s="13" t="s">
        <v>1156</v>
      </c>
      <c r="M138" s="13" t="s">
        <v>1162</v>
      </c>
      <c r="N138" s="13" t="s">
        <v>93</v>
      </c>
      <c r="O138" s="13"/>
      <c r="P138" s="13"/>
      <c r="Q138" s="13" t="s">
        <v>1148</v>
      </c>
      <c r="R138" s="13" t="s">
        <v>109</v>
      </c>
      <c r="S138" s="13"/>
      <c r="T138" s="13" t="s">
        <v>1149</v>
      </c>
      <c r="U138" s="13" t="s">
        <v>1150</v>
      </c>
      <c r="V138" s="13" t="s">
        <v>1101</v>
      </c>
      <c r="W138" s="13"/>
      <c r="X138" s="13" t="s">
        <v>202</v>
      </c>
      <c r="Y138" s="13"/>
      <c r="Z138" s="13" t="s">
        <v>1163</v>
      </c>
      <c r="AA138" s="14" t="s">
        <v>190</v>
      </c>
      <c r="AB138" s="15" t="s">
        <v>191</v>
      </c>
      <c r="AC138" s="15"/>
      <c r="AD138" s="15"/>
    </row>
    <row r="139" customFormat="false" ht="32.8" hidden="false" customHeight="false" outlineLevel="0" collapsed="false">
      <c r="A139" s="13" t="n">
        <v>138</v>
      </c>
      <c r="B139" s="13" t="s">
        <v>1164</v>
      </c>
      <c r="C139" s="13" t="s">
        <v>32</v>
      </c>
      <c r="D139" s="13" t="s">
        <v>1142</v>
      </c>
      <c r="E139" s="13" t="s">
        <v>1165</v>
      </c>
      <c r="F139" s="13" t="s">
        <v>51</v>
      </c>
      <c r="G139" s="13" t="s">
        <v>1166</v>
      </c>
      <c r="H139" s="13" t="s">
        <v>1097</v>
      </c>
      <c r="I139" s="13" t="s">
        <v>1167</v>
      </c>
      <c r="J139" s="13" t="s">
        <v>25</v>
      </c>
      <c r="K139" s="13" t="s">
        <v>288</v>
      </c>
      <c r="L139" s="13" t="s">
        <v>1168</v>
      </c>
      <c r="M139" s="13" t="s">
        <v>1169</v>
      </c>
      <c r="N139" s="13" t="s">
        <v>93</v>
      </c>
      <c r="O139" s="13" t="s">
        <v>1147</v>
      </c>
      <c r="P139" s="13"/>
      <c r="Q139" s="13" t="s">
        <v>1148</v>
      </c>
      <c r="R139" s="13" t="s">
        <v>109</v>
      </c>
      <c r="S139" s="13"/>
      <c r="T139" s="13"/>
      <c r="U139" s="13" t="s">
        <v>229</v>
      </c>
      <c r="V139" s="13" t="s">
        <v>236</v>
      </c>
      <c r="W139" s="13"/>
      <c r="X139" s="13" t="s">
        <v>202</v>
      </c>
      <c r="Y139" s="13"/>
      <c r="Z139" s="13" t="s">
        <v>1170</v>
      </c>
      <c r="AA139" s="14" t="s">
        <v>190</v>
      </c>
      <c r="AB139" s="15" t="s">
        <v>191</v>
      </c>
      <c r="AC139" s="15"/>
      <c r="AD139" s="15"/>
    </row>
    <row r="140" customFormat="false" ht="32.8" hidden="false" customHeight="false" outlineLevel="0" collapsed="false">
      <c r="A140" s="13" t="n">
        <v>139</v>
      </c>
      <c r="B140" s="13" t="s">
        <v>1171</v>
      </c>
      <c r="C140" s="13" t="s">
        <v>32</v>
      </c>
      <c r="D140" s="13" t="s">
        <v>1142</v>
      </c>
      <c r="E140" s="13" t="s">
        <v>1172</v>
      </c>
      <c r="F140" s="13" t="s">
        <v>51</v>
      </c>
      <c r="G140" s="13" t="s">
        <v>1173</v>
      </c>
      <c r="H140" s="13" t="s">
        <v>1097</v>
      </c>
      <c r="I140" s="13" t="s">
        <v>179</v>
      </c>
      <c r="J140" s="13" t="s">
        <v>23</v>
      </c>
      <c r="K140" s="13" t="s">
        <v>288</v>
      </c>
      <c r="L140" s="13" t="s">
        <v>1145</v>
      </c>
      <c r="M140" s="13" t="s">
        <v>1174</v>
      </c>
      <c r="N140" s="13" t="s">
        <v>93</v>
      </c>
      <c r="O140" s="13" t="s">
        <v>76</v>
      </c>
      <c r="P140" s="13"/>
      <c r="Q140" s="13" t="s">
        <v>1148</v>
      </c>
      <c r="R140" s="13" t="s">
        <v>109</v>
      </c>
      <c r="S140" s="13"/>
      <c r="T140" s="13" t="s">
        <v>1149</v>
      </c>
      <c r="U140" s="13" t="s">
        <v>1175</v>
      </c>
      <c r="V140" s="13" t="s">
        <v>1176</v>
      </c>
      <c r="W140" s="13"/>
      <c r="X140" s="13" t="s">
        <v>202</v>
      </c>
      <c r="Y140" s="13"/>
      <c r="Z140" s="13" t="s">
        <v>1177</v>
      </c>
      <c r="AA140" s="14" t="s">
        <v>190</v>
      </c>
      <c r="AB140" s="15" t="s">
        <v>191</v>
      </c>
      <c r="AC140" s="15"/>
      <c r="AD140" s="15"/>
    </row>
    <row r="141" customFormat="false" ht="32.8" hidden="false" customHeight="false" outlineLevel="0" collapsed="false">
      <c r="A141" s="13" t="n">
        <v>140</v>
      </c>
      <c r="B141" s="13" t="s">
        <v>1178</v>
      </c>
      <c r="C141" s="13" t="s">
        <v>32</v>
      </c>
      <c r="D141" s="13" t="s">
        <v>1179</v>
      </c>
      <c r="E141" s="13" t="s">
        <v>1180</v>
      </c>
      <c r="F141" s="13" t="s">
        <v>51</v>
      </c>
      <c r="G141" s="13" t="s">
        <v>1181</v>
      </c>
      <c r="H141" s="13" t="s">
        <v>1182</v>
      </c>
      <c r="I141" s="13" t="s">
        <v>179</v>
      </c>
      <c r="J141" s="13" t="s">
        <v>24</v>
      </c>
      <c r="K141" s="13" t="s">
        <v>288</v>
      </c>
      <c r="L141" s="13" t="s">
        <v>1183</v>
      </c>
      <c r="M141" s="13" t="s">
        <v>1184</v>
      </c>
      <c r="N141" s="13" t="s">
        <v>93</v>
      </c>
      <c r="O141" s="13"/>
      <c r="P141" s="13"/>
      <c r="Q141" s="13"/>
      <c r="R141" s="13" t="s">
        <v>118</v>
      </c>
      <c r="S141" s="13"/>
      <c r="T141" s="13" t="s">
        <v>1185</v>
      </c>
      <c r="U141" s="13" t="s">
        <v>492</v>
      </c>
      <c r="V141" s="13" t="s">
        <v>1186</v>
      </c>
      <c r="W141" s="13" t="s">
        <v>462</v>
      </c>
      <c r="X141" s="13" t="s">
        <v>187</v>
      </c>
      <c r="Y141" s="13" t="s">
        <v>1187</v>
      </c>
      <c r="Z141" s="13" t="s">
        <v>1188</v>
      </c>
      <c r="AA141" s="14" t="s">
        <v>190</v>
      </c>
      <c r="AB141" s="15" t="s">
        <v>191</v>
      </c>
      <c r="AC141" s="15"/>
      <c r="AD141" s="15"/>
    </row>
    <row r="142" customFormat="false" ht="32.8" hidden="false" customHeight="false" outlineLevel="0" collapsed="false">
      <c r="A142" s="13" t="n">
        <v>141</v>
      </c>
      <c r="B142" s="13" t="s">
        <v>1189</v>
      </c>
      <c r="C142" s="13" t="s">
        <v>32</v>
      </c>
      <c r="D142" s="13" t="s">
        <v>1179</v>
      </c>
      <c r="E142" s="13" t="s">
        <v>1190</v>
      </c>
      <c r="F142" s="13" t="s">
        <v>51</v>
      </c>
      <c r="G142" s="13" t="s">
        <v>1191</v>
      </c>
      <c r="H142" s="13" t="s">
        <v>1182</v>
      </c>
      <c r="I142" s="13" t="s">
        <v>179</v>
      </c>
      <c r="J142" s="13" t="s">
        <v>25</v>
      </c>
      <c r="K142" s="13" t="s">
        <v>288</v>
      </c>
      <c r="L142" s="13" t="s">
        <v>1183</v>
      </c>
      <c r="M142" s="13" t="s">
        <v>1192</v>
      </c>
      <c r="N142" s="13" t="s">
        <v>93</v>
      </c>
      <c r="O142" s="13"/>
      <c r="P142" s="13"/>
      <c r="Q142" s="13"/>
      <c r="R142" s="13" t="s">
        <v>118</v>
      </c>
      <c r="S142" s="13"/>
      <c r="T142" s="13" t="s">
        <v>1185</v>
      </c>
      <c r="U142" s="13" t="s">
        <v>1193</v>
      </c>
      <c r="V142" s="13" t="s">
        <v>1186</v>
      </c>
      <c r="W142" s="13" t="s">
        <v>462</v>
      </c>
      <c r="X142" s="13" t="s">
        <v>202</v>
      </c>
      <c r="Y142" s="13"/>
      <c r="Z142" s="13" t="s">
        <v>1194</v>
      </c>
      <c r="AA142" s="14" t="s">
        <v>190</v>
      </c>
      <c r="AB142" s="15" t="s">
        <v>191</v>
      </c>
      <c r="AC142" s="15"/>
      <c r="AD142" s="15"/>
    </row>
    <row r="143" customFormat="false" ht="32.8" hidden="false" customHeight="false" outlineLevel="0" collapsed="false">
      <c r="A143" s="13" t="n">
        <v>142</v>
      </c>
      <c r="B143" s="13" t="s">
        <v>1195</v>
      </c>
      <c r="C143" s="13" t="s">
        <v>32</v>
      </c>
      <c r="D143" s="13" t="s">
        <v>1196</v>
      </c>
      <c r="E143" s="13" t="s">
        <v>1197</v>
      </c>
      <c r="F143" s="13" t="s">
        <v>51</v>
      </c>
      <c r="G143" s="13" t="s">
        <v>1198</v>
      </c>
      <c r="H143" s="13" t="s">
        <v>1182</v>
      </c>
      <c r="I143" s="13" t="s">
        <v>179</v>
      </c>
      <c r="J143" s="13" t="s">
        <v>24</v>
      </c>
      <c r="K143" s="13" t="s">
        <v>288</v>
      </c>
      <c r="L143" s="13" t="s">
        <v>956</v>
      </c>
      <c r="M143" s="13" t="s">
        <v>1199</v>
      </c>
      <c r="N143" s="13" t="s">
        <v>93</v>
      </c>
      <c r="O143" s="13"/>
      <c r="P143" s="13"/>
      <c r="Q143" s="13"/>
      <c r="R143" s="13" t="s">
        <v>106</v>
      </c>
      <c r="S143" s="13"/>
      <c r="T143" s="13" t="s">
        <v>958</v>
      </c>
      <c r="U143" s="13" t="s">
        <v>1032</v>
      </c>
      <c r="V143" s="13" t="s">
        <v>461</v>
      </c>
      <c r="W143" s="13"/>
      <c r="X143" s="13" t="s">
        <v>187</v>
      </c>
      <c r="Y143" s="13" t="s">
        <v>1200</v>
      </c>
      <c r="Z143" s="13" t="s">
        <v>1201</v>
      </c>
      <c r="AA143" s="14" t="s">
        <v>190</v>
      </c>
      <c r="AB143" s="15" t="s">
        <v>191</v>
      </c>
      <c r="AC143" s="15"/>
      <c r="AD143" s="15"/>
    </row>
    <row r="144" customFormat="false" ht="32.8" hidden="false" customHeight="false" outlineLevel="0" collapsed="false">
      <c r="A144" s="13" t="n">
        <v>143</v>
      </c>
      <c r="B144" s="13" t="s">
        <v>1202</v>
      </c>
      <c r="C144" s="13" t="s">
        <v>32</v>
      </c>
      <c r="D144" s="13" t="s">
        <v>1196</v>
      </c>
      <c r="E144" s="13" t="s">
        <v>1203</v>
      </c>
      <c r="F144" s="13" t="s">
        <v>51</v>
      </c>
      <c r="G144" s="13" t="s">
        <v>1204</v>
      </c>
      <c r="H144" s="13" t="s">
        <v>1182</v>
      </c>
      <c r="I144" s="13" t="s">
        <v>992</v>
      </c>
      <c r="J144" s="13" t="s">
        <v>25</v>
      </c>
      <c r="K144" s="13" t="s">
        <v>288</v>
      </c>
      <c r="L144" s="13" t="s">
        <v>956</v>
      </c>
      <c r="M144" s="13" t="s">
        <v>1205</v>
      </c>
      <c r="N144" s="13" t="s">
        <v>93</v>
      </c>
      <c r="O144" s="13"/>
      <c r="P144" s="13"/>
      <c r="Q144" s="13"/>
      <c r="R144" s="13" t="s">
        <v>106</v>
      </c>
      <c r="S144" s="13"/>
      <c r="T144" s="13" t="s">
        <v>958</v>
      </c>
      <c r="U144" s="13" t="s">
        <v>994</v>
      </c>
      <c r="V144" s="13" t="s">
        <v>461</v>
      </c>
      <c r="W144" s="13"/>
      <c r="X144" s="13" t="s">
        <v>202</v>
      </c>
      <c r="Y144" s="13"/>
      <c r="Z144" s="13" t="s">
        <v>1206</v>
      </c>
      <c r="AA144" s="14" t="s">
        <v>190</v>
      </c>
      <c r="AB144" s="15" t="s">
        <v>191</v>
      </c>
      <c r="AC144" s="15"/>
      <c r="AD144" s="15"/>
    </row>
    <row r="145" customFormat="false" ht="32.8" hidden="false" customHeight="false" outlineLevel="0" collapsed="false">
      <c r="A145" s="13" t="n">
        <v>144</v>
      </c>
      <c r="B145" s="13" t="s">
        <v>1207</v>
      </c>
      <c r="C145" s="13" t="s">
        <v>32</v>
      </c>
      <c r="D145" s="13" t="s">
        <v>1208</v>
      </c>
      <c r="E145" s="13" t="s">
        <v>1209</v>
      </c>
      <c r="F145" s="13" t="s">
        <v>51</v>
      </c>
      <c r="G145" s="13" t="s">
        <v>1210</v>
      </c>
      <c r="H145" s="13" t="s">
        <v>1182</v>
      </c>
      <c r="I145" s="13" t="s">
        <v>992</v>
      </c>
      <c r="J145" s="13" t="s">
        <v>24</v>
      </c>
      <c r="K145" s="13" t="s">
        <v>288</v>
      </c>
      <c r="L145" s="13" t="s">
        <v>1211</v>
      </c>
      <c r="M145" s="13" t="s">
        <v>1212</v>
      </c>
      <c r="N145" s="13" t="s">
        <v>93</v>
      </c>
      <c r="O145" s="13"/>
      <c r="P145" s="13"/>
      <c r="Q145" s="13"/>
      <c r="R145" s="13" t="s">
        <v>106</v>
      </c>
      <c r="S145" s="13"/>
      <c r="T145" s="13"/>
      <c r="U145" s="13" t="s">
        <v>1213</v>
      </c>
      <c r="V145" s="13" t="s">
        <v>461</v>
      </c>
      <c r="W145" s="13"/>
      <c r="X145" s="13" t="s">
        <v>202</v>
      </c>
      <c r="Y145" s="13"/>
      <c r="Z145" s="13" t="s">
        <v>1214</v>
      </c>
      <c r="AA145" s="14" t="s">
        <v>190</v>
      </c>
      <c r="AB145" s="15" t="s">
        <v>191</v>
      </c>
      <c r="AC145" s="15"/>
      <c r="AD145" s="15"/>
    </row>
    <row r="146" customFormat="false" ht="32.8" hidden="false" customHeight="false" outlineLevel="0" collapsed="false">
      <c r="A146" s="13" t="n">
        <v>145</v>
      </c>
      <c r="B146" s="13" t="s">
        <v>1215</v>
      </c>
      <c r="C146" s="13" t="s">
        <v>32</v>
      </c>
      <c r="D146" s="13" t="s">
        <v>1216</v>
      </c>
      <c r="E146" s="13" t="s">
        <v>1217</v>
      </c>
      <c r="F146" s="13" t="s">
        <v>51</v>
      </c>
      <c r="G146" s="13" t="s">
        <v>1218</v>
      </c>
      <c r="H146" s="13" t="s">
        <v>287</v>
      </c>
      <c r="I146" s="13" t="s">
        <v>572</v>
      </c>
      <c r="J146" s="13" t="s">
        <v>26</v>
      </c>
      <c r="K146" s="13" t="s">
        <v>288</v>
      </c>
      <c r="L146" s="13" t="s">
        <v>956</v>
      </c>
      <c r="M146" s="13" t="s">
        <v>1219</v>
      </c>
      <c r="N146" s="13" t="s">
        <v>96</v>
      </c>
      <c r="O146" s="13"/>
      <c r="P146" s="13"/>
      <c r="Q146" s="13"/>
      <c r="R146" s="13" t="s">
        <v>112</v>
      </c>
      <c r="S146" s="13"/>
      <c r="T146" s="13" t="s">
        <v>1220</v>
      </c>
      <c r="U146" s="13" t="s">
        <v>684</v>
      </c>
      <c r="V146" s="13" t="s">
        <v>1221</v>
      </c>
      <c r="W146" s="13"/>
      <c r="X146" s="13" t="s">
        <v>202</v>
      </c>
      <c r="Y146" s="13"/>
      <c r="Z146" s="13" t="s">
        <v>1222</v>
      </c>
      <c r="AA146" s="14" t="s">
        <v>190</v>
      </c>
      <c r="AB146" s="15" t="s">
        <v>191</v>
      </c>
      <c r="AC146" s="15"/>
      <c r="AD146" s="15"/>
    </row>
    <row r="147" customFormat="false" ht="22.35" hidden="false" customHeight="false" outlineLevel="0" collapsed="false">
      <c r="A147" s="13" t="n">
        <v>146</v>
      </c>
      <c r="B147" s="13" t="s">
        <v>1223</v>
      </c>
      <c r="C147" s="13" t="s">
        <v>32</v>
      </c>
      <c r="D147" s="13" t="s">
        <v>1224</v>
      </c>
      <c r="E147" s="13" t="s">
        <v>1225</v>
      </c>
      <c r="F147" s="13" t="s">
        <v>52</v>
      </c>
      <c r="G147" s="13" t="s">
        <v>1226</v>
      </c>
      <c r="H147" s="13" t="s">
        <v>359</v>
      </c>
      <c r="I147" s="13" t="s">
        <v>253</v>
      </c>
      <c r="J147" s="13" t="s">
        <v>25</v>
      </c>
      <c r="K147" s="13" t="s">
        <v>309</v>
      </c>
      <c r="L147" s="13" t="s">
        <v>1227</v>
      </c>
      <c r="M147" s="13" t="s">
        <v>1228</v>
      </c>
      <c r="N147" s="13" t="s">
        <v>93</v>
      </c>
      <c r="O147" s="13"/>
      <c r="P147" s="13"/>
      <c r="Q147" s="13"/>
      <c r="R147" s="13" t="s">
        <v>1229</v>
      </c>
      <c r="S147" s="13"/>
      <c r="T147" s="13" t="s">
        <v>1100</v>
      </c>
      <c r="U147" s="13" t="s">
        <v>1230</v>
      </c>
      <c r="V147" s="13" t="s">
        <v>1101</v>
      </c>
      <c r="W147" s="13"/>
      <c r="X147" s="13" t="s">
        <v>202</v>
      </c>
      <c r="Y147" s="13"/>
      <c r="Z147" s="13" t="s">
        <v>1231</v>
      </c>
      <c r="AA147" s="14" t="s">
        <v>190</v>
      </c>
      <c r="AB147" s="15" t="s">
        <v>191</v>
      </c>
      <c r="AC147" s="15"/>
      <c r="AD147" s="15"/>
    </row>
    <row r="148" customFormat="false" ht="22.35" hidden="false" customHeight="false" outlineLevel="0" collapsed="false">
      <c r="A148" s="13" t="n">
        <v>147</v>
      </c>
      <c r="B148" s="13" t="s">
        <v>1232</v>
      </c>
      <c r="C148" s="13" t="s">
        <v>32</v>
      </c>
      <c r="D148" s="13" t="s">
        <v>1224</v>
      </c>
      <c r="E148" s="13" t="s">
        <v>1233</v>
      </c>
      <c r="F148" s="13" t="s">
        <v>52</v>
      </c>
      <c r="G148" s="13" t="s">
        <v>1234</v>
      </c>
      <c r="H148" s="13" t="s">
        <v>359</v>
      </c>
      <c r="I148" s="13" t="s">
        <v>253</v>
      </c>
      <c r="J148" s="13" t="s">
        <v>24</v>
      </c>
      <c r="K148" s="13" t="s">
        <v>309</v>
      </c>
      <c r="L148" s="13" t="s">
        <v>1227</v>
      </c>
      <c r="M148" s="13" t="s">
        <v>1235</v>
      </c>
      <c r="N148" s="13" t="s">
        <v>93</v>
      </c>
      <c r="O148" s="13"/>
      <c r="P148" s="13"/>
      <c r="Q148" s="13"/>
      <c r="R148" s="13" t="s">
        <v>118</v>
      </c>
      <c r="S148" s="13"/>
      <c r="T148" s="13" t="s">
        <v>1100</v>
      </c>
      <c r="U148" s="13" t="s">
        <v>492</v>
      </c>
      <c r="V148" s="13" t="s">
        <v>1236</v>
      </c>
      <c r="W148" s="13"/>
      <c r="X148" s="13" t="s">
        <v>187</v>
      </c>
      <c r="Y148" s="13" t="s">
        <v>1237</v>
      </c>
      <c r="Z148" s="13" t="s">
        <v>1238</v>
      </c>
      <c r="AA148" s="14" t="s">
        <v>190</v>
      </c>
      <c r="AB148" s="15" t="s">
        <v>191</v>
      </c>
      <c r="AC148" s="15"/>
      <c r="AD148" s="15"/>
    </row>
    <row r="149" customFormat="false" ht="32.8" hidden="false" customHeight="false" outlineLevel="0" collapsed="false">
      <c r="A149" s="13" t="n">
        <v>148</v>
      </c>
      <c r="B149" s="13" t="s">
        <v>1239</v>
      </c>
      <c r="C149" s="13" t="s">
        <v>32</v>
      </c>
      <c r="D149" s="13" t="s">
        <v>862</v>
      </c>
      <c r="E149" s="13" t="s">
        <v>1240</v>
      </c>
      <c r="F149" s="13" t="s">
        <v>52</v>
      </c>
      <c r="G149" s="13" t="s">
        <v>1241</v>
      </c>
      <c r="H149" s="13" t="s">
        <v>388</v>
      </c>
      <c r="I149" s="13" t="s">
        <v>253</v>
      </c>
      <c r="J149" s="13" t="s">
        <v>24</v>
      </c>
      <c r="K149" s="13" t="s">
        <v>309</v>
      </c>
      <c r="L149" s="13" t="s">
        <v>1242</v>
      </c>
      <c r="M149" s="13" t="s">
        <v>1243</v>
      </c>
      <c r="N149" s="13" t="s">
        <v>96</v>
      </c>
      <c r="O149" s="13" t="s">
        <v>71</v>
      </c>
      <c r="P149" s="13"/>
      <c r="Q149" s="13"/>
      <c r="R149" s="13" t="s">
        <v>111</v>
      </c>
      <c r="S149" s="13"/>
      <c r="T149" s="13" t="s">
        <v>958</v>
      </c>
      <c r="U149" s="13" t="s">
        <v>492</v>
      </c>
      <c r="V149" s="13" t="s">
        <v>959</v>
      </c>
      <c r="W149" s="13"/>
      <c r="X149" s="13" t="s">
        <v>187</v>
      </c>
      <c r="Y149" s="13" t="s">
        <v>1244</v>
      </c>
      <c r="Z149" s="13" t="s">
        <v>1245</v>
      </c>
      <c r="AA149" s="14" t="s">
        <v>190</v>
      </c>
      <c r="AB149" s="15" t="s">
        <v>191</v>
      </c>
      <c r="AC149" s="15"/>
      <c r="AD149" s="15"/>
    </row>
    <row r="150" customFormat="false" ht="32.8" hidden="false" customHeight="false" outlineLevel="0" collapsed="false">
      <c r="A150" s="13" t="n">
        <v>149</v>
      </c>
      <c r="B150" s="13" t="s">
        <v>1246</v>
      </c>
      <c r="C150" s="13" t="s">
        <v>32</v>
      </c>
      <c r="D150" s="13" t="s">
        <v>1247</v>
      </c>
      <c r="E150" s="13" t="s">
        <v>1248</v>
      </c>
      <c r="F150" s="13" t="s">
        <v>52</v>
      </c>
      <c r="G150" s="13" t="s">
        <v>1249</v>
      </c>
      <c r="H150" s="13" t="s">
        <v>1250</v>
      </c>
      <c r="I150" s="13" t="s">
        <v>253</v>
      </c>
      <c r="J150" s="13" t="s">
        <v>24</v>
      </c>
      <c r="K150" s="13" t="s">
        <v>309</v>
      </c>
      <c r="L150" s="13" t="s">
        <v>1251</v>
      </c>
      <c r="M150" s="13" t="s">
        <v>1252</v>
      </c>
      <c r="N150" s="13"/>
      <c r="O150" s="13"/>
      <c r="P150" s="13"/>
      <c r="Q150" s="13"/>
      <c r="R150" s="13" t="s">
        <v>109</v>
      </c>
      <c r="S150" s="13" t="s">
        <v>129</v>
      </c>
      <c r="T150" s="13" t="s">
        <v>958</v>
      </c>
      <c r="U150" s="13" t="s">
        <v>291</v>
      </c>
      <c r="V150" s="13" t="s">
        <v>1101</v>
      </c>
      <c r="W150" s="13" t="s">
        <v>1253</v>
      </c>
      <c r="X150" s="13" t="s">
        <v>187</v>
      </c>
      <c r="Y150" s="13" t="s">
        <v>1254</v>
      </c>
      <c r="Z150" s="13" t="s">
        <v>1255</v>
      </c>
      <c r="AA150" s="14" t="s">
        <v>190</v>
      </c>
      <c r="AB150" s="15" t="s">
        <v>191</v>
      </c>
      <c r="AC150" s="15"/>
      <c r="AD150" s="15"/>
    </row>
    <row r="151" customFormat="false" ht="32.8" hidden="false" customHeight="false" outlineLevel="0" collapsed="false">
      <c r="A151" s="13" t="n">
        <v>150</v>
      </c>
      <c r="B151" s="13" t="s">
        <v>1256</v>
      </c>
      <c r="C151" s="13" t="s">
        <v>32</v>
      </c>
      <c r="D151" s="13" t="s">
        <v>1257</v>
      </c>
      <c r="E151" s="13" t="s">
        <v>1258</v>
      </c>
      <c r="F151" s="13" t="s">
        <v>53</v>
      </c>
      <c r="G151" s="13" t="s">
        <v>67</v>
      </c>
      <c r="H151" s="13" t="s">
        <v>1259</v>
      </c>
      <c r="I151" s="13" t="s">
        <v>397</v>
      </c>
      <c r="J151" s="13" t="s">
        <v>23</v>
      </c>
      <c r="K151" s="13" t="s">
        <v>1260</v>
      </c>
      <c r="L151" s="13" t="s">
        <v>1261</v>
      </c>
      <c r="M151" s="13"/>
      <c r="N151" s="13" t="s">
        <v>95</v>
      </c>
      <c r="O151" s="13" t="s">
        <v>67</v>
      </c>
      <c r="P151" s="13"/>
      <c r="Q151" s="13" t="s">
        <v>1262</v>
      </c>
      <c r="R151" s="13"/>
      <c r="S151" s="13"/>
      <c r="T151" s="13" t="s">
        <v>958</v>
      </c>
      <c r="U151" s="13" t="s">
        <v>475</v>
      </c>
      <c r="V151" s="13" t="s">
        <v>959</v>
      </c>
      <c r="W151" s="13"/>
      <c r="X151" s="13" t="s">
        <v>187</v>
      </c>
      <c r="Y151" s="13" t="s">
        <v>1263</v>
      </c>
      <c r="Z151" s="13" t="s">
        <v>1264</v>
      </c>
      <c r="AA151" s="14" t="s">
        <v>190</v>
      </c>
      <c r="AB151" s="15" t="s">
        <v>191</v>
      </c>
      <c r="AC151" s="15"/>
      <c r="AD151" s="15"/>
    </row>
    <row r="152" customFormat="false" ht="32.8" hidden="false" customHeight="false" outlineLevel="0" collapsed="false">
      <c r="A152" s="13" t="n">
        <v>151</v>
      </c>
      <c r="B152" s="13" t="s">
        <v>1265</v>
      </c>
      <c r="C152" s="13" t="s">
        <v>32</v>
      </c>
      <c r="D152" s="13" t="s">
        <v>1266</v>
      </c>
      <c r="E152" s="13" t="s">
        <v>1267</v>
      </c>
      <c r="F152" s="13" t="s">
        <v>53</v>
      </c>
      <c r="G152" s="13" t="s">
        <v>68</v>
      </c>
      <c r="H152" s="13" t="s">
        <v>1268</v>
      </c>
      <c r="I152" s="13" t="s">
        <v>397</v>
      </c>
      <c r="J152" s="13" t="s">
        <v>23</v>
      </c>
      <c r="K152" s="13" t="s">
        <v>1260</v>
      </c>
      <c r="L152" s="13" t="s">
        <v>1269</v>
      </c>
      <c r="M152" s="13"/>
      <c r="N152" s="13" t="s">
        <v>94</v>
      </c>
      <c r="O152" s="13" t="s">
        <v>68</v>
      </c>
      <c r="P152" s="13"/>
      <c r="Q152" s="13" t="s">
        <v>1270</v>
      </c>
      <c r="R152" s="13" t="s">
        <v>118</v>
      </c>
      <c r="S152" s="13"/>
      <c r="T152" s="13" t="s">
        <v>1271</v>
      </c>
      <c r="U152" s="13" t="s">
        <v>291</v>
      </c>
      <c r="V152" s="13" t="s">
        <v>265</v>
      </c>
      <c r="W152" s="13"/>
      <c r="X152" s="13" t="s">
        <v>187</v>
      </c>
      <c r="Y152" s="13" t="s">
        <v>1272</v>
      </c>
      <c r="Z152" s="13" t="s">
        <v>1273</v>
      </c>
      <c r="AA152" s="14" t="s">
        <v>190</v>
      </c>
      <c r="AB152" s="15" t="s">
        <v>191</v>
      </c>
      <c r="AC152" s="15"/>
      <c r="AD152" s="15"/>
    </row>
    <row r="153" customFormat="false" ht="32.8" hidden="false" customHeight="false" outlineLevel="0" collapsed="false">
      <c r="A153" s="13" t="n">
        <v>152</v>
      </c>
      <c r="B153" s="13" t="s">
        <v>1274</v>
      </c>
      <c r="C153" s="13" t="s">
        <v>32</v>
      </c>
      <c r="D153" s="13" t="s">
        <v>1275</v>
      </c>
      <c r="E153" s="13" t="s">
        <v>1276</v>
      </c>
      <c r="F153" s="13" t="s">
        <v>53</v>
      </c>
      <c r="G153" s="13" t="s">
        <v>69</v>
      </c>
      <c r="H153" s="13" t="s">
        <v>1277</v>
      </c>
      <c r="I153" s="13" t="s">
        <v>397</v>
      </c>
      <c r="J153" s="13" t="s">
        <v>23</v>
      </c>
      <c r="K153" s="13" t="s">
        <v>1260</v>
      </c>
      <c r="L153" s="13" t="s">
        <v>1278</v>
      </c>
      <c r="M153" s="13"/>
      <c r="N153" s="13" t="s">
        <v>102</v>
      </c>
      <c r="O153" s="13" t="s">
        <v>69</v>
      </c>
      <c r="P153" s="13"/>
      <c r="Q153" s="13"/>
      <c r="R153" s="13" t="s">
        <v>112</v>
      </c>
      <c r="S153" s="13"/>
      <c r="T153" s="13"/>
      <c r="U153" s="13" t="s">
        <v>492</v>
      </c>
      <c r="V153" s="13" t="s">
        <v>959</v>
      </c>
      <c r="W153" s="13"/>
      <c r="X153" s="13" t="s">
        <v>187</v>
      </c>
      <c r="Y153" s="13" t="s">
        <v>1279</v>
      </c>
      <c r="Z153" s="13" t="s">
        <v>1280</v>
      </c>
      <c r="AA153" s="14" t="s">
        <v>190</v>
      </c>
      <c r="AB153" s="15" t="s">
        <v>191</v>
      </c>
      <c r="AC153" s="15"/>
      <c r="AD153" s="15"/>
    </row>
    <row r="154" customFormat="false" ht="32.8" hidden="false" customHeight="false" outlineLevel="0" collapsed="false">
      <c r="A154" s="13" t="n">
        <v>153</v>
      </c>
      <c r="B154" s="13" t="s">
        <v>1281</v>
      </c>
      <c r="C154" s="13" t="s">
        <v>32</v>
      </c>
      <c r="D154" s="13" t="s">
        <v>1282</v>
      </c>
      <c r="E154" s="13" t="s">
        <v>1283</v>
      </c>
      <c r="F154" s="13" t="s">
        <v>53</v>
      </c>
      <c r="G154" s="13" t="s">
        <v>70</v>
      </c>
      <c r="H154" s="13" t="s">
        <v>1284</v>
      </c>
      <c r="I154" s="13" t="s">
        <v>397</v>
      </c>
      <c r="J154" s="13" t="s">
        <v>23</v>
      </c>
      <c r="K154" s="13" t="s">
        <v>1260</v>
      </c>
      <c r="L154" s="13" t="s">
        <v>1278</v>
      </c>
      <c r="M154" s="13"/>
      <c r="N154" s="13" t="s">
        <v>94</v>
      </c>
      <c r="O154" s="13" t="s">
        <v>70</v>
      </c>
      <c r="P154" s="13"/>
      <c r="Q154" s="13"/>
      <c r="R154" s="13" t="s">
        <v>118</v>
      </c>
      <c r="S154" s="13"/>
      <c r="T154" s="13"/>
      <c r="U154" s="13" t="s">
        <v>492</v>
      </c>
      <c r="V154" s="13" t="s">
        <v>265</v>
      </c>
      <c r="W154" s="13"/>
      <c r="X154" s="13" t="s">
        <v>202</v>
      </c>
      <c r="Y154" s="13"/>
      <c r="Z154" s="13" t="s">
        <v>1285</v>
      </c>
      <c r="AA154" s="14" t="s">
        <v>190</v>
      </c>
      <c r="AB154" s="15" t="s">
        <v>191</v>
      </c>
      <c r="AC154" s="15"/>
      <c r="AD154" s="15"/>
    </row>
    <row r="155" customFormat="false" ht="22.35" hidden="false" customHeight="false" outlineLevel="0" collapsed="false">
      <c r="A155" s="13" t="n">
        <v>154</v>
      </c>
      <c r="B155" s="13" t="s">
        <v>1286</v>
      </c>
      <c r="C155" s="13" t="s">
        <v>32</v>
      </c>
      <c r="D155" s="13" t="s">
        <v>1287</v>
      </c>
      <c r="E155" s="13" t="s">
        <v>1288</v>
      </c>
      <c r="F155" s="13" t="s">
        <v>53</v>
      </c>
      <c r="G155" s="13" t="s">
        <v>71</v>
      </c>
      <c r="H155" s="13" t="s">
        <v>1289</v>
      </c>
      <c r="I155" s="13" t="s">
        <v>397</v>
      </c>
      <c r="J155" s="13" t="s">
        <v>24</v>
      </c>
      <c r="K155" s="13" t="s">
        <v>1260</v>
      </c>
      <c r="L155" s="13" t="s">
        <v>1290</v>
      </c>
      <c r="M155" s="13"/>
      <c r="N155" s="13" t="s">
        <v>96</v>
      </c>
      <c r="O155" s="13" t="s">
        <v>71</v>
      </c>
      <c r="P155" s="13"/>
      <c r="Q155" s="13"/>
      <c r="R155" s="13"/>
      <c r="S155" s="13"/>
      <c r="T155" s="13" t="s">
        <v>958</v>
      </c>
      <c r="U155" s="13" t="s">
        <v>492</v>
      </c>
      <c r="V155" s="13" t="s">
        <v>959</v>
      </c>
      <c r="W155" s="13"/>
      <c r="X155" s="13" t="s">
        <v>187</v>
      </c>
      <c r="Y155" s="13" t="s">
        <v>1291</v>
      </c>
      <c r="Z155" s="13" t="s">
        <v>1292</v>
      </c>
      <c r="AA155" s="14" t="s">
        <v>190</v>
      </c>
      <c r="AB155" s="15" t="s">
        <v>191</v>
      </c>
      <c r="AC155" s="15"/>
      <c r="AD155" s="15"/>
    </row>
    <row r="156" customFormat="false" ht="32.8" hidden="false" customHeight="false" outlineLevel="0" collapsed="false">
      <c r="A156" s="13" t="n">
        <v>155</v>
      </c>
      <c r="B156" s="13" t="s">
        <v>1293</v>
      </c>
      <c r="C156" s="13" t="s">
        <v>32</v>
      </c>
      <c r="D156" s="13" t="s">
        <v>1294</v>
      </c>
      <c r="E156" s="13" t="s">
        <v>1295</v>
      </c>
      <c r="F156" s="13" t="s">
        <v>53</v>
      </c>
      <c r="G156" s="13" t="s">
        <v>72</v>
      </c>
      <c r="H156" s="13" t="s">
        <v>1296</v>
      </c>
      <c r="I156" s="13" t="s">
        <v>397</v>
      </c>
      <c r="J156" s="13" t="s">
        <v>24</v>
      </c>
      <c r="K156" s="13" t="s">
        <v>1260</v>
      </c>
      <c r="L156" s="13" t="s">
        <v>1261</v>
      </c>
      <c r="M156" s="13"/>
      <c r="N156" s="13" t="s">
        <v>96</v>
      </c>
      <c r="O156" s="13" t="s">
        <v>72</v>
      </c>
      <c r="P156" s="13"/>
      <c r="Q156" s="13" t="s">
        <v>1297</v>
      </c>
      <c r="R156" s="13"/>
      <c r="S156" s="13"/>
      <c r="T156" s="13" t="s">
        <v>958</v>
      </c>
      <c r="U156" s="13" t="s">
        <v>492</v>
      </c>
      <c r="V156" s="13" t="s">
        <v>959</v>
      </c>
      <c r="W156" s="13"/>
      <c r="X156" s="13" t="s">
        <v>202</v>
      </c>
      <c r="Y156" s="13"/>
      <c r="Z156" s="13" t="s">
        <v>1298</v>
      </c>
      <c r="AA156" s="14" t="s">
        <v>190</v>
      </c>
      <c r="AB156" s="15" t="s">
        <v>191</v>
      </c>
      <c r="AC156" s="15"/>
      <c r="AD156" s="15"/>
    </row>
    <row r="157" customFormat="false" ht="32.8" hidden="false" customHeight="false" outlineLevel="0" collapsed="false">
      <c r="A157" s="13" t="n">
        <v>156</v>
      </c>
      <c r="B157" s="13" t="s">
        <v>1299</v>
      </c>
      <c r="C157" s="13" t="s">
        <v>32</v>
      </c>
      <c r="D157" s="13" t="s">
        <v>1300</v>
      </c>
      <c r="E157" s="13" t="s">
        <v>1301</v>
      </c>
      <c r="F157" s="13" t="s">
        <v>53</v>
      </c>
      <c r="G157" s="13" t="s">
        <v>73</v>
      </c>
      <c r="H157" s="13" t="s">
        <v>1302</v>
      </c>
      <c r="I157" s="13" t="s">
        <v>397</v>
      </c>
      <c r="J157" s="13" t="s">
        <v>24</v>
      </c>
      <c r="K157" s="13" t="s">
        <v>1260</v>
      </c>
      <c r="L157" s="13" t="s">
        <v>1278</v>
      </c>
      <c r="M157" s="13"/>
      <c r="N157" s="13" t="s">
        <v>98</v>
      </c>
      <c r="O157" s="13" t="s">
        <v>73</v>
      </c>
      <c r="P157" s="13"/>
      <c r="Q157" s="13"/>
      <c r="R157" s="13" t="s">
        <v>118</v>
      </c>
      <c r="S157" s="13"/>
      <c r="T157" s="13"/>
      <c r="U157" s="13" t="s">
        <v>492</v>
      </c>
      <c r="V157" s="13" t="s">
        <v>959</v>
      </c>
      <c r="W157" s="13"/>
      <c r="X157" s="13" t="s">
        <v>202</v>
      </c>
      <c r="Y157" s="13"/>
      <c r="Z157" s="13" t="s">
        <v>1303</v>
      </c>
      <c r="AA157" s="14" t="s">
        <v>190</v>
      </c>
      <c r="AB157" s="15" t="s">
        <v>191</v>
      </c>
      <c r="AC157" s="15"/>
      <c r="AD157" s="15"/>
    </row>
    <row r="158" customFormat="false" ht="22.35" hidden="false" customHeight="false" outlineLevel="0" collapsed="false">
      <c r="A158" s="13" t="n">
        <v>157</v>
      </c>
      <c r="B158" s="13" t="s">
        <v>1304</v>
      </c>
      <c r="C158" s="13" t="s">
        <v>32</v>
      </c>
      <c r="D158" s="13" t="s">
        <v>1305</v>
      </c>
      <c r="E158" s="13" t="s">
        <v>1306</v>
      </c>
      <c r="F158" s="13" t="s">
        <v>53</v>
      </c>
      <c r="G158" s="13" t="s">
        <v>74</v>
      </c>
      <c r="H158" s="13" t="s">
        <v>1307</v>
      </c>
      <c r="I158" s="13" t="s">
        <v>397</v>
      </c>
      <c r="J158" s="13" t="s">
        <v>23</v>
      </c>
      <c r="K158" s="13" t="s">
        <v>1260</v>
      </c>
      <c r="L158" s="13" t="s">
        <v>1308</v>
      </c>
      <c r="M158" s="13"/>
      <c r="N158" s="13" t="s">
        <v>96</v>
      </c>
      <c r="O158" s="13" t="s">
        <v>74</v>
      </c>
      <c r="P158" s="13"/>
      <c r="Q158" s="13" t="s">
        <v>1008</v>
      </c>
      <c r="R158" s="13"/>
      <c r="S158" s="13"/>
      <c r="T158" s="13"/>
      <c r="U158" s="13" t="s">
        <v>492</v>
      </c>
      <c r="V158" s="13" t="s">
        <v>959</v>
      </c>
      <c r="W158" s="13"/>
      <c r="X158" s="13" t="s">
        <v>187</v>
      </c>
      <c r="Y158" s="13" t="s">
        <v>1309</v>
      </c>
      <c r="Z158" s="13" t="s">
        <v>1310</v>
      </c>
      <c r="AA158" s="14" t="s">
        <v>190</v>
      </c>
      <c r="AB158" s="15" t="s">
        <v>191</v>
      </c>
      <c r="AC158" s="15"/>
      <c r="AD158" s="15"/>
    </row>
    <row r="159" customFormat="false" ht="22.35" hidden="false" customHeight="false" outlineLevel="0" collapsed="false">
      <c r="A159" s="13" t="n">
        <v>158</v>
      </c>
      <c r="B159" s="13" t="s">
        <v>1311</v>
      </c>
      <c r="C159" s="13" t="s">
        <v>32</v>
      </c>
      <c r="D159" s="13" t="s">
        <v>1312</v>
      </c>
      <c r="E159" s="13" t="s">
        <v>1313</v>
      </c>
      <c r="F159" s="13" t="s">
        <v>53</v>
      </c>
      <c r="G159" s="13" t="s">
        <v>75</v>
      </c>
      <c r="H159" s="13" t="s">
        <v>1314</v>
      </c>
      <c r="I159" s="13" t="s">
        <v>397</v>
      </c>
      <c r="J159" s="13" t="s">
        <v>24</v>
      </c>
      <c r="K159" s="13" t="s">
        <v>1260</v>
      </c>
      <c r="L159" s="13" t="s">
        <v>1308</v>
      </c>
      <c r="M159" s="13"/>
      <c r="N159" s="13" t="s">
        <v>98</v>
      </c>
      <c r="O159" s="13" t="s">
        <v>75</v>
      </c>
      <c r="P159" s="13"/>
      <c r="Q159" s="13" t="s">
        <v>1315</v>
      </c>
      <c r="R159" s="13"/>
      <c r="S159" s="13"/>
      <c r="T159" s="13"/>
      <c r="U159" s="13" t="s">
        <v>492</v>
      </c>
      <c r="V159" s="13" t="s">
        <v>959</v>
      </c>
      <c r="W159" s="13"/>
      <c r="X159" s="13" t="s">
        <v>202</v>
      </c>
      <c r="Y159" s="13"/>
      <c r="Z159" s="13" t="s">
        <v>1316</v>
      </c>
      <c r="AA159" s="14" t="s">
        <v>190</v>
      </c>
      <c r="AB159" s="15" t="s">
        <v>191</v>
      </c>
      <c r="AC159" s="15"/>
      <c r="AD159" s="15"/>
    </row>
    <row r="160" customFormat="false" ht="32.8" hidden="false" customHeight="false" outlineLevel="0" collapsed="false">
      <c r="A160" s="13" t="n">
        <v>159</v>
      </c>
      <c r="B160" s="13" t="s">
        <v>1317</v>
      </c>
      <c r="C160" s="13" t="s">
        <v>32</v>
      </c>
      <c r="D160" s="13" t="s">
        <v>1318</v>
      </c>
      <c r="E160" s="13" t="s">
        <v>1319</v>
      </c>
      <c r="F160" s="13" t="s">
        <v>53</v>
      </c>
      <c r="G160" s="13" t="s">
        <v>68</v>
      </c>
      <c r="H160" s="13" t="s">
        <v>1268</v>
      </c>
      <c r="I160" s="13" t="s">
        <v>397</v>
      </c>
      <c r="J160" s="13" t="s">
        <v>24</v>
      </c>
      <c r="K160" s="13" t="s">
        <v>1260</v>
      </c>
      <c r="L160" s="13" t="s">
        <v>1278</v>
      </c>
      <c r="M160" s="13"/>
      <c r="N160" s="13" t="s">
        <v>94</v>
      </c>
      <c r="O160" s="13" t="s">
        <v>68</v>
      </c>
      <c r="P160" s="13"/>
      <c r="Q160" s="13"/>
      <c r="R160" s="13" t="s">
        <v>118</v>
      </c>
      <c r="S160" s="13"/>
      <c r="T160" s="13"/>
      <c r="U160" s="13" t="s">
        <v>492</v>
      </c>
      <c r="V160" s="13" t="s">
        <v>959</v>
      </c>
      <c r="W160" s="13"/>
      <c r="X160" s="13" t="s">
        <v>202</v>
      </c>
      <c r="Y160" s="13"/>
      <c r="Z160" s="13" t="s">
        <v>1320</v>
      </c>
      <c r="AA160" s="14" t="s">
        <v>190</v>
      </c>
      <c r="AB160" s="15" t="s">
        <v>191</v>
      </c>
      <c r="AC160" s="15"/>
      <c r="AD160" s="15"/>
    </row>
    <row r="161" customFormat="false" ht="32.8" hidden="false" customHeight="false" outlineLevel="0" collapsed="false">
      <c r="A161" s="13" t="n">
        <v>160</v>
      </c>
      <c r="B161" s="13" t="s">
        <v>1321</v>
      </c>
      <c r="C161" s="13" t="s">
        <v>32</v>
      </c>
      <c r="D161" s="13" t="s">
        <v>1322</v>
      </c>
      <c r="E161" s="13" t="s">
        <v>1323</v>
      </c>
      <c r="F161" s="13" t="s">
        <v>53</v>
      </c>
      <c r="G161" s="13" t="s">
        <v>69</v>
      </c>
      <c r="H161" s="13" t="s">
        <v>1277</v>
      </c>
      <c r="I161" s="13" t="s">
        <v>397</v>
      </c>
      <c r="J161" s="13" t="s">
        <v>24</v>
      </c>
      <c r="K161" s="13" t="s">
        <v>885</v>
      </c>
      <c r="L161" s="13" t="s">
        <v>1278</v>
      </c>
      <c r="M161" s="13"/>
      <c r="N161" s="13" t="s">
        <v>102</v>
      </c>
      <c r="O161" s="13" t="s">
        <v>69</v>
      </c>
      <c r="P161" s="13"/>
      <c r="Q161" s="13"/>
      <c r="R161" s="13" t="s">
        <v>112</v>
      </c>
      <c r="S161" s="13"/>
      <c r="T161" s="13"/>
      <c r="U161" s="13" t="s">
        <v>291</v>
      </c>
      <c r="V161" s="13" t="s">
        <v>209</v>
      </c>
      <c r="W161" s="13"/>
      <c r="X161" s="13" t="s">
        <v>187</v>
      </c>
      <c r="Y161" s="13" t="s">
        <v>1324</v>
      </c>
      <c r="Z161" s="13" t="s">
        <v>1325</v>
      </c>
      <c r="AA161" s="14" t="s">
        <v>190</v>
      </c>
      <c r="AB161" s="15" t="s">
        <v>191</v>
      </c>
      <c r="AC161" s="15"/>
      <c r="AD161" s="15"/>
    </row>
    <row r="162" customFormat="false" ht="22.35" hidden="false" customHeight="false" outlineLevel="0" collapsed="false">
      <c r="A162" s="13" t="n">
        <v>161</v>
      </c>
      <c r="B162" s="13" t="s">
        <v>1326</v>
      </c>
      <c r="C162" s="13" t="s">
        <v>32</v>
      </c>
      <c r="D162" s="13" t="s">
        <v>1327</v>
      </c>
      <c r="E162" s="13" t="s">
        <v>1328</v>
      </c>
      <c r="F162" s="13" t="s">
        <v>54</v>
      </c>
      <c r="G162" s="13" t="s">
        <v>99</v>
      </c>
      <c r="H162" s="13" t="s">
        <v>1329</v>
      </c>
      <c r="I162" s="13" t="s">
        <v>397</v>
      </c>
      <c r="J162" s="13" t="s">
        <v>24</v>
      </c>
      <c r="K162" s="13" t="s">
        <v>1260</v>
      </c>
      <c r="L162" s="13" t="s">
        <v>1330</v>
      </c>
      <c r="M162" s="13"/>
      <c r="N162" s="13" t="s">
        <v>1331</v>
      </c>
      <c r="O162" s="13"/>
      <c r="P162" s="13"/>
      <c r="Q162" s="13"/>
      <c r="R162" s="13"/>
      <c r="S162" s="13"/>
      <c r="T162" s="13"/>
      <c r="U162" s="13" t="s">
        <v>1332</v>
      </c>
      <c r="V162" s="13" t="s">
        <v>959</v>
      </c>
      <c r="W162" s="13"/>
      <c r="X162" s="13" t="s">
        <v>202</v>
      </c>
      <c r="Y162" s="13"/>
      <c r="Z162" s="13" t="s">
        <v>1333</v>
      </c>
      <c r="AA162" s="14" t="s">
        <v>190</v>
      </c>
      <c r="AB162" s="15" t="s">
        <v>191</v>
      </c>
      <c r="AC162" s="15"/>
      <c r="AD162" s="15"/>
    </row>
    <row r="163" customFormat="false" ht="32.8" hidden="false" customHeight="false" outlineLevel="0" collapsed="false">
      <c r="A163" s="13" t="n">
        <v>162</v>
      </c>
      <c r="B163" s="13" t="s">
        <v>1334</v>
      </c>
      <c r="C163" s="13" t="s">
        <v>32</v>
      </c>
      <c r="D163" s="13" t="s">
        <v>1335</v>
      </c>
      <c r="E163" s="13" t="s">
        <v>1336</v>
      </c>
      <c r="F163" s="13" t="s">
        <v>54</v>
      </c>
      <c r="G163" s="13" t="s">
        <v>97</v>
      </c>
      <c r="H163" s="13" t="s">
        <v>1337</v>
      </c>
      <c r="I163" s="13" t="s">
        <v>397</v>
      </c>
      <c r="J163" s="13" t="s">
        <v>23</v>
      </c>
      <c r="K163" s="13" t="s">
        <v>1260</v>
      </c>
      <c r="L163" s="13" t="s">
        <v>1338</v>
      </c>
      <c r="M163" s="13"/>
      <c r="N163" s="13" t="s">
        <v>97</v>
      </c>
      <c r="O163" s="13"/>
      <c r="P163" s="13" t="s">
        <v>82</v>
      </c>
      <c r="Q163" s="13"/>
      <c r="R163" s="13"/>
      <c r="S163" s="13"/>
      <c r="T163" s="13"/>
      <c r="U163" s="13" t="s">
        <v>1339</v>
      </c>
      <c r="V163" s="13" t="s">
        <v>353</v>
      </c>
      <c r="W163" s="13"/>
      <c r="X163" s="13" t="s">
        <v>187</v>
      </c>
      <c r="Y163" s="13" t="s">
        <v>1340</v>
      </c>
      <c r="Z163" s="13" t="s">
        <v>1341</v>
      </c>
      <c r="AA163" s="14" t="s">
        <v>190</v>
      </c>
      <c r="AB163" s="15" t="s">
        <v>191</v>
      </c>
      <c r="AC163" s="15"/>
      <c r="AD163" s="15"/>
    </row>
    <row r="164" customFormat="false" ht="22.35" hidden="false" customHeight="false" outlineLevel="0" collapsed="false">
      <c r="A164" s="13" t="n">
        <v>163</v>
      </c>
      <c r="B164" s="13" t="s">
        <v>1342</v>
      </c>
      <c r="C164" s="13" t="s">
        <v>32</v>
      </c>
      <c r="D164" s="13" t="s">
        <v>1343</v>
      </c>
      <c r="E164" s="13" t="s">
        <v>1344</v>
      </c>
      <c r="F164" s="13" t="s">
        <v>54</v>
      </c>
      <c r="G164" s="13" t="s">
        <v>97</v>
      </c>
      <c r="H164" s="13" t="s">
        <v>1337</v>
      </c>
      <c r="I164" s="13" t="s">
        <v>397</v>
      </c>
      <c r="J164" s="13" t="s">
        <v>24</v>
      </c>
      <c r="K164" s="13" t="s">
        <v>1260</v>
      </c>
      <c r="L164" s="13" t="s">
        <v>1345</v>
      </c>
      <c r="M164" s="13"/>
      <c r="N164" s="13" t="s">
        <v>97</v>
      </c>
      <c r="O164" s="13" t="s">
        <v>68</v>
      </c>
      <c r="P164" s="13"/>
      <c r="Q164" s="13"/>
      <c r="R164" s="13"/>
      <c r="S164" s="13"/>
      <c r="T164" s="13"/>
      <c r="U164" s="13" t="s">
        <v>492</v>
      </c>
      <c r="V164" s="13" t="s">
        <v>353</v>
      </c>
      <c r="W164" s="13"/>
      <c r="X164" s="13" t="s">
        <v>202</v>
      </c>
      <c r="Y164" s="13"/>
      <c r="Z164" s="13" t="s">
        <v>1346</v>
      </c>
      <c r="AA164" s="14" t="s">
        <v>190</v>
      </c>
      <c r="AB164" s="15" t="s">
        <v>191</v>
      </c>
      <c r="AC164" s="15"/>
      <c r="AD164" s="15"/>
    </row>
    <row r="165" customFormat="false" ht="32.8" hidden="false" customHeight="false" outlineLevel="0" collapsed="false">
      <c r="A165" s="13" t="n">
        <v>164</v>
      </c>
      <c r="B165" s="13" t="s">
        <v>1347</v>
      </c>
      <c r="C165" s="13" t="s">
        <v>32</v>
      </c>
      <c r="D165" s="13" t="s">
        <v>1348</v>
      </c>
      <c r="E165" s="13" t="s">
        <v>1349</v>
      </c>
      <c r="F165" s="13" t="s">
        <v>54</v>
      </c>
      <c r="G165" s="13" t="s">
        <v>100</v>
      </c>
      <c r="H165" s="13" t="s">
        <v>1350</v>
      </c>
      <c r="I165" s="13" t="s">
        <v>397</v>
      </c>
      <c r="J165" s="13" t="s">
        <v>23</v>
      </c>
      <c r="K165" s="13" t="s">
        <v>1351</v>
      </c>
      <c r="L165" s="13" t="s">
        <v>1352</v>
      </c>
      <c r="M165" s="13"/>
      <c r="N165" s="13" t="s">
        <v>1353</v>
      </c>
      <c r="O165" s="13"/>
      <c r="P165" s="13"/>
      <c r="Q165" s="13"/>
      <c r="R165" s="13" t="s">
        <v>112</v>
      </c>
      <c r="S165" s="13"/>
      <c r="T165" s="13"/>
      <c r="U165" s="13" t="s">
        <v>244</v>
      </c>
      <c r="V165" s="13" t="s">
        <v>1221</v>
      </c>
      <c r="W165" s="13"/>
      <c r="X165" s="13" t="s">
        <v>187</v>
      </c>
      <c r="Y165" s="13" t="s">
        <v>1354</v>
      </c>
      <c r="Z165" s="13" t="s">
        <v>1355</v>
      </c>
      <c r="AA165" s="14" t="s">
        <v>190</v>
      </c>
      <c r="AB165" s="15" t="s">
        <v>191</v>
      </c>
      <c r="AC165" s="15"/>
      <c r="AD165" s="15"/>
    </row>
    <row r="166" customFormat="false" ht="43.25" hidden="false" customHeight="false" outlineLevel="0" collapsed="false">
      <c r="A166" s="13" t="n">
        <v>165</v>
      </c>
      <c r="B166" s="13" t="s">
        <v>1356</v>
      </c>
      <c r="C166" s="13" t="s">
        <v>32</v>
      </c>
      <c r="D166" s="13" t="s">
        <v>1357</v>
      </c>
      <c r="E166" s="13" t="s">
        <v>1358</v>
      </c>
      <c r="F166" s="13" t="s">
        <v>54</v>
      </c>
      <c r="G166" s="13" t="s">
        <v>1359</v>
      </c>
      <c r="H166" s="13" t="s">
        <v>1360</v>
      </c>
      <c r="I166" s="13" t="s">
        <v>397</v>
      </c>
      <c r="J166" s="13" t="s">
        <v>25</v>
      </c>
      <c r="K166" s="13" t="s">
        <v>1260</v>
      </c>
      <c r="L166" s="13" t="s">
        <v>1361</v>
      </c>
      <c r="M166" s="13"/>
      <c r="N166" s="13" t="s">
        <v>100</v>
      </c>
      <c r="O166" s="13"/>
      <c r="P166" s="13"/>
      <c r="Q166" s="13"/>
      <c r="R166" s="13" t="s">
        <v>118</v>
      </c>
      <c r="S166" s="13"/>
      <c r="T166" s="13" t="s">
        <v>958</v>
      </c>
      <c r="U166" s="13" t="s">
        <v>492</v>
      </c>
      <c r="V166" s="13" t="s">
        <v>959</v>
      </c>
      <c r="W166" s="13"/>
      <c r="X166" s="13" t="s">
        <v>187</v>
      </c>
      <c r="Y166" s="13" t="s">
        <v>1362</v>
      </c>
      <c r="Z166" s="13" t="s">
        <v>1363</v>
      </c>
      <c r="AA166" s="14" t="s">
        <v>190</v>
      </c>
      <c r="AB166" s="15" t="s">
        <v>191</v>
      </c>
      <c r="AC166" s="15"/>
      <c r="AD166" s="15"/>
    </row>
    <row r="167" customFormat="false" ht="32.8" hidden="false" customHeight="false" outlineLevel="0" collapsed="false">
      <c r="A167" s="13" t="n">
        <v>166</v>
      </c>
      <c r="B167" s="13" t="s">
        <v>1364</v>
      </c>
      <c r="C167" s="13" t="s">
        <v>32</v>
      </c>
      <c r="D167" s="13" t="s">
        <v>1365</v>
      </c>
      <c r="E167" s="13" t="s">
        <v>1366</v>
      </c>
      <c r="F167" s="13" t="s">
        <v>56</v>
      </c>
      <c r="G167" s="13" t="s">
        <v>118</v>
      </c>
      <c r="H167" s="13" t="s">
        <v>1367</v>
      </c>
      <c r="I167" s="13" t="s">
        <v>397</v>
      </c>
      <c r="J167" s="13" t="s">
        <v>24</v>
      </c>
      <c r="K167" s="13" t="s">
        <v>1260</v>
      </c>
      <c r="L167" s="13" t="s">
        <v>1368</v>
      </c>
      <c r="M167" s="13"/>
      <c r="N167" s="13" t="s">
        <v>93</v>
      </c>
      <c r="O167" s="13" t="s">
        <v>1147</v>
      </c>
      <c r="P167" s="13"/>
      <c r="Q167" s="13"/>
      <c r="R167" s="13" t="s">
        <v>1369</v>
      </c>
      <c r="S167" s="13"/>
      <c r="T167" s="13" t="s">
        <v>1100</v>
      </c>
      <c r="U167" s="13" t="s">
        <v>492</v>
      </c>
      <c r="V167" s="13" t="s">
        <v>1101</v>
      </c>
      <c r="W167" s="13"/>
      <c r="X167" s="13" t="s">
        <v>187</v>
      </c>
      <c r="Y167" s="13" t="s">
        <v>1370</v>
      </c>
      <c r="Z167" s="13" t="s">
        <v>1371</v>
      </c>
      <c r="AA167" s="14" t="s">
        <v>190</v>
      </c>
      <c r="AB167" s="15" t="s">
        <v>191</v>
      </c>
      <c r="AC167" s="15"/>
      <c r="AD167" s="15"/>
    </row>
    <row r="168" customFormat="false" ht="32.8" hidden="false" customHeight="false" outlineLevel="0" collapsed="false">
      <c r="A168" s="13" t="n">
        <v>167</v>
      </c>
      <c r="B168" s="13" t="s">
        <v>1372</v>
      </c>
      <c r="C168" s="13" t="s">
        <v>32</v>
      </c>
      <c r="D168" s="13" t="s">
        <v>1373</v>
      </c>
      <c r="E168" s="13" t="s">
        <v>1374</v>
      </c>
      <c r="F168" s="13" t="s">
        <v>56</v>
      </c>
      <c r="G168" s="13" t="s">
        <v>106</v>
      </c>
      <c r="H168" s="13" t="s">
        <v>1375</v>
      </c>
      <c r="I168" s="13" t="s">
        <v>397</v>
      </c>
      <c r="J168" s="13" t="s">
        <v>24</v>
      </c>
      <c r="K168" s="13" t="s">
        <v>1260</v>
      </c>
      <c r="L168" s="13" t="s">
        <v>1376</v>
      </c>
      <c r="M168" s="13"/>
      <c r="N168" s="13" t="s">
        <v>93</v>
      </c>
      <c r="O168" s="13" t="s">
        <v>76</v>
      </c>
      <c r="P168" s="13" t="s">
        <v>79</v>
      </c>
      <c r="Q168" s="13"/>
      <c r="R168" s="13" t="s">
        <v>106</v>
      </c>
      <c r="S168" s="13"/>
      <c r="T168" s="13" t="s">
        <v>958</v>
      </c>
      <c r="U168" s="13" t="s">
        <v>1032</v>
      </c>
      <c r="V168" s="13" t="s">
        <v>461</v>
      </c>
      <c r="W168" s="13"/>
      <c r="X168" s="13" t="s">
        <v>187</v>
      </c>
      <c r="Y168" s="13" t="s">
        <v>1377</v>
      </c>
      <c r="Z168" s="13" t="s">
        <v>1378</v>
      </c>
      <c r="AA168" s="14" t="s">
        <v>190</v>
      </c>
      <c r="AB168" s="15" t="s">
        <v>191</v>
      </c>
      <c r="AC168" s="15"/>
      <c r="AD168" s="15"/>
    </row>
    <row r="169" customFormat="false" ht="32.8" hidden="false" customHeight="false" outlineLevel="0" collapsed="false">
      <c r="A169" s="13" t="n">
        <v>168</v>
      </c>
      <c r="B169" s="13" t="s">
        <v>1379</v>
      </c>
      <c r="C169" s="13" t="s">
        <v>33</v>
      </c>
      <c r="D169" s="13" t="s">
        <v>1380</v>
      </c>
      <c r="E169" s="13" t="s">
        <v>1381</v>
      </c>
      <c r="F169" s="13" t="s">
        <v>49</v>
      </c>
      <c r="G169" s="13" t="s">
        <v>1382</v>
      </c>
      <c r="H169" s="13" t="s">
        <v>1383</v>
      </c>
      <c r="I169" s="13" t="s">
        <v>179</v>
      </c>
      <c r="J169" s="13" t="s">
        <v>24</v>
      </c>
      <c r="K169" s="13" t="s">
        <v>1384</v>
      </c>
      <c r="L169" s="13" t="s">
        <v>1385</v>
      </c>
      <c r="M169" s="13" t="s">
        <v>1386</v>
      </c>
      <c r="N169" s="13"/>
      <c r="O169" s="13"/>
      <c r="P169" s="13" t="s">
        <v>86</v>
      </c>
      <c r="Q169" s="13"/>
      <c r="R169" s="13"/>
      <c r="S169" s="13"/>
      <c r="T169" s="13"/>
      <c r="U169" s="13" t="s">
        <v>1387</v>
      </c>
      <c r="V169" s="13" t="s">
        <v>1388</v>
      </c>
      <c r="W169" s="13"/>
      <c r="X169" s="13" t="s">
        <v>202</v>
      </c>
      <c r="Y169" s="13"/>
      <c r="Z169" s="13" t="s">
        <v>1389</v>
      </c>
      <c r="AA169" s="14" t="s">
        <v>190</v>
      </c>
      <c r="AB169" s="15" t="s">
        <v>191</v>
      </c>
      <c r="AC169" s="15"/>
      <c r="AD169" s="15"/>
    </row>
    <row r="170" customFormat="false" ht="32.8" hidden="false" customHeight="false" outlineLevel="0" collapsed="false">
      <c r="A170" s="13" t="n">
        <v>169</v>
      </c>
      <c r="B170" s="13" t="s">
        <v>1390</v>
      </c>
      <c r="C170" s="13" t="s">
        <v>33</v>
      </c>
      <c r="D170" s="13" t="s">
        <v>1380</v>
      </c>
      <c r="E170" s="13" t="s">
        <v>1391</v>
      </c>
      <c r="F170" s="13" t="s">
        <v>49</v>
      </c>
      <c r="G170" s="13" t="s">
        <v>1392</v>
      </c>
      <c r="H170" s="13" t="s">
        <v>1383</v>
      </c>
      <c r="I170" s="13" t="s">
        <v>179</v>
      </c>
      <c r="J170" s="13" t="s">
        <v>25</v>
      </c>
      <c r="K170" s="13" t="s">
        <v>1384</v>
      </c>
      <c r="L170" s="13" t="s">
        <v>1385</v>
      </c>
      <c r="M170" s="13" t="s">
        <v>1393</v>
      </c>
      <c r="N170" s="13"/>
      <c r="O170" s="13"/>
      <c r="P170" s="13" t="s">
        <v>86</v>
      </c>
      <c r="Q170" s="13"/>
      <c r="R170" s="13"/>
      <c r="S170" s="13"/>
      <c r="T170" s="13"/>
      <c r="U170" s="13" t="s">
        <v>1387</v>
      </c>
      <c r="V170" s="13" t="s">
        <v>1388</v>
      </c>
      <c r="W170" s="13"/>
      <c r="X170" s="13" t="s">
        <v>202</v>
      </c>
      <c r="Y170" s="13"/>
      <c r="Z170" s="13" t="s">
        <v>1394</v>
      </c>
      <c r="AA170" s="14" t="s">
        <v>190</v>
      </c>
      <c r="AB170" s="15" t="s">
        <v>191</v>
      </c>
      <c r="AC170" s="15"/>
      <c r="AD170" s="15"/>
    </row>
    <row r="171" customFormat="false" ht="32.8" hidden="false" customHeight="false" outlineLevel="0" collapsed="false">
      <c r="A171" s="13" t="n">
        <v>170</v>
      </c>
      <c r="B171" s="13" t="s">
        <v>1395</v>
      </c>
      <c r="C171" s="13" t="s">
        <v>33</v>
      </c>
      <c r="D171" s="13" t="s">
        <v>1396</v>
      </c>
      <c r="E171" s="13" t="s">
        <v>1397</v>
      </c>
      <c r="F171" s="13" t="s">
        <v>49</v>
      </c>
      <c r="G171" s="13" t="s">
        <v>1398</v>
      </c>
      <c r="H171" s="13" t="s">
        <v>1383</v>
      </c>
      <c r="I171" s="13" t="s">
        <v>179</v>
      </c>
      <c r="J171" s="13" t="s">
        <v>24</v>
      </c>
      <c r="K171" s="13" t="s">
        <v>1384</v>
      </c>
      <c r="L171" s="13" t="s">
        <v>1385</v>
      </c>
      <c r="M171" s="13" t="s">
        <v>1399</v>
      </c>
      <c r="N171" s="13"/>
      <c r="O171" s="13"/>
      <c r="P171" s="13" t="s">
        <v>86</v>
      </c>
      <c r="Q171" s="13"/>
      <c r="R171" s="13"/>
      <c r="S171" s="13"/>
      <c r="T171" s="13"/>
      <c r="U171" s="13" t="s">
        <v>994</v>
      </c>
      <c r="V171" s="13" t="s">
        <v>1400</v>
      </c>
      <c r="W171" s="13"/>
      <c r="X171" s="13" t="s">
        <v>202</v>
      </c>
      <c r="Y171" s="13"/>
      <c r="Z171" s="13" t="s">
        <v>1401</v>
      </c>
      <c r="AA171" s="14" t="s">
        <v>190</v>
      </c>
      <c r="AB171" s="15" t="s">
        <v>191</v>
      </c>
      <c r="AC171" s="15"/>
      <c r="AD171" s="15"/>
    </row>
    <row r="172" customFormat="false" ht="32.8" hidden="false" customHeight="false" outlineLevel="0" collapsed="false">
      <c r="A172" s="13" t="n">
        <v>171</v>
      </c>
      <c r="B172" s="13" t="s">
        <v>1402</v>
      </c>
      <c r="C172" s="13" t="s">
        <v>33</v>
      </c>
      <c r="D172" s="13" t="s">
        <v>1380</v>
      </c>
      <c r="E172" s="13" t="s">
        <v>1403</v>
      </c>
      <c r="F172" s="13" t="s">
        <v>49</v>
      </c>
      <c r="G172" s="13" t="s">
        <v>1404</v>
      </c>
      <c r="H172" s="13" t="s">
        <v>1383</v>
      </c>
      <c r="I172" s="13" t="s">
        <v>179</v>
      </c>
      <c r="J172" s="13" t="s">
        <v>26</v>
      </c>
      <c r="K172" s="13" t="s">
        <v>1384</v>
      </c>
      <c r="L172" s="13" t="s">
        <v>1385</v>
      </c>
      <c r="M172" s="13" t="s">
        <v>1405</v>
      </c>
      <c r="N172" s="13"/>
      <c r="O172" s="13"/>
      <c r="P172" s="13" t="s">
        <v>86</v>
      </c>
      <c r="Q172" s="13"/>
      <c r="R172" s="13"/>
      <c r="S172" s="13"/>
      <c r="T172" s="13"/>
      <c r="U172" s="13" t="s">
        <v>1387</v>
      </c>
      <c r="V172" s="13" t="s">
        <v>1388</v>
      </c>
      <c r="W172" s="13"/>
      <c r="X172" s="13" t="s">
        <v>202</v>
      </c>
      <c r="Y172" s="13"/>
      <c r="Z172" s="13" t="s">
        <v>1406</v>
      </c>
      <c r="AA172" s="14" t="s">
        <v>190</v>
      </c>
      <c r="AB172" s="15" t="s">
        <v>191</v>
      </c>
      <c r="AC172" s="15"/>
      <c r="AD172" s="15"/>
    </row>
    <row r="173" customFormat="false" ht="32.8" hidden="false" customHeight="false" outlineLevel="0" collapsed="false">
      <c r="A173" s="13" t="n">
        <v>172</v>
      </c>
      <c r="B173" s="13" t="s">
        <v>1407</v>
      </c>
      <c r="C173" s="13" t="s">
        <v>33</v>
      </c>
      <c r="D173" s="13" t="s">
        <v>1380</v>
      </c>
      <c r="E173" s="13" t="s">
        <v>1408</v>
      </c>
      <c r="F173" s="13" t="s">
        <v>49</v>
      </c>
      <c r="G173" s="13" t="s">
        <v>1409</v>
      </c>
      <c r="H173" s="13" t="s">
        <v>1383</v>
      </c>
      <c r="I173" s="13" t="s">
        <v>179</v>
      </c>
      <c r="J173" s="13" t="s">
        <v>25</v>
      </c>
      <c r="K173" s="13" t="s">
        <v>1384</v>
      </c>
      <c r="L173" s="13" t="s">
        <v>1410</v>
      </c>
      <c r="M173" s="13" t="s">
        <v>1411</v>
      </c>
      <c r="N173" s="13"/>
      <c r="O173" s="13"/>
      <c r="P173" s="13" t="s">
        <v>86</v>
      </c>
      <c r="Q173" s="13"/>
      <c r="R173" s="13" t="s">
        <v>110</v>
      </c>
      <c r="S173" s="13"/>
      <c r="T173" s="13"/>
      <c r="U173" s="13" t="s">
        <v>1387</v>
      </c>
      <c r="V173" s="13" t="s">
        <v>1412</v>
      </c>
      <c r="W173" s="13"/>
      <c r="X173" s="13" t="s">
        <v>202</v>
      </c>
      <c r="Y173" s="13"/>
      <c r="Z173" s="13" t="s">
        <v>1413</v>
      </c>
      <c r="AA173" s="14" t="s">
        <v>190</v>
      </c>
      <c r="AB173" s="15" t="s">
        <v>191</v>
      </c>
      <c r="AC173" s="15"/>
      <c r="AD173" s="15"/>
    </row>
    <row r="174" customFormat="false" ht="32.8" hidden="false" customHeight="false" outlineLevel="0" collapsed="false">
      <c r="A174" s="13" t="n">
        <v>173</v>
      </c>
      <c r="B174" s="13" t="s">
        <v>1414</v>
      </c>
      <c r="C174" s="13" t="s">
        <v>33</v>
      </c>
      <c r="D174" s="13" t="s">
        <v>1396</v>
      </c>
      <c r="E174" s="13" t="s">
        <v>1415</v>
      </c>
      <c r="F174" s="13" t="s">
        <v>49</v>
      </c>
      <c r="G174" s="13" t="s">
        <v>1416</v>
      </c>
      <c r="H174" s="13" t="s">
        <v>1383</v>
      </c>
      <c r="I174" s="13" t="s">
        <v>179</v>
      </c>
      <c r="J174" s="13" t="s">
        <v>23</v>
      </c>
      <c r="K174" s="13" t="s">
        <v>1384</v>
      </c>
      <c r="L174" s="13" t="s">
        <v>1385</v>
      </c>
      <c r="M174" s="13" t="s">
        <v>1417</v>
      </c>
      <c r="N174" s="13"/>
      <c r="O174" s="13"/>
      <c r="P174" s="13" t="s">
        <v>86</v>
      </c>
      <c r="Q174" s="13"/>
      <c r="R174" s="13"/>
      <c r="S174" s="13"/>
      <c r="T174" s="13"/>
      <c r="U174" s="13" t="s">
        <v>994</v>
      </c>
      <c r="V174" s="13" t="s">
        <v>1400</v>
      </c>
      <c r="W174" s="13"/>
      <c r="X174" s="13" t="s">
        <v>187</v>
      </c>
      <c r="Y174" s="13" t="s">
        <v>1418</v>
      </c>
      <c r="Z174" s="13" t="s">
        <v>1419</v>
      </c>
      <c r="AA174" s="14" t="s">
        <v>190</v>
      </c>
      <c r="AB174" s="15" t="s">
        <v>191</v>
      </c>
      <c r="AC174" s="15"/>
      <c r="AD174" s="15"/>
    </row>
    <row r="175" customFormat="false" ht="32.8" hidden="false" customHeight="false" outlineLevel="0" collapsed="false">
      <c r="A175" s="13" t="n">
        <v>174</v>
      </c>
      <c r="B175" s="13" t="s">
        <v>1420</v>
      </c>
      <c r="C175" s="13" t="s">
        <v>33</v>
      </c>
      <c r="D175" s="13" t="s">
        <v>1396</v>
      </c>
      <c r="E175" s="13" t="s">
        <v>1421</v>
      </c>
      <c r="F175" s="13" t="s">
        <v>49</v>
      </c>
      <c r="G175" s="13" t="s">
        <v>1422</v>
      </c>
      <c r="H175" s="13" t="s">
        <v>1383</v>
      </c>
      <c r="I175" s="13" t="s">
        <v>179</v>
      </c>
      <c r="J175" s="13" t="s">
        <v>24</v>
      </c>
      <c r="K175" s="13" t="s">
        <v>1384</v>
      </c>
      <c r="L175" s="13" t="s">
        <v>1385</v>
      </c>
      <c r="M175" s="13" t="s">
        <v>1423</v>
      </c>
      <c r="N175" s="13"/>
      <c r="O175" s="13"/>
      <c r="P175" s="13" t="s">
        <v>86</v>
      </c>
      <c r="Q175" s="13"/>
      <c r="R175" s="13"/>
      <c r="S175" s="13"/>
      <c r="T175" s="13"/>
      <c r="U175" s="13" t="s">
        <v>291</v>
      </c>
      <c r="V175" s="13" t="s">
        <v>1388</v>
      </c>
      <c r="W175" s="13"/>
      <c r="X175" s="13" t="s">
        <v>202</v>
      </c>
      <c r="Y175" s="13"/>
      <c r="Z175" s="13" t="s">
        <v>1424</v>
      </c>
      <c r="AA175" s="14" t="s">
        <v>190</v>
      </c>
      <c r="AB175" s="15" t="s">
        <v>191</v>
      </c>
      <c r="AC175" s="15"/>
      <c r="AD175" s="15"/>
    </row>
    <row r="176" customFormat="false" ht="32.8" hidden="false" customHeight="false" outlineLevel="0" collapsed="false">
      <c r="A176" s="13" t="n">
        <v>175</v>
      </c>
      <c r="B176" s="13" t="s">
        <v>1425</v>
      </c>
      <c r="C176" s="13" t="s">
        <v>33</v>
      </c>
      <c r="D176" s="13" t="s">
        <v>1426</v>
      </c>
      <c r="E176" s="13" t="s">
        <v>1427</v>
      </c>
      <c r="F176" s="13" t="s">
        <v>49</v>
      </c>
      <c r="G176" s="13" t="s">
        <v>1428</v>
      </c>
      <c r="H176" s="13" t="s">
        <v>1383</v>
      </c>
      <c r="I176" s="13" t="s">
        <v>179</v>
      </c>
      <c r="J176" s="13" t="s">
        <v>24</v>
      </c>
      <c r="K176" s="13" t="s">
        <v>1384</v>
      </c>
      <c r="L176" s="13" t="s">
        <v>1429</v>
      </c>
      <c r="M176" s="13" t="s">
        <v>1430</v>
      </c>
      <c r="N176" s="13" t="s">
        <v>102</v>
      </c>
      <c r="O176" s="13"/>
      <c r="P176" s="13"/>
      <c r="Q176" s="13"/>
      <c r="R176" s="13"/>
      <c r="S176" s="13"/>
      <c r="T176" s="13"/>
      <c r="U176" s="13" t="s">
        <v>291</v>
      </c>
      <c r="V176" s="13" t="s">
        <v>1431</v>
      </c>
      <c r="W176" s="13"/>
      <c r="X176" s="13" t="s">
        <v>202</v>
      </c>
      <c r="Y176" s="13"/>
      <c r="Z176" s="13" t="s">
        <v>1432</v>
      </c>
      <c r="AA176" s="14" t="s">
        <v>190</v>
      </c>
      <c r="AB176" s="15" t="s">
        <v>191</v>
      </c>
      <c r="AC176" s="15"/>
      <c r="AD176" s="15"/>
    </row>
    <row r="177" customFormat="false" ht="32.8" hidden="false" customHeight="false" outlineLevel="0" collapsed="false">
      <c r="A177" s="13" t="n">
        <v>176</v>
      </c>
      <c r="B177" s="13" t="s">
        <v>1433</v>
      </c>
      <c r="C177" s="13" t="s">
        <v>33</v>
      </c>
      <c r="D177" s="13" t="s">
        <v>1434</v>
      </c>
      <c r="E177" s="13" t="s">
        <v>1435</v>
      </c>
      <c r="F177" s="13" t="s">
        <v>49</v>
      </c>
      <c r="G177" s="13" t="s">
        <v>1436</v>
      </c>
      <c r="H177" s="13" t="s">
        <v>1383</v>
      </c>
      <c r="I177" s="13" t="s">
        <v>179</v>
      </c>
      <c r="J177" s="13" t="s">
        <v>24</v>
      </c>
      <c r="K177" s="13" t="s">
        <v>1384</v>
      </c>
      <c r="L177" s="13" t="s">
        <v>1437</v>
      </c>
      <c r="M177" s="13" t="s">
        <v>1438</v>
      </c>
      <c r="N177" s="13" t="s">
        <v>92</v>
      </c>
      <c r="O177" s="13" t="s">
        <v>76</v>
      </c>
      <c r="P177" s="13"/>
      <c r="Q177" s="13"/>
      <c r="R177" s="13"/>
      <c r="S177" s="13"/>
      <c r="T177" s="13"/>
      <c r="U177" s="13" t="s">
        <v>291</v>
      </c>
      <c r="V177" s="13" t="s">
        <v>1388</v>
      </c>
      <c r="W177" s="13"/>
      <c r="X177" s="13" t="s">
        <v>202</v>
      </c>
      <c r="Y177" s="13"/>
      <c r="Z177" s="13" t="s">
        <v>1439</v>
      </c>
      <c r="AA177" s="14" t="s">
        <v>190</v>
      </c>
      <c r="AB177" s="15" t="s">
        <v>191</v>
      </c>
      <c r="AC177" s="15"/>
      <c r="AD177" s="15"/>
    </row>
    <row r="178" customFormat="false" ht="32.8" hidden="false" customHeight="false" outlineLevel="0" collapsed="false">
      <c r="A178" s="13" t="n">
        <v>177</v>
      </c>
      <c r="B178" s="13" t="s">
        <v>1440</v>
      </c>
      <c r="C178" s="13" t="s">
        <v>33</v>
      </c>
      <c r="D178" s="13" t="s">
        <v>1441</v>
      </c>
      <c r="E178" s="13" t="s">
        <v>1442</v>
      </c>
      <c r="F178" s="13" t="s">
        <v>49</v>
      </c>
      <c r="G178" s="13" t="s">
        <v>1443</v>
      </c>
      <c r="H178" s="13" t="s">
        <v>1383</v>
      </c>
      <c r="I178" s="13" t="s">
        <v>179</v>
      </c>
      <c r="J178" s="13" t="s">
        <v>25</v>
      </c>
      <c r="K178" s="13" t="s">
        <v>1384</v>
      </c>
      <c r="L178" s="13" t="s">
        <v>1444</v>
      </c>
      <c r="M178" s="13" t="s">
        <v>1445</v>
      </c>
      <c r="N178" s="13" t="s">
        <v>94</v>
      </c>
      <c r="O178" s="13" t="s">
        <v>69</v>
      </c>
      <c r="P178" s="13" t="s">
        <v>86</v>
      </c>
      <c r="Q178" s="13"/>
      <c r="R178" s="13"/>
      <c r="S178" s="13"/>
      <c r="T178" s="13"/>
      <c r="U178" s="13" t="s">
        <v>291</v>
      </c>
      <c r="V178" s="13" t="s">
        <v>1388</v>
      </c>
      <c r="W178" s="13" t="s">
        <v>1446</v>
      </c>
      <c r="X178" s="13" t="s">
        <v>202</v>
      </c>
      <c r="Y178" s="13"/>
      <c r="Z178" s="13" t="s">
        <v>1447</v>
      </c>
      <c r="AA178" s="14" t="s">
        <v>190</v>
      </c>
      <c r="AB178" s="15" t="s">
        <v>191</v>
      </c>
      <c r="AC178" s="15"/>
      <c r="AD178" s="15"/>
    </row>
    <row r="179" customFormat="false" ht="32.8" hidden="false" customHeight="false" outlineLevel="0" collapsed="false">
      <c r="A179" s="13" t="n">
        <v>178</v>
      </c>
      <c r="B179" s="13" t="s">
        <v>1448</v>
      </c>
      <c r="C179" s="13" t="s">
        <v>33</v>
      </c>
      <c r="D179" s="13" t="s">
        <v>1441</v>
      </c>
      <c r="E179" s="13" t="s">
        <v>1449</v>
      </c>
      <c r="F179" s="13" t="s">
        <v>49</v>
      </c>
      <c r="G179" s="13" t="s">
        <v>1450</v>
      </c>
      <c r="H179" s="13" t="s">
        <v>1383</v>
      </c>
      <c r="I179" s="13" t="s">
        <v>179</v>
      </c>
      <c r="J179" s="13" t="s">
        <v>25</v>
      </c>
      <c r="K179" s="13" t="s">
        <v>1384</v>
      </c>
      <c r="L179" s="13" t="s">
        <v>1444</v>
      </c>
      <c r="M179" s="13" t="s">
        <v>1451</v>
      </c>
      <c r="N179" s="13" t="s">
        <v>94</v>
      </c>
      <c r="O179" s="13" t="s">
        <v>69</v>
      </c>
      <c r="P179" s="13" t="s">
        <v>86</v>
      </c>
      <c r="Q179" s="13"/>
      <c r="R179" s="13"/>
      <c r="S179" s="13"/>
      <c r="T179" s="13"/>
      <c r="U179" s="13" t="s">
        <v>291</v>
      </c>
      <c r="V179" s="13" t="s">
        <v>1388</v>
      </c>
      <c r="W179" s="13" t="s">
        <v>1446</v>
      </c>
      <c r="X179" s="13" t="s">
        <v>202</v>
      </c>
      <c r="Y179" s="13"/>
      <c r="Z179" s="13" t="s">
        <v>1452</v>
      </c>
      <c r="AA179" s="14" t="s">
        <v>190</v>
      </c>
      <c r="AB179" s="15" t="s">
        <v>191</v>
      </c>
      <c r="AC179" s="15"/>
      <c r="AD179" s="15"/>
    </row>
    <row r="180" customFormat="false" ht="32.8" hidden="false" customHeight="false" outlineLevel="0" collapsed="false">
      <c r="A180" s="13" t="n">
        <v>179</v>
      </c>
      <c r="B180" s="13" t="s">
        <v>1453</v>
      </c>
      <c r="C180" s="13" t="s">
        <v>33</v>
      </c>
      <c r="D180" s="13" t="s">
        <v>1441</v>
      </c>
      <c r="E180" s="13" t="s">
        <v>1454</v>
      </c>
      <c r="F180" s="13" t="s">
        <v>49</v>
      </c>
      <c r="G180" s="13" t="s">
        <v>1455</v>
      </c>
      <c r="H180" s="13" t="s">
        <v>1383</v>
      </c>
      <c r="I180" s="13" t="s">
        <v>179</v>
      </c>
      <c r="J180" s="13" t="s">
        <v>24</v>
      </c>
      <c r="K180" s="13" t="s">
        <v>1384</v>
      </c>
      <c r="L180" s="13" t="s">
        <v>1456</v>
      </c>
      <c r="M180" s="13" t="s">
        <v>1457</v>
      </c>
      <c r="N180" s="13" t="s">
        <v>94</v>
      </c>
      <c r="O180" s="13" t="s">
        <v>69</v>
      </c>
      <c r="P180" s="13" t="s">
        <v>86</v>
      </c>
      <c r="Q180" s="13"/>
      <c r="R180" s="13"/>
      <c r="S180" s="13" t="s">
        <v>131</v>
      </c>
      <c r="T180" s="13"/>
      <c r="U180" s="13" t="s">
        <v>291</v>
      </c>
      <c r="V180" s="13" t="s">
        <v>1388</v>
      </c>
      <c r="W180" s="13" t="s">
        <v>1446</v>
      </c>
      <c r="X180" s="13" t="s">
        <v>202</v>
      </c>
      <c r="Y180" s="13"/>
      <c r="Z180" s="13" t="s">
        <v>1458</v>
      </c>
      <c r="AA180" s="14" t="s">
        <v>190</v>
      </c>
      <c r="AB180" s="15" t="s">
        <v>191</v>
      </c>
      <c r="AC180" s="15"/>
      <c r="AD180" s="15"/>
    </row>
    <row r="181" customFormat="false" ht="32.8" hidden="false" customHeight="false" outlineLevel="0" collapsed="false">
      <c r="A181" s="13" t="n">
        <v>180</v>
      </c>
      <c r="B181" s="13" t="s">
        <v>1459</v>
      </c>
      <c r="C181" s="13" t="s">
        <v>33</v>
      </c>
      <c r="D181" s="13" t="s">
        <v>1460</v>
      </c>
      <c r="E181" s="13" t="s">
        <v>1461</v>
      </c>
      <c r="F181" s="13" t="s">
        <v>49</v>
      </c>
      <c r="G181" s="13" t="s">
        <v>1462</v>
      </c>
      <c r="H181" s="13" t="s">
        <v>1463</v>
      </c>
      <c r="I181" s="13" t="s">
        <v>179</v>
      </c>
      <c r="J181" s="13" t="s">
        <v>24</v>
      </c>
      <c r="K181" s="13" t="s">
        <v>1384</v>
      </c>
      <c r="L181" s="13" t="s">
        <v>1464</v>
      </c>
      <c r="M181" s="13" t="s">
        <v>1465</v>
      </c>
      <c r="N181" s="13" t="s">
        <v>95</v>
      </c>
      <c r="O181" s="13" t="s">
        <v>67</v>
      </c>
      <c r="P181" s="13" t="s">
        <v>77</v>
      </c>
      <c r="Q181" s="13"/>
      <c r="R181" s="13" t="s">
        <v>113</v>
      </c>
      <c r="S181" s="13"/>
      <c r="T181" s="13"/>
      <c r="U181" s="13" t="s">
        <v>1466</v>
      </c>
      <c r="V181" s="13" t="s">
        <v>1467</v>
      </c>
      <c r="W181" s="13"/>
      <c r="X181" s="13" t="s">
        <v>202</v>
      </c>
      <c r="Y181" s="13"/>
      <c r="Z181" s="13" t="s">
        <v>1468</v>
      </c>
      <c r="AA181" s="14" t="s">
        <v>190</v>
      </c>
      <c r="AB181" s="15" t="s">
        <v>191</v>
      </c>
      <c r="AC181" s="15"/>
      <c r="AD181" s="15"/>
    </row>
    <row r="182" customFormat="false" ht="32.8" hidden="false" customHeight="false" outlineLevel="0" collapsed="false">
      <c r="A182" s="13" t="n">
        <v>181</v>
      </c>
      <c r="B182" s="13" t="s">
        <v>1469</v>
      </c>
      <c r="C182" s="13" t="s">
        <v>33</v>
      </c>
      <c r="D182" s="13" t="s">
        <v>1460</v>
      </c>
      <c r="E182" s="13" t="s">
        <v>1470</v>
      </c>
      <c r="F182" s="13" t="s">
        <v>49</v>
      </c>
      <c r="G182" s="13" t="s">
        <v>1471</v>
      </c>
      <c r="H182" s="13" t="s">
        <v>1463</v>
      </c>
      <c r="I182" s="13" t="s">
        <v>253</v>
      </c>
      <c r="J182" s="13" t="s">
        <v>24</v>
      </c>
      <c r="K182" s="13" t="s">
        <v>1384</v>
      </c>
      <c r="L182" s="13" t="s">
        <v>1464</v>
      </c>
      <c r="M182" s="13" t="s">
        <v>1472</v>
      </c>
      <c r="N182" s="13" t="s">
        <v>95</v>
      </c>
      <c r="O182" s="13" t="s">
        <v>67</v>
      </c>
      <c r="P182" s="13" t="s">
        <v>77</v>
      </c>
      <c r="Q182" s="13"/>
      <c r="R182" s="13" t="s">
        <v>113</v>
      </c>
      <c r="S182" s="13"/>
      <c r="T182" s="13"/>
      <c r="U182" s="13" t="s">
        <v>475</v>
      </c>
      <c r="V182" s="13" t="s">
        <v>476</v>
      </c>
      <c r="W182" s="13"/>
      <c r="X182" s="13" t="s">
        <v>187</v>
      </c>
      <c r="Y182" s="13" t="s">
        <v>890</v>
      </c>
      <c r="Z182" s="13" t="s">
        <v>1473</v>
      </c>
      <c r="AA182" s="14" t="s">
        <v>190</v>
      </c>
      <c r="AB182" s="15" t="s">
        <v>191</v>
      </c>
      <c r="AC182" s="15"/>
      <c r="AD182" s="15"/>
    </row>
    <row r="183" customFormat="false" ht="32.8" hidden="false" customHeight="false" outlineLevel="0" collapsed="false">
      <c r="A183" s="13" t="n">
        <v>182</v>
      </c>
      <c r="B183" s="13" t="s">
        <v>1474</v>
      </c>
      <c r="C183" s="13" t="s">
        <v>33</v>
      </c>
      <c r="D183" s="13" t="s">
        <v>1475</v>
      </c>
      <c r="E183" s="13" t="s">
        <v>1476</v>
      </c>
      <c r="F183" s="13" t="s">
        <v>49</v>
      </c>
      <c r="G183" s="13" t="s">
        <v>1477</v>
      </c>
      <c r="H183" s="13" t="s">
        <v>1463</v>
      </c>
      <c r="I183" s="13" t="s">
        <v>179</v>
      </c>
      <c r="J183" s="13" t="s">
        <v>23</v>
      </c>
      <c r="K183" s="13" t="s">
        <v>1384</v>
      </c>
      <c r="L183" s="13" t="s">
        <v>1464</v>
      </c>
      <c r="M183" s="13" t="s">
        <v>1478</v>
      </c>
      <c r="N183" s="13" t="s">
        <v>95</v>
      </c>
      <c r="O183" s="13" t="s">
        <v>67</v>
      </c>
      <c r="P183" s="13" t="s">
        <v>77</v>
      </c>
      <c r="Q183" s="13"/>
      <c r="R183" s="13" t="s">
        <v>113</v>
      </c>
      <c r="S183" s="13"/>
      <c r="T183" s="13"/>
      <c r="U183" s="13" t="s">
        <v>1466</v>
      </c>
      <c r="V183" s="13" t="s">
        <v>1467</v>
      </c>
      <c r="W183" s="13"/>
      <c r="X183" s="13" t="s">
        <v>187</v>
      </c>
      <c r="Y183" s="13" t="s">
        <v>1479</v>
      </c>
      <c r="Z183" s="13" t="s">
        <v>1480</v>
      </c>
      <c r="AA183" s="14" t="s">
        <v>190</v>
      </c>
      <c r="AB183" s="15" t="s">
        <v>191</v>
      </c>
      <c r="AC183" s="15"/>
      <c r="AD183" s="15"/>
    </row>
    <row r="184" customFormat="false" ht="32.8" hidden="false" customHeight="false" outlineLevel="0" collapsed="false">
      <c r="A184" s="13" t="n">
        <v>183</v>
      </c>
      <c r="B184" s="13" t="s">
        <v>1481</v>
      </c>
      <c r="C184" s="13" t="s">
        <v>33</v>
      </c>
      <c r="D184" s="13" t="s">
        <v>1475</v>
      </c>
      <c r="E184" s="13" t="s">
        <v>1482</v>
      </c>
      <c r="F184" s="13" t="s">
        <v>49</v>
      </c>
      <c r="G184" s="13" t="s">
        <v>1483</v>
      </c>
      <c r="H184" s="13" t="s">
        <v>1463</v>
      </c>
      <c r="I184" s="13" t="s">
        <v>179</v>
      </c>
      <c r="J184" s="13" t="s">
        <v>24</v>
      </c>
      <c r="K184" s="13" t="s">
        <v>1384</v>
      </c>
      <c r="L184" s="13" t="s">
        <v>1464</v>
      </c>
      <c r="M184" s="13" t="s">
        <v>1484</v>
      </c>
      <c r="N184" s="13" t="s">
        <v>95</v>
      </c>
      <c r="O184" s="13" t="s">
        <v>67</v>
      </c>
      <c r="P184" s="13" t="s">
        <v>77</v>
      </c>
      <c r="Q184" s="13"/>
      <c r="R184" s="13" t="s">
        <v>113</v>
      </c>
      <c r="S184" s="13"/>
      <c r="T184" s="13"/>
      <c r="U184" s="13" t="s">
        <v>1485</v>
      </c>
      <c r="V184" s="13" t="s">
        <v>476</v>
      </c>
      <c r="W184" s="13"/>
      <c r="X184" s="13" t="s">
        <v>187</v>
      </c>
      <c r="Y184" s="13" t="s">
        <v>1486</v>
      </c>
      <c r="Z184" s="13" t="s">
        <v>1487</v>
      </c>
      <c r="AA184" s="14" t="s">
        <v>190</v>
      </c>
      <c r="AB184" s="15" t="s">
        <v>191</v>
      </c>
      <c r="AC184" s="15"/>
      <c r="AD184" s="15"/>
    </row>
    <row r="185" customFormat="false" ht="32.8" hidden="false" customHeight="false" outlineLevel="0" collapsed="false">
      <c r="A185" s="13" t="n">
        <v>184</v>
      </c>
      <c r="B185" s="13" t="s">
        <v>1488</v>
      </c>
      <c r="C185" s="13" t="s">
        <v>33</v>
      </c>
      <c r="D185" s="13" t="s">
        <v>1475</v>
      </c>
      <c r="E185" s="13" t="s">
        <v>1489</v>
      </c>
      <c r="F185" s="13" t="s">
        <v>49</v>
      </c>
      <c r="G185" s="13" t="s">
        <v>1490</v>
      </c>
      <c r="H185" s="13" t="s">
        <v>1463</v>
      </c>
      <c r="I185" s="13" t="s">
        <v>179</v>
      </c>
      <c r="J185" s="13" t="s">
        <v>25</v>
      </c>
      <c r="K185" s="13" t="s">
        <v>1384</v>
      </c>
      <c r="L185" s="13" t="s">
        <v>1464</v>
      </c>
      <c r="M185" s="13" t="s">
        <v>1491</v>
      </c>
      <c r="N185" s="13" t="s">
        <v>95</v>
      </c>
      <c r="O185" s="13" t="s">
        <v>67</v>
      </c>
      <c r="P185" s="13" t="s">
        <v>77</v>
      </c>
      <c r="Q185" s="13"/>
      <c r="R185" s="13" t="s">
        <v>113</v>
      </c>
      <c r="S185" s="13"/>
      <c r="T185" s="13"/>
      <c r="U185" s="13" t="s">
        <v>1466</v>
      </c>
      <c r="V185" s="13" t="s">
        <v>1467</v>
      </c>
      <c r="W185" s="13"/>
      <c r="X185" s="13" t="s">
        <v>187</v>
      </c>
      <c r="Y185" s="13" t="s">
        <v>1492</v>
      </c>
      <c r="Z185" s="13" t="s">
        <v>1493</v>
      </c>
      <c r="AA185" s="14" t="s">
        <v>190</v>
      </c>
      <c r="AB185" s="15" t="s">
        <v>191</v>
      </c>
      <c r="AC185" s="15"/>
      <c r="AD185" s="15"/>
    </row>
    <row r="186" customFormat="false" ht="32.8" hidden="false" customHeight="false" outlineLevel="0" collapsed="false">
      <c r="A186" s="13" t="n">
        <v>185</v>
      </c>
      <c r="B186" s="13" t="s">
        <v>1494</v>
      </c>
      <c r="C186" s="13" t="s">
        <v>33</v>
      </c>
      <c r="D186" s="13" t="s">
        <v>1495</v>
      </c>
      <c r="E186" s="13" t="s">
        <v>1496</v>
      </c>
      <c r="F186" s="13" t="s">
        <v>49</v>
      </c>
      <c r="G186" s="13" t="s">
        <v>1497</v>
      </c>
      <c r="H186" s="13" t="s">
        <v>1498</v>
      </c>
      <c r="I186" s="13" t="s">
        <v>841</v>
      </c>
      <c r="J186" s="13" t="s">
        <v>24</v>
      </c>
      <c r="K186" s="13" t="s">
        <v>1384</v>
      </c>
      <c r="L186" s="13" t="s">
        <v>1437</v>
      </c>
      <c r="M186" s="13" t="s">
        <v>1499</v>
      </c>
      <c r="N186" s="13" t="s">
        <v>92</v>
      </c>
      <c r="O186" s="13" t="s">
        <v>76</v>
      </c>
      <c r="P186" s="13"/>
      <c r="Q186" s="13"/>
      <c r="R186" s="13"/>
      <c r="S186" s="13"/>
      <c r="T186" s="13"/>
      <c r="U186" s="13" t="s">
        <v>291</v>
      </c>
      <c r="V186" s="13" t="s">
        <v>461</v>
      </c>
      <c r="W186" s="13"/>
      <c r="X186" s="13" t="s">
        <v>202</v>
      </c>
      <c r="Y186" s="13"/>
      <c r="Z186" s="13" t="s">
        <v>1500</v>
      </c>
      <c r="AA186" s="14" t="s">
        <v>190</v>
      </c>
      <c r="AB186" s="15" t="s">
        <v>191</v>
      </c>
      <c r="AC186" s="15"/>
      <c r="AD186" s="15"/>
    </row>
    <row r="187" customFormat="false" ht="32.8" hidden="false" customHeight="false" outlineLevel="0" collapsed="false">
      <c r="A187" s="13" t="n">
        <v>186</v>
      </c>
      <c r="B187" s="13" t="s">
        <v>1501</v>
      </c>
      <c r="C187" s="13" t="s">
        <v>33</v>
      </c>
      <c r="D187" s="13" t="s">
        <v>1502</v>
      </c>
      <c r="E187" s="13" t="s">
        <v>1503</v>
      </c>
      <c r="F187" s="13" t="s">
        <v>49</v>
      </c>
      <c r="G187" s="13" t="s">
        <v>1504</v>
      </c>
      <c r="H187" s="13" t="s">
        <v>1498</v>
      </c>
      <c r="I187" s="13" t="s">
        <v>179</v>
      </c>
      <c r="J187" s="13" t="s">
        <v>24</v>
      </c>
      <c r="K187" s="13" t="s">
        <v>1384</v>
      </c>
      <c r="L187" s="13" t="s">
        <v>1437</v>
      </c>
      <c r="M187" s="13" t="s">
        <v>1505</v>
      </c>
      <c r="N187" s="13" t="s">
        <v>92</v>
      </c>
      <c r="O187" s="13" t="s">
        <v>76</v>
      </c>
      <c r="P187" s="13"/>
      <c r="Q187" s="13"/>
      <c r="R187" s="13"/>
      <c r="S187" s="13"/>
      <c r="T187" s="13"/>
      <c r="U187" s="13" t="s">
        <v>1387</v>
      </c>
      <c r="V187" s="13" t="s">
        <v>461</v>
      </c>
      <c r="W187" s="13"/>
      <c r="X187" s="13" t="s">
        <v>187</v>
      </c>
      <c r="Y187" s="13" t="s">
        <v>1506</v>
      </c>
      <c r="Z187" s="13" t="s">
        <v>1507</v>
      </c>
      <c r="AA187" s="14" t="s">
        <v>190</v>
      </c>
      <c r="AB187" s="15" t="s">
        <v>191</v>
      </c>
      <c r="AC187" s="15"/>
      <c r="AD187" s="15"/>
    </row>
    <row r="188" customFormat="false" ht="32.8" hidden="false" customHeight="false" outlineLevel="0" collapsed="false">
      <c r="A188" s="13" t="n">
        <v>187</v>
      </c>
      <c r="B188" s="13" t="s">
        <v>1508</v>
      </c>
      <c r="C188" s="13" t="s">
        <v>33</v>
      </c>
      <c r="D188" s="13" t="s">
        <v>1502</v>
      </c>
      <c r="E188" s="13" t="s">
        <v>1509</v>
      </c>
      <c r="F188" s="13" t="s">
        <v>49</v>
      </c>
      <c r="G188" s="13" t="s">
        <v>1510</v>
      </c>
      <c r="H188" s="13" t="s">
        <v>1498</v>
      </c>
      <c r="I188" s="13" t="s">
        <v>179</v>
      </c>
      <c r="J188" s="13" t="s">
        <v>25</v>
      </c>
      <c r="K188" s="13" t="s">
        <v>1384</v>
      </c>
      <c r="L188" s="13" t="s">
        <v>1437</v>
      </c>
      <c r="M188" s="13" t="s">
        <v>1511</v>
      </c>
      <c r="N188" s="13" t="s">
        <v>92</v>
      </c>
      <c r="O188" s="13" t="s">
        <v>76</v>
      </c>
      <c r="P188" s="13"/>
      <c r="Q188" s="13"/>
      <c r="R188" s="13"/>
      <c r="S188" s="13"/>
      <c r="T188" s="13"/>
      <c r="U188" s="13" t="s">
        <v>994</v>
      </c>
      <c r="V188" s="13" t="s">
        <v>461</v>
      </c>
      <c r="W188" s="13"/>
      <c r="X188" s="13" t="s">
        <v>187</v>
      </c>
      <c r="Y188" s="13" t="s">
        <v>1512</v>
      </c>
      <c r="Z188" s="13" t="s">
        <v>1513</v>
      </c>
      <c r="AA188" s="14" t="s">
        <v>190</v>
      </c>
      <c r="AB188" s="15" t="s">
        <v>191</v>
      </c>
      <c r="AC188" s="15"/>
      <c r="AD188" s="15"/>
    </row>
    <row r="189" customFormat="false" ht="32.8" hidden="false" customHeight="false" outlineLevel="0" collapsed="false">
      <c r="A189" s="13" t="n">
        <v>188</v>
      </c>
      <c r="B189" s="13" t="s">
        <v>1514</v>
      </c>
      <c r="C189" s="13" t="s">
        <v>33</v>
      </c>
      <c r="D189" s="13" t="s">
        <v>1502</v>
      </c>
      <c r="E189" s="13" t="s">
        <v>1515</v>
      </c>
      <c r="F189" s="13" t="s">
        <v>49</v>
      </c>
      <c r="G189" s="13" t="s">
        <v>1516</v>
      </c>
      <c r="H189" s="13" t="s">
        <v>1498</v>
      </c>
      <c r="I189" s="13" t="s">
        <v>179</v>
      </c>
      <c r="J189" s="13" t="s">
        <v>26</v>
      </c>
      <c r="K189" s="13" t="s">
        <v>1384</v>
      </c>
      <c r="L189" s="13" t="s">
        <v>1437</v>
      </c>
      <c r="M189" s="13" t="s">
        <v>1517</v>
      </c>
      <c r="N189" s="13" t="s">
        <v>92</v>
      </c>
      <c r="O189" s="13" t="s">
        <v>76</v>
      </c>
      <c r="P189" s="13"/>
      <c r="Q189" s="13"/>
      <c r="R189" s="13"/>
      <c r="S189" s="13"/>
      <c r="T189" s="13"/>
      <c r="U189" s="13" t="s">
        <v>291</v>
      </c>
      <c r="V189" s="13" t="s">
        <v>461</v>
      </c>
      <c r="W189" s="13"/>
      <c r="X189" s="13" t="s">
        <v>202</v>
      </c>
      <c r="Y189" s="13"/>
      <c r="Z189" s="13" t="s">
        <v>1518</v>
      </c>
      <c r="AA189" s="14" t="s">
        <v>190</v>
      </c>
      <c r="AB189" s="15" t="s">
        <v>191</v>
      </c>
      <c r="AC189" s="15"/>
      <c r="AD189" s="15"/>
    </row>
    <row r="190" customFormat="false" ht="32.8" hidden="false" customHeight="false" outlineLevel="0" collapsed="false">
      <c r="A190" s="13" t="n">
        <v>189</v>
      </c>
      <c r="B190" s="13" t="s">
        <v>1519</v>
      </c>
      <c r="C190" s="13" t="s">
        <v>33</v>
      </c>
      <c r="D190" s="13" t="s">
        <v>1502</v>
      </c>
      <c r="E190" s="13" t="s">
        <v>1520</v>
      </c>
      <c r="F190" s="13" t="s">
        <v>49</v>
      </c>
      <c r="G190" s="13" t="s">
        <v>1521</v>
      </c>
      <c r="H190" s="13" t="s">
        <v>1498</v>
      </c>
      <c r="I190" s="13" t="s">
        <v>179</v>
      </c>
      <c r="J190" s="13" t="s">
        <v>24</v>
      </c>
      <c r="K190" s="13" t="s">
        <v>1384</v>
      </c>
      <c r="L190" s="13" t="s">
        <v>1522</v>
      </c>
      <c r="M190" s="13" t="s">
        <v>1523</v>
      </c>
      <c r="N190" s="13" t="s">
        <v>92</v>
      </c>
      <c r="O190" s="13" t="s">
        <v>76</v>
      </c>
      <c r="P190" s="13"/>
      <c r="Q190" s="13"/>
      <c r="R190" s="13" t="s">
        <v>112</v>
      </c>
      <c r="S190" s="13"/>
      <c r="T190" s="13"/>
      <c r="U190" s="13" t="s">
        <v>1230</v>
      </c>
      <c r="V190" s="13" t="s">
        <v>461</v>
      </c>
      <c r="W190" s="13"/>
      <c r="X190" s="13" t="s">
        <v>202</v>
      </c>
      <c r="Y190" s="13"/>
      <c r="Z190" s="13" t="s">
        <v>1524</v>
      </c>
      <c r="AA190" s="14" t="s">
        <v>190</v>
      </c>
      <c r="AB190" s="15" t="s">
        <v>191</v>
      </c>
      <c r="AC190" s="15"/>
      <c r="AD190" s="15"/>
    </row>
    <row r="191" customFormat="false" ht="32.8" hidden="false" customHeight="false" outlineLevel="0" collapsed="false">
      <c r="A191" s="13" t="n">
        <v>190</v>
      </c>
      <c r="B191" s="13" t="s">
        <v>1525</v>
      </c>
      <c r="C191" s="13" t="s">
        <v>33</v>
      </c>
      <c r="D191" s="13" t="s">
        <v>1502</v>
      </c>
      <c r="E191" s="13" t="s">
        <v>1526</v>
      </c>
      <c r="F191" s="13" t="s">
        <v>49</v>
      </c>
      <c r="G191" s="13" t="s">
        <v>1527</v>
      </c>
      <c r="H191" s="13" t="s">
        <v>1498</v>
      </c>
      <c r="I191" s="13" t="s">
        <v>179</v>
      </c>
      <c r="J191" s="13" t="s">
        <v>26</v>
      </c>
      <c r="K191" s="13" t="s">
        <v>1384</v>
      </c>
      <c r="L191" s="13" t="s">
        <v>1437</v>
      </c>
      <c r="M191" s="13" t="s">
        <v>1528</v>
      </c>
      <c r="N191" s="13" t="s">
        <v>92</v>
      </c>
      <c r="O191" s="13" t="s">
        <v>76</v>
      </c>
      <c r="P191" s="13"/>
      <c r="Q191" s="13"/>
      <c r="R191" s="13"/>
      <c r="S191" s="13"/>
      <c r="T191" s="13"/>
      <c r="U191" s="13" t="s">
        <v>1387</v>
      </c>
      <c r="V191" s="13" t="s">
        <v>461</v>
      </c>
      <c r="W191" s="13"/>
      <c r="X191" s="13" t="s">
        <v>187</v>
      </c>
      <c r="Y191" s="13" t="s">
        <v>1529</v>
      </c>
      <c r="Z191" s="13" t="s">
        <v>1530</v>
      </c>
      <c r="AA191" s="14" t="s">
        <v>190</v>
      </c>
      <c r="AB191" s="15" t="s">
        <v>191</v>
      </c>
      <c r="AC191" s="15"/>
      <c r="AD191" s="15"/>
    </row>
    <row r="192" customFormat="false" ht="32.8" hidden="false" customHeight="false" outlineLevel="0" collapsed="false">
      <c r="A192" s="13" t="n">
        <v>191</v>
      </c>
      <c r="B192" s="13" t="s">
        <v>1531</v>
      </c>
      <c r="C192" s="13" t="s">
        <v>33</v>
      </c>
      <c r="D192" s="13" t="s">
        <v>1502</v>
      </c>
      <c r="E192" s="13" t="s">
        <v>1532</v>
      </c>
      <c r="F192" s="13" t="s">
        <v>49</v>
      </c>
      <c r="G192" s="13" t="s">
        <v>1533</v>
      </c>
      <c r="H192" s="13" t="s">
        <v>1498</v>
      </c>
      <c r="I192" s="13" t="s">
        <v>179</v>
      </c>
      <c r="J192" s="13" t="s">
        <v>25</v>
      </c>
      <c r="K192" s="13" t="s">
        <v>1384</v>
      </c>
      <c r="L192" s="13" t="s">
        <v>1437</v>
      </c>
      <c r="M192" s="13" t="s">
        <v>1534</v>
      </c>
      <c r="N192" s="13" t="s">
        <v>92</v>
      </c>
      <c r="O192" s="13" t="s">
        <v>76</v>
      </c>
      <c r="P192" s="13"/>
      <c r="Q192" s="13"/>
      <c r="R192" s="13"/>
      <c r="S192" s="13"/>
      <c r="T192" s="13"/>
      <c r="U192" s="13" t="s">
        <v>1387</v>
      </c>
      <c r="V192" s="13" t="s">
        <v>461</v>
      </c>
      <c r="W192" s="13"/>
      <c r="X192" s="13" t="s">
        <v>187</v>
      </c>
      <c r="Y192" s="13" t="s">
        <v>1535</v>
      </c>
      <c r="Z192" s="13" t="s">
        <v>1536</v>
      </c>
      <c r="AA192" s="14" t="s">
        <v>190</v>
      </c>
      <c r="AB192" s="15" t="s">
        <v>191</v>
      </c>
      <c r="AC192" s="15"/>
      <c r="AD192" s="15"/>
    </row>
    <row r="193" customFormat="false" ht="32.8" hidden="false" customHeight="false" outlineLevel="0" collapsed="false">
      <c r="A193" s="13" t="n">
        <v>192</v>
      </c>
      <c r="B193" s="13" t="s">
        <v>1537</v>
      </c>
      <c r="C193" s="13" t="s">
        <v>33</v>
      </c>
      <c r="D193" s="13" t="s">
        <v>1502</v>
      </c>
      <c r="E193" s="13" t="s">
        <v>1538</v>
      </c>
      <c r="F193" s="13" t="s">
        <v>49</v>
      </c>
      <c r="G193" s="13" t="s">
        <v>1539</v>
      </c>
      <c r="H193" s="13" t="s">
        <v>1498</v>
      </c>
      <c r="I193" s="13" t="s">
        <v>179</v>
      </c>
      <c r="J193" s="13" t="s">
        <v>25</v>
      </c>
      <c r="K193" s="13" t="s">
        <v>1384</v>
      </c>
      <c r="L193" s="13" t="s">
        <v>1437</v>
      </c>
      <c r="M193" s="13" t="s">
        <v>1540</v>
      </c>
      <c r="N193" s="13" t="s">
        <v>92</v>
      </c>
      <c r="O193" s="13" t="s">
        <v>76</v>
      </c>
      <c r="P193" s="13"/>
      <c r="Q193" s="13"/>
      <c r="R193" s="13"/>
      <c r="S193" s="13"/>
      <c r="T193" s="13"/>
      <c r="U193" s="13" t="s">
        <v>1387</v>
      </c>
      <c r="V193" s="13" t="s">
        <v>1412</v>
      </c>
      <c r="W193" s="13"/>
      <c r="X193" s="13" t="s">
        <v>187</v>
      </c>
      <c r="Y193" s="13" t="s">
        <v>1541</v>
      </c>
      <c r="Z193" s="13" t="s">
        <v>1542</v>
      </c>
      <c r="AA193" s="14" t="s">
        <v>190</v>
      </c>
      <c r="AB193" s="15" t="s">
        <v>191</v>
      </c>
      <c r="AC193" s="15"/>
      <c r="AD193" s="15"/>
    </row>
    <row r="194" customFormat="false" ht="32.8" hidden="false" customHeight="false" outlineLevel="0" collapsed="false">
      <c r="A194" s="13" t="n">
        <v>193</v>
      </c>
      <c r="B194" s="13" t="s">
        <v>1543</v>
      </c>
      <c r="C194" s="13" t="s">
        <v>33</v>
      </c>
      <c r="D194" s="13" t="s">
        <v>1502</v>
      </c>
      <c r="E194" s="13" t="s">
        <v>1544</v>
      </c>
      <c r="F194" s="13" t="s">
        <v>49</v>
      </c>
      <c r="G194" s="13" t="s">
        <v>1545</v>
      </c>
      <c r="H194" s="13" t="s">
        <v>1498</v>
      </c>
      <c r="I194" s="13" t="s">
        <v>179</v>
      </c>
      <c r="J194" s="13" t="s">
        <v>26</v>
      </c>
      <c r="K194" s="13" t="s">
        <v>1384</v>
      </c>
      <c r="L194" s="13" t="s">
        <v>1437</v>
      </c>
      <c r="M194" s="13" t="s">
        <v>1546</v>
      </c>
      <c r="N194" s="13" t="s">
        <v>92</v>
      </c>
      <c r="O194" s="13" t="s">
        <v>76</v>
      </c>
      <c r="P194" s="13"/>
      <c r="Q194" s="13"/>
      <c r="R194" s="13"/>
      <c r="S194" s="13"/>
      <c r="T194" s="13"/>
      <c r="U194" s="13" t="s">
        <v>994</v>
      </c>
      <c r="V194" s="13" t="s">
        <v>461</v>
      </c>
      <c r="W194" s="13"/>
      <c r="X194" s="13" t="s">
        <v>202</v>
      </c>
      <c r="Y194" s="13"/>
      <c r="Z194" s="13" t="s">
        <v>1547</v>
      </c>
      <c r="AA194" s="14" t="s">
        <v>190</v>
      </c>
      <c r="AB194" s="15" t="s">
        <v>191</v>
      </c>
      <c r="AC194" s="15"/>
      <c r="AD194" s="15"/>
    </row>
    <row r="195" customFormat="false" ht="32.8" hidden="false" customHeight="false" outlineLevel="0" collapsed="false">
      <c r="A195" s="13" t="n">
        <v>194</v>
      </c>
      <c r="B195" s="13" t="s">
        <v>1548</v>
      </c>
      <c r="C195" s="13" t="s">
        <v>33</v>
      </c>
      <c r="D195" s="13" t="s">
        <v>1549</v>
      </c>
      <c r="E195" s="13" t="s">
        <v>1550</v>
      </c>
      <c r="F195" s="13" t="s">
        <v>49</v>
      </c>
      <c r="G195" s="13" t="s">
        <v>1551</v>
      </c>
      <c r="H195" s="13" t="s">
        <v>1552</v>
      </c>
      <c r="I195" s="13" t="s">
        <v>179</v>
      </c>
      <c r="J195" s="13" t="s">
        <v>24</v>
      </c>
      <c r="K195" s="13" t="s">
        <v>1384</v>
      </c>
      <c r="L195" s="13" t="s">
        <v>1553</v>
      </c>
      <c r="M195" s="13" t="s">
        <v>1554</v>
      </c>
      <c r="N195" s="13"/>
      <c r="O195" s="13"/>
      <c r="P195" s="13"/>
      <c r="Q195" s="13"/>
      <c r="R195" s="13" t="s">
        <v>110</v>
      </c>
      <c r="S195" s="13"/>
      <c r="T195" s="13" t="s">
        <v>1555</v>
      </c>
      <c r="U195" s="13" t="s">
        <v>1556</v>
      </c>
      <c r="V195" s="13" t="s">
        <v>1557</v>
      </c>
      <c r="W195" s="13"/>
      <c r="X195" s="13" t="s">
        <v>187</v>
      </c>
      <c r="Y195" s="13" t="s">
        <v>1558</v>
      </c>
      <c r="Z195" s="13" t="s">
        <v>1559</v>
      </c>
      <c r="AA195" s="14" t="s">
        <v>190</v>
      </c>
      <c r="AB195" s="15" t="s">
        <v>191</v>
      </c>
      <c r="AC195" s="15"/>
      <c r="AD195" s="15"/>
    </row>
    <row r="196" customFormat="false" ht="32.8" hidden="false" customHeight="false" outlineLevel="0" collapsed="false">
      <c r="A196" s="13" t="n">
        <v>195</v>
      </c>
      <c r="B196" s="13" t="s">
        <v>1560</v>
      </c>
      <c r="C196" s="13" t="s">
        <v>33</v>
      </c>
      <c r="D196" s="13" t="s">
        <v>1561</v>
      </c>
      <c r="E196" s="13" t="s">
        <v>1562</v>
      </c>
      <c r="F196" s="13" t="s">
        <v>49</v>
      </c>
      <c r="G196" s="13" t="s">
        <v>1563</v>
      </c>
      <c r="H196" s="13" t="s">
        <v>1552</v>
      </c>
      <c r="I196" s="13" t="s">
        <v>179</v>
      </c>
      <c r="J196" s="13" t="s">
        <v>23</v>
      </c>
      <c r="K196" s="13" t="s">
        <v>1384</v>
      </c>
      <c r="L196" s="13" t="s">
        <v>1564</v>
      </c>
      <c r="M196" s="13" t="s">
        <v>1565</v>
      </c>
      <c r="N196" s="13" t="s">
        <v>93</v>
      </c>
      <c r="O196" s="13"/>
      <c r="P196" s="13"/>
      <c r="Q196" s="13" t="s">
        <v>1566</v>
      </c>
      <c r="R196" s="13" t="s">
        <v>109</v>
      </c>
      <c r="S196" s="13"/>
      <c r="T196" s="13" t="s">
        <v>958</v>
      </c>
      <c r="U196" s="13" t="s">
        <v>1567</v>
      </c>
      <c r="V196" s="13" t="s">
        <v>1101</v>
      </c>
      <c r="W196" s="13"/>
      <c r="X196" s="13" t="s">
        <v>187</v>
      </c>
      <c r="Y196" s="13" t="s">
        <v>1568</v>
      </c>
      <c r="Z196" s="13" t="s">
        <v>1569</v>
      </c>
      <c r="AA196" s="14" t="s">
        <v>190</v>
      </c>
      <c r="AB196" s="15" t="s">
        <v>191</v>
      </c>
      <c r="AC196" s="15"/>
      <c r="AD196" s="15"/>
    </row>
    <row r="197" customFormat="false" ht="32.8" hidden="false" customHeight="false" outlineLevel="0" collapsed="false">
      <c r="A197" s="13" t="n">
        <v>196</v>
      </c>
      <c r="B197" s="13" t="s">
        <v>1570</v>
      </c>
      <c r="C197" s="13" t="s">
        <v>33</v>
      </c>
      <c r="D197" s="13" t="s">
        <v>1561</v>
      </c>
      <c r="E197" s="13" t="s">
        <v>1571</v>
      </c>
      <c r="F197" s="13" t="s">
        <v>49</v>
      </c>
      <c r="G197" s="13" t="s">
        <v>1572</v>
      </c>
      <c r="H197" s="13" t="s">
        <v>1552</v>
      </c>
      <c r="I197" s="13" t="s">
        <v>253</v>
      </c>
      <c r="J197" s="13" t="s">
        <v>25</v>
      </c>
      <c r="K197" s="13" t="s">
        <v>1384</v>
      </c>
      <c r="L197" s="13" t="s">
        <v>1564</v>
      </c>
      <c r="M197" s="13" t="s">
        <v>1573</v>
      </c>
      <c r="N197" s="13" t="s">
        <v>93</v>
      </c>
      <c r="O197" s="13"/>
      <c r="P197" s="13"/>
      <c r="Q197" s="13" t="s">
        <v>1574</v>
      </c>
      <c r="R197" s="13" t="s">
        <v>109</v>
      </c>
      <c r="S197" s="13"/>
      <c r="T197" s="13" t="s">
        <v>958</v>
      </c>
      <c r="U197" s="13" t="s">
        <v>1000</v>
      </c>
      <c r="V197" s="13" t="s">
        <v>1101</v>
      </c>
      <c r="W197" s="13"/>
      <c r="X197" s="13" t="s">
        <v>202</v>
      </c>
      <c r="Y197" s="13"/>
      <c r="Z197" s="13" t="s">
        <v>1575</v>
      </c>
      <c r="AA197" s="14" t="s">
        <v>190</v>
      </c>
      <c r="AB197" s="15" t="s">
        <v>191</v>
      </c>
      <c r="AC197" s="15"/>
      <c r="AD197" s="15"/>
    </row>
    <row r="198" customFormat="false" ht="32.8" hidden="false" customHeight="false" outlineLevel="0" collapsed="false">
      <c r="A198" s="13" t="n">
        <v>197</v>
      </c>
      <c r="B198" s="13" t="s">
        <v>1576</v>
      </c>
      <c r="C198" s="13" t="s">
        <v>33</v>
      </c>
      <c r="D198" s="13" t="s">
        <v>1561</v>
      </c>
      <c r="E198" s="13" t="s">
        <v>1577</v>
      </c>
      <c r="F198" s="13" t="s">
        <v>49</v>
      </c>
      <c r="G198" s="13" t="s">
        <v>1578</v>
      </c>
      <c r="H198" s="13" t="s">
        <v>1552</v>
      </c>
      <c r="I198" s="13" t="s">
        <v>253</v>
      </c>
      <c r="J198" s="13" t="s">
        <v>26</v>
      </c>
      <c r="K198" s="13" t="s">
        <v>1384</v>
      </c>
      <c r="L198" s="13" t="s">
        <v>1564</v>
      </c>
      <c r="M198" s="13" t="s">
        <v>1579</v>
      </c>
      <c r="N198" s="13" t="s">
        <v>93</v>
      </c>
      <c r="O198" s="13"/>
      <c r="P198" s="13"/>
      <c r="Q198" s="13" t="s">
        <v>1566</v>
      </c>
      <c r="R198" s="13" t="s">
        <v>109</v>
      </c>
      <c r="S198" s="13"/>
      <c r="T198" s="13" t="s">
        <v>958</v>
      </c>
      <c r="U198" s="13" t="s">
        <v>1000</v>
      </c>
      <c r="V198" s="13" t="s">
        <v>1101</v>
      </c>
      <c r="W198" s="13"/>
      <c r="X198" s="13" t="s">
        <v>202</v>
      </c>
      <c r="Y198" s="13"/>
      <c r="Z198" s="13" t="s">
        <v>1580</v>
      </c>
      <c r="AA198" s="14" t="s">
        <v>190</v>
      </c>
      <c r="AB198" s="15" t="s">
        <v>191</v>
      </c>
      <c r="AC198" s="15"/>
      <c r="AD198" s="15"/>
    </row>
    <row r="199" customFormat="false" ht="32.8" hidden="false" customHeight="false" outlineLevel="0" collapsed="false">
      <c r="A199" s="13" t="n">
        <v>198</v>
      </c>
      <c r="B199" s="13" t="s">
        <v>1581</v>
      </c>
      <c r="C199" s="13" t="s">
        <v>33</v>
      </c>
      <c r="D199" s="13" t="s">
        <v>1582</v>
      </c>
      <c r="E199" s="13" t="s">
        <v>1583</v>
      </c>
      <c r="F199" s="13" t="s">
        <v>49</v>
      </c>
      <c r="G199" s="13" t="s">
        <v>1584</v>
      </c>
      <c r="H199" s="13" t="s">
        <v>1552</v>
      </c>
      <c r="I199" s="13" t="s">
        <v>253</v>
      </c>
      <c r="J199" s="13" t="s">
        <v>26</v>
      </c>
      <c r="K199" s="13" t="s">
        <v>1384</v>
      </c>
      <c r="L199" s="13" t="s">
        <v>1585</v>
      </c>
      <c r="M199" s="13" t="s">
        <v>1586</v>
      </c>
      <c r="N199" s="13"/>
      <c r="O199" s="13"/>
      <c r="P199" s="13"/>
      <c r="Q199" s="13"/>
      <c r="R199" s="13" t="s">
        <v>117</v>
      </c>
      <c r="S199" s="13"/>
      <c r="T199" s="13"/>
      <c r="U199" s="13" t="s">
        <v>1587</v>
      </c>
      <c r="V199" s="13" t="s">
        <v>280</v>
      </c>
      <c r="W199" s="13"/>
      <c r="X199" s="13" t="s">
        <v>187</v>
      </c>
      <c r="Y199" s="13" t="s">
        <v>1588</v>
      </c>
      <c r="Z199" s="13" t="s">
        <v>1589</v>
      </c>
      <c r="AA199" s="14" t="s">
        <v>190</v>
      </c>
      <c r="AB199" s="15" t="s">
        <v>191</v>
      </c>
      <c r="AC199" s="15"/>
      <c r="AD199" s="15"/>
    </row>
    <row r="200" customFormat="false" ht="32.8" hidden="false" customHeight="false" outlineLevel="0" collapsed="false">
      <c r="A200" s="13" t="n">
        <v>199</v>
      </c>
      <c r="B200" s="13" t="s">
        <v>1590</v>
      </c>
      <c r="C200" s="13" t="s">
        <v>33</v>
      </c>
      <c r="D200" s="13" t="s">
        <v>1591</v>
      </c>
      <c r="E200" s="13" t="s">
        <v>1592</v>
      </c>
      <c r="F200" s="13" t="s">
        <v>49</v>
      </c>
      <c r="G200" s="13" t="s">
        <v>1593</v>
      </c>
      <c r="H200" s="13" t="s">
        <v>1594</v>
      </c>
      <c r="I200" s="13" t="s">
        <v>179</v>
      </c>
      <c r="J200" s="13" t="s">
        <v>24</v>
      </c>
      <c r="K200" s="13" t="s">
        <v>1384</v>
      </c>
      <c r="L200" s="13" t="s">
        <v>1429</v>
      </c>
      <c r="M200" s="13" t="s">
        <v>1595</v>
      </c>
      <c r="N200" s="13" t="s">
        <v>102</v>
      </c>
      <c r="O200" s="13"/>
      <c r="P200" s="13"/>
      <c r="Q200" s="13"/>
      <c r="R200" s="13"/>
      <c r="S200" s="13"/>
      <c r="T200" s="13"/>
      <c r="U200" s="13" t="s">
        <v>492</v>
      </c>
      <c r="V200" s="13" t="s">
        <v>1101</v>
      </c>
      <c r="W200" s="13"/>
      <c r="X200" s="13" t="s">
        <v>202</v>
      </c>
      <c r="Y200" s="13"/>
      <c r="Z200" s="13" t="s">
        <v>1596</v>
      </c>
      <c r="AA200" s="14" t="s">
        <v>190</v>
      </c>
      <c r="AB200" s="15" t="s">
        <v>191</v>
      </c>
      <c r="AC200" s="15"/>
      <c r="AD200" s="15"/>
    </row>
    <row r="201" customFormat="false" ht="32.8" hidden="false" customHeight="false" outlineLevel="0" collapsed="false">
      <c r="A201" s="13" t="n">
        <v>200</v>
      </c>
      <c r="B201" s="13" t="s">
        <v>1597</v>
      </c>
      <c r="C201" s="13" t="s">
        <v>33</v>
      </c>
      <c r="D201" s="13" t="s">
        <v>1598</v>
      </c>
      <c r="E201" s="13" t="s">
        <v>1599</v>
      </c>
      <c r="F201" s="13" t="s">
        <v>49</v>
      </c>
      <c r="G201" s="13" t="s">
        <v>1600</v>
      </c>
      <c r="H201" s="13" t="s">
        <v>1594</v>
      </c>
      <c r="I201" s="13" t="s">
        <v>179</v>
      </c>
      <c r="J201" s="13" t="s">
        <v>23</v>
      </c>
      <c r="K201" s="13" t="s">
        <v>1384</v>
      </c>
      <c r="L201" s="13" t="s">
        <v>1429</v>
      </c>
      <c r="M201" s="13" t="s">
        <v>1601</v>
      </c>
      <c r="N201" s="13" t="s">
        <v>102</v>
      </c>
      <c r="O201" s="13"/>
      <c r="P201" s="13"/>
      <c r="Q201" s="13"/>
      <c r="R201" s="13"/>
      <c r="S201" s="13"/>
      <c r="T201" s="13"/>
      <c r="U201" s="13" t="s">
        <v>1602</v>
      </c>
      <c r="V201" s="13" t="s">
        <v>1101</v>
      </c>
      <c r="W201" s="13"/>
      <c r="X201" s="13" t="s">
        <v>202</v>
      </c>
      <c r="Y201" s="13"/>
      <c r="Z201" s="13" t="s">
        <v>1603</v>
      </c>
      <c r="AA201" s="14" t="s">
        <v>190</v>
      </c>
      <c r="AB201" s="15" t="s">
        <v>191</v>
      </c>
      <c r="AC201" s="15"/>
      <c r="AD201" s="15"/>
    </row>
    <row r="202" customFormat="false" ht="32.8" hidden="false" customHeight="false" outlineLevel="0" collapsed="false">
      <c r="A202" s="13" t="n">
        <v>201</v>
      </c>
      <c r="B202" s="13" t="s">
        <v>1604</v>
      </c>
      <c r="C202" s="13" t="s">
        <v>33</v>
      </c>
      <c r="D202" s="13" t="s">
        <v>1598</v>
      </c>
      <c r="E202" s="13" t="s">
        <v>1605</v>
      </c>
      <c r="F202" s="13" t="s">
        <v>49</v>
      </c>
      <c r="G202" s="13" t="s">
        <v>1606</v>
      </c>
      <c r="H202" s="13" t="s">
        <v>1594</v>
      </c>
      <c r="I202" s="13" t="s">
        <v>572</v>
      </c>
      <c r="J202" s="13" t="s">
        <v>26</v>
      </c>
      <c r="K202" s="13" t="s">
        <v>1384</v>
      </c>
      <c r="L202" s="13" t="s">
        <v>1429</v>
      </c>
      <c r="M202" s="13" t="s">
        <v>1607</v>
      </c>
      <c r="N202" s="13" t="s">
        <v>102</v>
      </c>
      <c r="O202" s="13"/>
      <c r="P202" s="13"/>
      <c r="Q202" s="13"/>
      <c r="R202" s="13"/>
      <c r="S202" s="13"/>
      <c r="T202" s="13"/>
      <c r="U202" s="13" t="s">
        <v>492</v>
      </c>
      <c r="V202" s="13" t="s">
        <v>1101</v>
      </c>
      <c r="W202" s="13"/>
      <c r="X202" s="13" t="s">
        <v>202</v>
      </c>
      <c r="Y202" s="13"/>
      <c r="Z202" s="13" t="s">
        <v>1608</v>
      </c>
      <c r="AA202" s="14" t="s">
        <v>190</v>
      </c>
      <c r="AB202" s="15" t="s">
        <v>191</v>
      </c>
      <c r="AC202" s="15"/>
      <c r="AD202" s="15"/>
    </row>
    <row r="203" customFormat="false" ht="32.8" hidden="false" customHeight="false" outlineLevel="0" collapsed="false">
      <c r="A203" s="13" t="n">
        <v>202</v>
      </c>
      <c r="B203" s="13" t="s">
        <v>1609</v>
      </c>
      <c r="C203" s="13" t="s">
        <v>33</v>
      </c>
      <c r="D203" s="13" t="s">
        <v>1610</v>
      </c>
      <c r="E203" s="13" t="s">
        <v>1611</v>
      </c>
      <c r="F203" s="13" t="s">
        <v>49</v>
      </c>
      <c r="G203" s="13" t="s">
        <v>1612</v>
      </c>
      <c r="H203" s="13" t="s">
        <v>1594</v>
      </c>
      <c r="I203" s="13" t="s">
        <v>179</v>
      </c>
      <c r="J203" s="13" t="s">
        <v>24</v>
      </c>
      <c r="K203" s="13" t="s">
        <v>1384</v>
      </c>
      <c r="L203" s="13" t="s">
        <v>1613</v>
      </c>
      <c r="M203" s="13" t="s">
        <v>1614</v>
      </c>
      <c r="N203" s="13" t="s">
        <v>98</v>
      </c>
      <c r="O203" s="13" t="s">
        <v>75</v>
      </c>
      <c r="P203" s="13"/>
      <c r="Q203" s="13" t="s">
        <v>1315</v>
      </c>
      <c r="R203" s="13"/>
      <c r="S203" s="13"/>
      <c r="T203" s="13"/>
      <c r="U203" s="13" t="s">
        <v>492</v>
      </c>
      <c r="V203" s="13" t="s">
        <v>959</v>
      </c>
      <c r="W203" s="13"/>
      <c r="X203" s="13" t="s">
        <v>202</v>
      </c>
      <c r="Y203" s="13"/>
      <c r="Z203" s="13" t="s">
        <v>1615</v>
      </c>
      <c r="AA203" s="14" t="s">
        <v>190</v>
      </c>
      <c r="AB203" s="15" t="s">
        <v>191</v>
      </c>
      <c r="AC203" s="15"/>
      <c r="AD203" s="15"/>
    </row>
    <row r="204" customFormat="false" ht="32.8" hidden="false" customHeight="false" outlineLevel="0" collapsed="false">
      <c r="A204" s="13" t="n">
        <v>203</v>
      </c>
      <c r="B204" s="13" t="s">
        <v>1616</v>
      </c>
      <c r="C204" s="13" t="s">
        <v>33</v>
      </c>
      <c r="D204" s="13" t="s">
        <v>1610</v>
      </c>
      <c r="E204" s="13" t="s">
        <v>1617</v>
      </c>
      <c r="F204" s="13" t="s">
        <v>49</v>
      </c>
      <c r="G204" s="13" t="s">
        <v>1618</v>
      </c>
      <c r="H204" s="13" t="s">
        <v>1594</v>
      </c>
      <c r="I204" s="13" t="s">
        <v>179</v>
      </c>
      <c r="J204" s="13" t="s">
        <v>24</v>
      </c>
      <c r="K204" s="13" t="s">
        <v>1384</v>
      </c>
      <c r="L204" s="13" t="s">
        <v>1613</v>
      </c>
      <c r="M204" s="13" t="s">
        <v>1619</v>
      </c>
      <c r="N204" s="13" t="s">
        <v>96</v>
      </c>
      <c r="O204" s="13" t="s">
        <v>74</v>
      </c>
      <c r="P204" s="13"/>
      <c r="Q204" s="13" t="s">
        <v>1008</v>
      </c>
      <c r="R204" s="13"/>
      <c r="S204" s="13"/>
      <c r="T204" s="13"/>
      <c r="U204" s="13" t="s">
        <v>492</v>
      </c>
      <c r="V204" s="13" t="s">
        <v>959</v>
      </c>
      <c r="W204" s="13"/>
      <c r="X204" s="13" t="s">
        <v>202</v>
      </c>
      <c r="Y204" s="13"/>
      <c r="Z204" s="13" t="s">
        <v>1620</v>
      </c>
      <c r="AA204" s="14" t="s">
        <v>190</v>
      </c>
      <c r="AB204" s="15" t="s">
        <v>191</v>
      </c>
      <c r="AC204" s="15"/>
      <c r="AD204" s="15"/>
    </row>
    <row r="205" customFormat="false" ht="32.8" hidden="false" customHeight="false" outlineLevel="0" collapsed="false">
      <c r="A205" s="13" t="n">
        <v>204</v>
      </c>
      <c r="B205" s="13" t="s">
        <v>1621</v>
      </c>
      <c r="C205" s="13" t="s">
        <v>33</v>
      </c>
      <c r="D205" s="13" t="s">
        <v>1610</v>
      </c>
      <c r="E205" s="13" t="s">
        <v>1622</v>
      </c>
      <c r="F205" s="13" t="s">
        <v>49</v>
      </c>
      <c r="G205" s="13" t="s">
        <v>1623</v>
      </c>
      <c r="H205" s="13" t="s">
        <v>1594</v>
      </c>
      <c r="I205" s="13" t="s">
        <v>841</v>
      </c>
      <c r="J205" s="13" t="s">
        <v>25</v>
      </c>
      <c r="K205" s="13" t="s">
        <v>1384</v>
      </c>
      <c r="L205" s="13" t="s">
        <v>1429</v>
      </c>
      <c r="M205" s="13" t="s">
        <v>1624</v>
      </c>
      <c r="N205" s="13" t="s">
        <v>96</v>
      </c>
      <c r="O205" s="13"/>
      <c r="P205" s="13"/>
      <c r="Q205" s="13"/>
      <c r="R205" s="13"/>
      <c r="S205" s="13"/>
      <c r="T205" s="13"/>
      <c r="U205" s="13" t="s">
        <v>492</v>
      </c>
      <c r="V205" s="13" t="s">
        <v>959</v>
      </c>
      <c r="W205" s="13"/>
      <c r="X205" s="13" t="s">
        <v>202</v>
      </c>
      <c r="Y205" s="13"/>
      <c r="Z205" s="13" t="s">
        <v>1625</v>
      </c>
      <c r="AA205" s="14" t="s">
        <v>190</v>
      </c>
      <c r="AB205" s="15" t="s">
        <v>191</v>
      </c>
      <c r="AC205" s="15"/>
      <c r="AD205" s="15"/>
    </row>
    <row r="206" customFormat="false" ht="32.8" hidden="false" customHeight="false" outlineLevel="0" collapsed="false">
      <c r="A206" s="13" t="n">
        <v>205</v>
      </c>
      <c r="B206" s="13" t="s">
        <v>1626</v>
      </c>
      <c r="C206" s="13" t="s">
        <v>33</v>
      </c>
      <c r="D206" s="13" t="s">
        <v>1610</v>
      </c>
      <c r="E206" s="13" t="s">
        <v>1627</v>
      </c>
      <c r="F206" s="13" t="s">
        <v>49</v>
      </c>
      <c r="G206" s="13" t="s">
        <v>1628</v>
      </c>
      <c r="H206" s="13" t="s">
        <v>1594</v>
      </c>
      <c r="I206" s="13" t="s">
        <v>179</v>
      </c>
      <c r="J206" s="13" t="s">
        <v>25</v>
      </c>
      <c r="K206" s="13" t="s">
        <v>1384</v>
      </c>
      <c r="L206" s="13" t="s">
        <v>1429</v>
      </c>
      <c r="M206" s="13" t="s">
        <v>1629</v>
      </c>
      <c r="N206" s="13" t="s">
        <v>96</v>
      </c>
      <c r="O206" s="13"/>
      <c r="P206" s="13"/>
      <c r="Q206" s="13"/>
      <c r="R206" s="13"/>
      <c r="S206" s="13"/>
      <c r="T206" s="13"/>
      <c r="U206" s="13" t="s">
        <v>492</v>
      </c>
      <c r="V206" s="13" t="s">
        <v>959</v>
      </c>
      <c r="W206" s="13"/>
      <c r="X206" s="13" t="s">
        <v>202</v>
      </c>
      <c r="Y206" s="13"/>
      <c r="Z206" s="13" t="s">
        <v>1630</v>
      </c>
      <c r="AA206" s="14" t="s">
        <v>190</v>
      </c>
      <c r="AB206" s="15" t="s">
        <v>191</v>
      </c>
      <c r="AC206" s="15"/>
      <c r="AD206" s="15"/>
    </row>
    <row r="207" customFormat="false" ht="32.8" hidden="false" customHeight="false" outlineLevel="0" collapsed="false">
      <c r="A207" s="13" t="n">
        <v>206</v>
      </c>
      <c r="B207" s="13" t="s">
        <v>1631</v>
      </c>
      <c r="C207" s="13" t="s">
        <v>33</v>
      </c>
      <c r="D207" s="13" t="s">
        <v>1610</v>
      </c>
      <c r="E207" s="13" t="s">
        <v>1632</v>
      </c>
      <c r="F207" s="13" t="s">
        <v>49</v>
      </c>
      <c r="G207" s="13" t="s">
        <v>1633</v>
      </c>
      <c r="H207" s="13" t="s">
        <v>1594</v>
      </c>
      <c r="I207" s="13" t="s">
        <v>1634</v>
      </c>
      <c r="J207" s="13" t="s">
        <v>23</v>
      </c>
      <c r="K207" s="13" t="s">
        <v>1384</v>
      </c>
      <c r="L207" s="13" t="s">
        <v>1437</v>
      </c>
      <c r="M207" s="13" t="s">
        <v>1635</v>
      </c>
      <c r="N207" s="13" t="s">
        <v>96</v>
      </c>
      <c r="O207" s="13" t="s">
        <v>74</v>
      </c>
      <c r="P207" s="13"/>
      <c r="Q207" s="13"/>
      <c r="R207" s="13"/>
      <c r="S207" s="13"/>
      <c r="T207" s="13"/>
      <c r="U207" s="13" t="s">
        <v>492</v>
      </c>
      <c r="V207" s="13" t="s">
        <v>959</v>
      </c>
      <c r="W207" s="13"/>
      <c r="X207" s="13" t="s">
        <v>202</v>
      </c>
      <c r="Y207" s="13"/>
      <c r="Z207" s="13" t="s">
        <v>1636</v>
      </c>
      <c r="AA207" s="14" t="s">
        <v>190</v>
      </c>
      <c r="AB207" s="15" t="s">
        <v>191</v>
      </c>
      <c r="AC207" s="15"/>
      <c r="AD207" s="15"/>
    </row>
    <row r="208" customFormat="false" ht="32.8" hidden="false" customHeight="false" outlineLevel="0" collapsed="false">
      <c r="A208" s="13" t="n">
        <v>207</v>
      </c>
      <c r="B208" s="13" t="s">
        <v>1637</v>
      </c>
      <c r="C208" s="13" t="s">
        <v>33</v>
      </c>
      <c r="D208" s="13" t="s">
        <v>1610</v>
      </c>
      <c r="E208" s="13" t="s">
        <v>1638</v>
      </c>
      <c r="F208" s="13" t="s">
        <v>49</v>
      </c>
      <c r="G208" s="13" t="s">
        <v>1639</v>
      </c>
      <c r="H208" s="13" t="s">
        <v>1594</v>
      </c>
      <c r="I208" s="13" t="s">
        <v>179</v>
      </c>
      <c r="J208" s="13" t="s">
        <v>24</v>
      </c>
      <c r="K208" s="13" t="s">
        <v>1384</v>
      </c>
      <c r="L208" s="13" t="s">
        <v>1613</v>
      </c>
      <c r="M208" s="13" t="s">
        <v>1640</v>
      </c>
      <c r="N208" s="13" t="s">
        <v>95</v>
      </c>
      <c r="O208" s="13" t="s">
        <v>67</v>
      </c>
      <c r="P208" s="13"/>
      <c r="Q208" s="13" t="s">
        <v>1262</v>
      </c>
      <c r="R208" s="13"/>
      <c r="S208" s="13"/>
      <c r="T208" s="13"/>
      <c r="U208" s="13" t="s">
        <v>492</v>
      </c>
      <c r="V208" s="13" t="s">
        <v>959</v>
      </c>
      <c r="W208" s="13"/>
      <c r="X208" s="13" t="s">
        <v>202</v>
      </c>
      <c r="Y208" s="13"/>
      <c r="Z208" s="13" t="s">
        <v>1641</v>
      </c>
      <c r="AA208" s="14" t="s">
        <v>190</v>
      </c>
      <c r="AB208" s="15" t="s">
        <v>191</v>
      </c>
      <c r="AC208" s="15"/>
      <c r="AD208" s="15"/>
    </row>
    <row r="209" customFormat="false" ht="32.8" hidden="false" customHeight="false" outlineLevel="0" collapsed="false">
      <c r="A209" s="13" t="n">
        <v>208</v>
      </c>
      <c r="B209" s="13" t="s">
        <v>1642</v>
      </c>
      <c r="C209" s="13" t="s">
        <v>33</v>
      </c>
      <c r="D209" s="13" t="s">
        <v>1610</v>
      </c>
      <c r="E209" s="13" t="s">
        <v>1643</v>
      </c>
      <c r="F209" s="13" t="s">
        <v>49</v>
      </c>
      <c r="G209" s="13" t="s">
        <v>1644</v>
      </c>
      <c r="H209" s="13" t="s">
        <v>1594</v>
      </c>
      <c r="I209" s="13" t="s">
        <v>1634</v>
      </c>
      <c r="J209" s="13" t="s">
        <v>24</v>
      </c>
      <c r="K209" s="13" t="s">
        <v>1384</v>
      </c>
      <c r="L209" s="13" t="s">
        <v>1429</v>
      </c>
      <c r="M209" s="13" t="s">
        <v>1645</v>
      </c>
      <c r="N209" s="13" t="s">
        <v>97</v>
      </c>
      <c r="O209" s="13"/>
      <c r="P209" s="13"/>
      <c r="Q209" s="13"/>
      <c r="R209" s="13"/>
      <c r="S209" s="13"/>
      <c r="T209" s="13"/>
      <c r="U209" s="13" t="s">
        <v>492</v>
      </c>
      <c r="V209" s="13" t="s">
        <v>959</v>
      </c>
      <c r="W209" s="13"/>
      <c r="X209" s="13" t="s">
        <v>202</v>
      </c>
      <c r="Y209" s="13"/>
      <c r="Z209" s="13" t="s">
        <v>1646</v>
      </c>
      <c r="AA209" s="14" t="s">
        <v>190</v>
      </c>
      <c r="AB209" s="15" t="s">
        <v>191</v>
      </c>
      <c r="AC209" s="15"/>
      <c r="AD209" s="15"/>
    </row>
    <row r="210" customFormat="false" ht="32.8" hidden="false" customHeight="false" outlineLevel="0" collapsed="false">
      <c r="A210" s="13" t="n">
        <v>209</v>
      </c>
      <c r="B210" s="13" t="s">
        <v>1647</v>
      </c>
      <c r="C210" s="13" t="s">
        <v>33</v>
      </c>
      <c r="D210" s="13" t="s">
        <v>1610</v>
      </c>
      <c r="E210" s="13" t="s">
        <v>1648</v>
      </c>
      <c r="F210" s="13" t="s">
        <v>49</v>
      </c>
      <c r="G210" s="13" t="s">
        <v>1649</v>
      </c>
      <c r="H210" s="13" t="s">
        <v>1594</v>
      </c>
      <c r="I210" s="13" t="s">
        <v>179</v>
      </c>
      <c r="J210" s="13" t="s">
        <v>24</v>
      </c>
      <c r="K210" s="13" t="s">
        <v>1384</v>
      </c>
      <c r="L210" s="13" t="s">
        <v>1650</v>
      </c>
      <c r="M210" s="13" t="s">
        <v>1651</v>
      </c>
      <c r="N210" s="13" t="s">
        <v>97</v>
      </c>
      <c r="O210" s="13"/>
      <c r="P210" s="13"/>
      <c r="Q210" s="13"/>
      <c r="R210" s="13" t="s">
        <v>109</v>
      </c>
      <c r="S210" s="13"/>
      <c r="T210" s="13"/>
      <c r="U210" s="13" t="s">
        <v>1000</v>
      </c>
      <c r="V210" s="13" t="s">
        <v>1101</v>
      </c>
      <c r="W210" s="13"/>
      <c r="X210" s="13" t="s">
        <v>202</v>
      </c>
      <c r="Y210" s="13"/>
      <c r="Z210" s="13" t="s">
        <v>1652</v>
      </c>
      <c r="AA210" s="14" t="s">
        <v>190</v>
      </c>
      <c r="AB210" s="15" t="s">
        <v>191</v>
      </c>
      <c r="AC210" s="15"/>
      <c r="AD210" s="15"/>
    </row>
    <row r="211" customFormat="false" ht="32.8" hidden="false" customHeight="false" outlineLevel="0" collapsed="false">
      <c r="A211" s="13" t="n">
        <v>210</v>
      </c>
      <c r="B211" s="13" t="s">
        <v>1653</v>
      </c>
      <c r="C211" s="13" t="s">
        <v>33</v>
      </c>
      <c r="D211" s="13" t="s">
        <v>1654</v>
      </c>
      <c r="E211" s="13" t="s">
        <v>1655</v>
      </c>
      <c r="F211" s="13" t="s">
        <v>49</v>
      </c>
      <c r="G211" s="13" t="s">
        <v>1656</v>
      </c>
      <c r="H211" s="13" t="s">
        <v>1594</v>
      </c>
      <c r="I211" s="13" t="s">
        <v>841</v>
      </c>
      <c r="J211" s="13" t="s">
        <v>25</v>
      </c>
      <c r="K211" s="13" t="s">
        <v>1384</v>
      </c>
      <c r="L211" s="13" t="s">
        <v>1437</v>
      </c>
      <c r="M211" s="13" t="s">
        <v>1657</v>
      </c>
      <c r="N211" s="13" t="s">
        <v>98</v>
      </c>
      <c r="O211" s="13" t="s">
        <v>1658</v>
      </c>
      <c r="P211" s="13"/>
      <c r="Q211" s="13"/>
      <c r="R211" s="13"/>
      <c r="S211" s="13"/>
      <c r="T211" s="13"/>
      <c r="U211" s="13" t="s">
        <v>492</v>
      </c>
      <c r="V211" s="13" t="s">
        <v>959</v>
      </c>
      <c r="W211" s="13"/>
      <c r="X211" s="13" t="s">
        <v>202</v>
      </c>
      <c r="Y211" s="13"/>
      <c r="Z211" s="13" t="s">
        <v>632</v>
      </c>
      <c r="AA211" s="14" t="s">
        <v>190</v>
      </c>
      <c r="AB211" s="15" t="s">
        <v>191</v>
      </c>
      <c r="AC211" s="15"/>
      <c r="AD211" s="15"/>
    </row>
    <row r="212" customFormat="false" ht="32.8" hidden="false" customHeight="false" outlineLevel="0" collapsed="false">
      <c r="A212" s="13" t="n">
        <v>211</v>
      </c>
      <c r="B212" s="13" t="s">
        <v>1659</v>
      </c>
      <c r="C212" s="13" t="s">
        <v>33</v>
      </c>
      <c r="D212" s="13" t="s">
        <v>1654</v>
      </c>
      <c r="E212" s="13" t="s">
        <v>1660</v>
      </c>
      <c r="F212" s="13" t="s">
        <v>49</v>
      </c>
      <c r="G212" s="13" t="s">
        <v>1661</v>
      </c>
      <c r="H212" s="13" t="s">
        <v>1594</v>
      </c>
      <c r="I212" s="13" t="s">
        <v>179</v>
      </c>
      <c r="J212" s="13" t="s">
        <v>25</v>
      </c>
      <c r="K212" s="13" t="s">
        <v>1384</v>
      </c>
      <c r="L212" s="13" t="s">
        <v>1437</v>
      </c>
      <c r="M212" s="13" t="s">
        <v>1662</v>
      </c>
      <c r="N212" s="13" t="s">
        <v>98</v>
      </c>
      <c r="O212" s="13" t="s">
        <v>1658</v>
      </c>
      <c r="P212" s="13"/>
      <c r="Q212" s="13"/>
      <c r="R212" s="13"/>
      <c r="S212" s="13"/>
      <c r="T212" s="13"/>
      <c r="U212" s="13" t="s">
        <v>492</v>
      </c>
      <c r="V212" s="13" t="s">
        <v>959</v>
      </c>
      <c r="W212" s="13"/>
      <c r="X212" s="13" t="s">
        <v>202</v>
      </c>
      <c r="Y212" s="13"/>
      <c r="Z212" s="13" t="s">
        <v>1663</v>
      </c>
      <c r="AA212" s="14" t="s">
        <v>190</v>
      </c>
      <c r="AB212" s="15" t="s">
        <v>191</v>
      </c>
      <c r="AC212" s="15"/>
      <c r="AD212" s="15"/>
    </row>
    <row r="213" customFormat="false" ht="32.8" hidden="false" customHeight="false" outlineLevel="0" collapsed="false">
      <c r="A213" s="13" t="n">
        <v>212</v>
      </c>
      <c r="B213" s="13" t="s">
        <v>1664</v>
      </c>
      <c r="C213" s="13" t="s">
        <v>33</v>
      </c>
      <c r="D213" s="13" t="s">
        <v>1654</v>
      </c>
      <c r="E213" s="13" t="s">
        <v>1665</v>
      </c>
      <c r="F213" s="13" t="s">
        <v>49</v>
      </c>
      <c r="G213" s="13" t="s">
        <v>1666</v>
      </c>
      <c r="H213" s="13" t="s">
        <v>1594</v>
      </c>
      <c r="I213" s="13" t="s">
        <v>179</v>
      </c>
      <c r="J213" s="13" t="s">
        <v>25</v>
      </c>
      <c r="K213" s="13" t="s">
        <v>1384</v>
      </c>
      <c r="L213" s="13" t="s">
        <v>1437</v>
      </c>
      <c r="M213" s="13" t="s">
        <v>1667</v>
      </c>
      <c r="N213" s="13" t="s">
        <v>98</v>
      </c>
      <c r="O213" s="13" t="s">
        <v>1658</v>
      </c>
      <c r="P213" s="13"/>
      <c r="Q213" s="13"/>
      <c r="R213" s="13"/>
      <c r="S213" s="13"/>
      <c r="T213" s="13"/>
      <c r="U213" s="13" t="s">
        <v>492</v>
      </c>
      <c r="V213" s="13" t="s">
        <v>959</v>
      </c>
      <c r="W213" s="13"/>
      <c r="X213" s="13" t="s">
        <v>202</v>
      </c>
      <c r="Y213" s="13"/>
      <c r="Z213" s="13" t="s">
        <v>1668</v>
      </c>
      <c r="AA213" s="14" t="s">
        <v>190</v>
      </c>
      <c r="AB213" s="15" t="s">
        <v>191</v>
      </c>
      <c r="AC213" s="15"/>
      <c r="AD213" s="15"/>
    </row>
    <row r="214" customFormat="false" ht="32.8" hidden="false" customHeight="false" outlineLevel="0" collapsed="false">
      <c r="A214" s="13" t="n">
        <v>213</v>
      </c>
      <c r="B214" s="13" t="s">
        <v>1669</v>
      </c>
      <c r="C214" s="13" t="s">
        <v>33</v>
      </c>
      <c r="D214" s="13" t="s">
        <v>1670</v>
      </c>
      <c r="E214" s="13" t="s">
        <v>1671</v>
      </c>
      <c r="F214" s="13" t="s">
        <v>49</v>
      </c>
      <c r="G214" s="13" t="s">
        <v>1672</v>
      </c>
      <c r="H214" s="13" t="s">
        <v>1594</v>
      </c>
      <c r="I214" s="13" t="s">
        <v>179</v>
      </c>
      <c r="J214" s="13" t="s">
        <v>25</v>
      </c>
      <c r="K214" s="13" t="s">
        <v>1384</v>
      </c>
      <c r="L214" s="13" t="s">
        <v>1429</v>
      </c>
      <c r="M214" s="13" t="s">
        <v>1673</v>
      </c>
      <c r="N214" s="13" t="s">
        <v>102</v>
      </c>
      <c r="O214" s="13"/>
      <c r="P214" s="13"/>
      <c r="Q214" s="13"/>
      <c r="R214" s="13"/>
      <c r="S214" s="13"/>
      <c r="T214" s="13"/>
      <c r="U214" s="13" t="s">
        <v>1032</v>
      </c>
      <c r="V214" s="13" t="s">
        <v>1674</v>
      </c>
      <c r="W214" s="13"/>
      <c r="X214" s="13" t="s">
        <v>202</v>
      </c>
      <c r="Y214" s="13"/>
      <c r="Z214" s="13" t="s">
        <v>1675</v>
      </c>
      <c r="AA214" s="14" t="s">
        <v>190</v>
      </c>
      <c r="AB214" s="15" t="s">
        <v>191</v>
      </c>
      <c r="AC214" s="15"/>
      <c r="AD214" s="15"/>
    </row>
    <row r="215" customFormat="false" ht="32.8" hidden="false" customHeight="false" outlineLevel="0" collapsed="false">
      <c r="A215" s="13" t="n">
        <v>214</v>
      </c>
      <c r="B215" s="13" t="s">
        <v>1676</v>
      </c>
      <c r="C215" s="13" t="s">
        <v>33</v>
      </c>
      <c r="D215" s="13" t="s">
        <v>1670</v>
      </c>
      <c r="E215" s="13" t="s">
        <v>1677</v>
      </c>
      <c r="F215" s="13" t="s">
        <v>49</v>
      </c>
      <c r="G215" s="13" t="s">
        <v>1678</v>
      </c>
      <c r="H215" s="13" t="s">
        <v>1594</v>
      </c>
      <c r="I215" s="13" t="s">
        <v>179</v>
      </c>
      <c r="J215" s="13" t="s">
        <v>25</v>
      </c>
      <c r="K215" s="13" t="s">
        <v>1384</v>
      </c>
      <c r="L215" s="13" t="s">
        <v>1429</v>
      </c>
      <c r="M215" s="13" t="s">
        <v>1679</v>
      </c>
      <c r="N215" s="13" t="s">
        <v>102</v>
      </c>
      <c r="O215" s="13"/>
      <c r="P215" s="13"/>
      <c r="Q215" s="13"/>
      <c r="R215" s="13"/>
      <c r="S215" s="13"/>
      <c r="T215" s="13"/>
      <c r="U215" s="13" t="s">
        <v>1032</v>
      </c>
      <c r="V215" s="13" t="s">
        <v>1674</v>
      </c>
      <c r="W215" s="13"/>
      <c r="X215" s="13" t="s">
        <v>202</v>
      </c>
      <c r="Y215" s="13"/>
      <c r="Z215" s="13" t="s">
        <v>1680</v>
      </c>
      <c r="AA215" s="14" t="s">
        <v>190</v>
      </c>
      <c r="AB215" s="15" t="s">
        <v>191</v>
      </c>
      <c r="AC215" s="15"/>
      <c r="AD215" s="15"/>
    </row>
    <row r="216" customFormat="false" ht="32.8" hidden="false" customHeight="false" outlineLevel="0" collapsed="false">
      <c r="A216" s="13" t="n">
        <v>215</v>
      </c>
      <c r="B216" s="13" t="s">
        <v>1681</v>
      </c>
      <c r="C216" s="13" t="s">
        <v>33</v>
      </c>
      <c r="D216" s="13" t="s">
        <v>1682</v>
      </c>
      <c r="E216" s="13" t="s">
        <v>1683</v>
      </c>
      <c r="F216" s="13" t="s">
        <v>49</v>
      </c>
      <c r="G216" s="13" t="s">
        <v>1684</v>
      </c>
      <c r="H216" s="13" t="s">
        <v>1594</v>
      </c>
      <c r="I216" s="13" t="s">
        <v>179</v>
      </c>
      <c r="J216" s="13" t="s">
        <v>24</v>
      </c>
      <c r="K216" s="13" t="s">
        <v>1384</v>
      </c>
      <c r="L216" s="13" t="s">
        <v>1429</v>
      </c>
      <c r="M216" s="13" t="s">
        <v>1685</v>
      </c>
      <c r="N216" s="13" t="s">
        <v>102</v>
      </c>
      <c r="O216" s="13"/>
      <c r="P216" s="13"/>
      <c r="Q216" s="13"/>
      <c r="R216" s="13"/>
      <c r="S216" s="13"/>
      <c r="T216" s="13"/>
      <c r="U216" s="13" t="s">
        <v>492</v>
      </c>
      <c r="V216" s="13" t="s">
        <v>1101</v>
      </c>
      <c r="W216" s="13"/>
      <c r="X216" s="13" t="s">
        <v>202</v>
      </c>
      <c r="Y216" s="13"/>
      <c r="Z216" s="13" t="s">
        <v>1686</v>
      </c>
      <c r="AA216" s="14" t="s">
        <v>190</v>
      </c>
      <c r="AB216" s="15" t="s">
        <v>191</v>
      </c>
      <c r="AC216" s="15"/>
      <c r="AD216" s="15"/>
    </row>
    <row r="217" customFormat="false" ht="32.8" hidden="false" customHeight="false" outlineLevel="0" collapsed="false">
      <c r="A217" s="13" t="n">
        <v>216</v>
      </c>
      <c r="B217" s="13" t="s">
        <v>1687</v>
      </c>
      <c r="C217" s="13" t="s">
        <v>33</v>
      </c>
      <c r="D217" s="13" t="s">
        <v>1682</v>
      </c>
      <c r="E217" s="13" t="s">
        <v>1688</v>
      </c>
      <c r="F217" s="13" t="s">
        <v>49</v>
      </c>
      <c r="G217" s="13" t="s">
        <v>1689</v>
      </c>
      <c r="H217" s="13" t="s">
        <v>1594</v>
      </c>
      <c r="I217" s="13" t="s">
        <v>179</v>
      </c>
      <c r="J217" s="13" t="s">
        <v>25</v>
      </c>
      <c r="K217" s="13" t="s">
        <v>1384</v>
      </c>
      <c r="L217" s="13" t="s">
        <v>1429</v>
      </c>
      <c r="M217" s="13" t="s">
        <v>1690</v>
      </c>
      <c r="N217" s="13" t="s">
        <v>102</v>
      </c>
      <c r="O217" s="13"/>
      <c r="P217" s="13"/>
      <c r="Q217" s="13"/>
      <c r="R217" s="13"/>
      <c r="S217" s="13"/>
      <c r="T217" s="13"/>
      <c r="U217" s="13" t="s">
        <v>492</v>
      </c>
      <c r="V217" s="13" t="s">
        <v>1101</v>
      </c>
      <c r="W217" s="13"/>
      <c r="X217" s="13" t="s">
        <v>202</v>
      </c>
      <c r="Y217" s="13"/>
      <c r="Z217" s="13" t="s">
        <v>1691</v>
      </c>
      <c r="AA217" s="14" t="s">
        <v>190</v>
      </c>
      <c r="AB217" s="15" t="s">
        <v>191</v>
      </c>
      <c r="AC217" s="15"/>
      <c r="AD217" s="15"/>
    </row>
    <row r="218" customFormat="false" ht="32.8" hidden="false" customHeight="false" outlineLevel="0" collapsed="false">
      <c r="A218" s="13" t="n">
        <v>217</v>
      </c>
      <c r="B218" s="13" t="s">
        <v>1692</v>
      </c>
      <c r="C218" s="13" t="s">
        <v>33</v>
      </c>
      <c r="D218" s="13" t="s">
        <v>1682</v>
      </c>
      <c r="E218" s="13" t="s">
        <v>1693</v>
      </c>
      <c r="F218" s="13" t="s">
        <v>49</v>
      </c>
      <c r="G218" s="13" t="s">
        <v>1694</v>
      </c>
      <c r="H218" s="13" t="s">
        <v>1594</v>
      </c>
      <c r="I218" s="13" t="s">
        <v>179</v>
      </c>
      <c r="J218" s="13" t="s">
        <v>25</v>
      </c>
      <c r="K218" s="13" t="s">
        <v>1384</v>
      </c>
      <c r="L218" s="13" t="s">
        <v>1429</v>
      </c>
      <c r="M218" s="13" t="s">
        <v>1695</v>
      </c>
      <c r="N218" s="13" t="s">
        <v>102</v>
      </c>
      <c r="O218" s="13"/>
      <c r="P218" s="13"/>
      <c r="Q218" s="13"/>
      <c r="R218" s="13"/>
      <c r="S218" s="13"/>
      <c r="T218" s="13"/>
      <c r="U218" s="13" t="s">
        <v>492</v>
      </c>
      <c r="V218" s="13" t="s">
        <v>1101</v>
      </c>
      <c r="W218" s="13"/>
      <c r="X218" s="13" t="s">
        <v>202</v>
      </c>
      <c r="Y218" s="13"/>
      <c r="Z218" s="13" t="s">
        <v>1630</v>
      </c>
      <c r="AA218" s="14" t="s">
        <v>190</v>
      </c>
      <c r="AB218" s="15" t="s">
        <v>191</v>
      </c>
      <c r="AC218" s="15"/>
      <c r="AD218" s="15"/>
    </row>
    <row r="219" customFormat="false" ht="32.8" hidden="false" customHeight="false" outlineLevel="0" collapsed="false">
      <c r="A219" s="13" t="n">
        <v>218</v>
      </c>
      <c r="B219" s="13" t="s">
        <v>1696</v>
      </c>
      <c r="C219" s="13" t="s">
        <v>34</v>
      </c>
      <c r="D219" s="13" t="s">
        <v>1697</v>
      </c>
      <c r="E219" s="13" t="s">
        <v>1698</v>
      </c>
      <c r="F219" s="13" t="s">
        <v>48</v>
      </c>
      <c r="G219" s="13" t="s">
        <v>1699</v>
      </c>
      <c r="H219" s="13" t="s">
        <v>196</v>
      </c>
      <c r="I219" s="13" t="s">
        <v>179</v>
      </c>
      <c r="J219" s="13" t="s">
        <v>25</v>
      </c>
      <c r="K219" s="13" t="s">
        <v>180</v>
      </c>
      <c r="L219" s="13" t="s">
        <v>234</v>
      </c>
      <c r="M219" s="13" t="s">
        <v>1700</v>
      </c>
      <c r="N219" s="13"/>
      <c r="O219" s="13"/>
      <c r="P219" s="13"/>
      <c r="Q219" s="13"/>
      <c r="R219" s="13"/>
      <c r="S219" s="13"/>
      <c r="T219" s="13"/>
      <c r="U219" s="13" t="s">
        <v>1466</v>
      </c>
      <c r="V219" s="13" t="s">
        <v>1467</v>
      </c>
      <c r="W219" s="13"/>
      <c r="X219" s="13" t="s">
        <v>202</v>
      </c>
      <c r="Y219" s="13"/>
      <c r="Z219" s="13" t="s">
        <v>1701</v>
      </c>
      <c r="AA219" s="14" t="s">
        <v>190</v>
      </c>
      <c r="AB219" s="15" t="s">
        <v>191</v>
      </c>
      <c r="AC219" s="15"/>
      <c r="AD219" s="15"/>
    </row>
    <row r="220" customFormat="false" ht="32.8" hidden="false" customHeight="false" outlineLevel="0" collapsed="false">
      <c r="A220" s="13" t="n">
        <v>219</v>
      </c>
      <c r="B220" s="13" t="s">
        <v>1702</v>
      </c>
      <c r="C220" s="13" t="s">
        <v>34</v>
      </c>
      <c r="D220" s="13" t="s">
        <v>1697</v>
      </c>
      <c r="E220" s="13" t="s">
        <v>1703</v>
      </c>
      <c r="F220" s="13" t="s">
        <v>48</v>
      </c>
      <c r="G220" s="13" t="s">
        <v>1704</v>
      </c>
      <c r="H220" s="13" t="s">
        <v>196</v>
      </c>
      <c r="I220" s="13" t="s">
        <v>179</v>
      </c>
      <c r="J220" s="13" t="s">
        <v>24</v>
      </c>
      <c r="K220" s="13" t="s">
        <v>180</v>
      </c>
      <c r="L220" s="13" t="s">
        <v>1705</v>
      </c>
      <c r="M220" s="13" t="s">
        <v>1706</v>
      </c>
      <c r="N220" s="13"/>
      <c r="O220" s="13"/>
      <c r="P220" s="13"/>
      <c r="Q220" s="13"/>
      <c r="R220" s="13"/>
      <c r="S220" s="13"/>
      <c r="T220" s="13"/>
      <c r="U220" s="13" t="s">
        <v>1707</v>
      </c>
      <c r="V220" s="13" t="s">
        <v>1708</v>
      </c>
      <c r="W220" s="13" t="s">
        <v>462</v>
      </c>
      <c r="X220" s="13" t="s">
        <v>187</v>
      </c>
      <c r="Y220" s="13" t="s">
        <v>1709</v>
      </c>
      <c r="Z220" s="13" t="s">
        <v>1710</v>
      </c>
      <c r="AA220" s="14" t="s">
        <v>190</v>
      </c>
      <c r="AB220" s="15" t="s">
        <v>191</v>
      </c>
      <c r="AC220" s="15"/>
      <c r="AD220" s="15"/>
    </row>
    <row r="221" customFormat="false" ht="32.8" hidden="false" customHeight="false" outlineLevel="0" collapsed="false">
      <c r="A221" s="13" t="n">
        <v>220</v>
      </c>
      <c r="B221" s="13" t="s">
        <v>1711</v>
      </c>
      <c r="C221" s="13" t="s">
        <v>34</v>
      </c>
      <c r="D221" s="13" t="s">
        <v>1712</v>
      </c>
      <c r="E221" s="13" t="s">
        <v>1713</v>
      </c>
      <c r="F221" s="13" t="s">
        <v>48</v>
      </c>
      <c r="G221" s="13" t="s">
        <v>1714</v>
      </c>
      <c r="H221" s="13" t="s">
        <v>196</v>
      </c>
      <c r="I221" s="13" t="s">
        <v>179</v>
      </c>
      <c r="J221" s="13" t="s">
        <v>25</v>
      </c>
      <c r="K221" s="13" t="s">
        <v>180</v>
      </c>
      <c r="L221" s="13" t="s">
        <v>234</v>
      </c>
      <c r="M221" s="13" t="s">
        <v>1715</v>
      </c>
      <c r="N221" s="13"/>
      <c r="O221" s="13"/>
      <c r="P221" s="13"/>
      <c r="Q221" s="13"/>
      <c r="R221" s="13"/>
      <c r="S221" s="13"/>
      <c r="T221" s="13"/>
      <c r="U221" s="13" t="s">
        <v>1716</v>
      </c>
      <c r="V221" s="13" t="s">
        <v>353</v>
      </c>
      <c r="W221" s="13"/>
      <c r="X221" s="13" t="s">
        <v>187</v>
      </c>
      <c r="Y221" s="13" t="s">
        <v>1717</v>
      </c>
      <c r="Z221" s="13" t="s">
        <v>1718</v>
      </c>
      <c r="AA221" s="14" t="s">
        <v>190</v>
      </c>
      <c r="AB221" s="15" t="s">
        <v>191</v>
      </c>
      <c r="AC221" s="15"/>
      <c r="AD221" s="15"/>
    </row>
    <row r="222" customFormat="false" ht="32.8" hidden="false" customHeight="false" outlineLevel="0" collapsed="false">
      <c r="A222" s="13" t="n">
        <v>221</v>
      </c>
      <c r="B222" s="13" t="s">
        <v>1719</v>
      </c>
      <c r="C222" s="13" t="s">
        <v>34</v>
      </c>
      <c r="D222" s="13" t="s">
        <v>1712</v>
      </c>
      <c r="E222" s="13" t="s">
        <v>1720</v>
      </c>
      <c r="F222" s="13" t="s">
        <v>48</v>
      </c>
      <c r="G222" s="13" t="s">
        <v>1721</v>
      </c>
      <c r="H222" s="13" t="s">
        <v>196</v>
      </c>
      <c r="I222" s="13" t="s">
        <v>253</v>
      </c>
      <c r="J222" s="13" t="s">
        <v>25</v>
      </c>
      <c r="K222" s="13" t="s">
        <v>180</v>
      </c>
      <c r="L222" s="13" t="s">
        <v>234</v>
      </c>
      <c r="M222" s="13" t="s">
        <v>1722</v>
      </c>
      <c r="N222" s="13"/>
      <c r="O222" s="13"/>
      <c r="P222" s="13"/>
      <c r="Q222" s="13"/>
      <c r="R222" s="13"/>
      <c r="S222" s="13"/>
      <c r="T222" s="13"/>
      <c r="U222" s="13" t="s">
        <v>291</v>
      </c>
      <c r="V222" s="13" t="s">
        <v>353</v>
      </c>
      <c r="W222" s="13"/>
      <c r="X222" s="13" t="s">
        <v>187</v>
      </c>
      <c r="Y222" s="13" t="s">
        <v>1723</v>
      </c>
      <c r="Z222" s="13" t="s">
        <v>1724</v>
      </c>
      <c r="AA222" s="14" t="s">
        <v>190</v>
      </c>
      <c r="AB222" s="15" t="s">
        <v>191</v>
      </c>
      <c r="AC222" s="15"/>
      <c r="AD222" s="15"/>
    </row>
    <row r="223" customFormat="false" ht="32.8" hidden="false" customHeight="false" outlineLevel="0" collapsed="false">
      <c r="A223" s="13" t="n">
        <v>222</v>
      </c>
      <c r="B223" s="13" t="s">
        <v>1725</v>
      </c>
      <c r="C223" s="13" t="s">
        <v>34</v>
      </c>
      <c r="D223" s="13" t="s">
        <v>1726</v>
      </c>
      <c r="E223" s="13" t="s">
        <v>1727</v>
      </c>
      <c r="F223" s="13" t="s">
        <v>48</v>
      </c>
      <c r="G223" s="13" t="s">
        <v>1728</v>
      </c>
      <c r="H223" s="13" t="s">
        <v>1729</v>
      </c>
      <c r="I223" s="13" t="s">
        <v>179</v>
      </c>
      <c r="J223" s="13" t="s">
        <v>24</v>
      </c>
      <c r="K223" s="13" t="s">
        <v>180</v>
      </c>
      <c r="L223" s="13" t="s">
        <v>1730</v>
      </c>
      <c r="M223" s="13" t="s">
        <v>1731</v>
      </c>
      <c r="N223" s="13"/>
      <c r="O223" s="13"/>
      <c r="P223" s="13"/>
      <c r="Q223" s="13"/>
      <c r="R223" s="13" t="s">
        <v>112</v>
      </c>
      <c r="S223" s="13"/>
      <c r="T223" s="13"/>
      <c r="U223" s="13" t="s">
        <v>1032</v>
      </c>
      <c r="V223" s="13" t="s">
        <v>1674</v>
      </c>
      <c r="W223" s="13"/>
      <c r="X223" s="13" t="s">
        <v>202</v>
      </c>
      <c r="Y223" s="13"/>
      <c r="Z223" s="13" t="s">
        <v>1732</v>
      </c>
      <c r="AA223" s="14" t="s">
        <v>190</v>
      </c>
      <c r="AB223" s="15" t="s">
        <v>191</v>
      </c>
      <c r="AC223" s="15"/>
      <c r="AD223" s="15"/>
    </row>
    <row r="224" customFormat="false" ht="32.8" hidden="false" customHeight="false" outlineLevel="0" collapsed="false">
      <c r="A224" s="13" t="n">
        <v>223</v>
      </c>
      <c r="B224" s="13" t="s">
        <v>1733</v>
      </c>
      <c r="C224" s="13" t="s">
        <v>34</v>
      </c>
      <c r="D224" s="13" t="s">
        <v>1726</v>
      </c>
      <c r="E224" s="13" t="s">
        <v>1734</v>
      </c>
      <c r="F224" s="13" t="s">
        <v>48</v>
      </c>
      <c r="G224" s="13" t="s">
        <v>1735</v>
      </c>
      <c r="H224" s="13" t="s">
        <v>1729</v>
      </c>
      <c r="I224" s="13" t="s">
        <v>179</v>
      </c>
      <c r="J224" s="13" t="s">
        <v>24</v>
      </c>
      <c r="K224" s="13" t="s">
        <v>180</v>
      </c>
      <c r="L224" s="13" t="s">
        <v>1730</v>
      </c>
      <c r="M224" s="13" t="s">
        <v>1736</v>
      </c>
      <c r="N224" s="13"/>
      <c r="O224" s="13"/>
      <c r="P224" s="13"/>
      <c r="Q224" s="13"/>
      <c r="R224" s="13" t="s">
        <v>112</v>
      </c>
      <c r="S224" s="13"/>
      <c r="T224" s="13"/>
      <c r="U224" s="13" t="s">
        <v>877</v>
      </c>
      <c r="V224" s="13" t="s">
        <v>878</v>
      </c>
      <c r="W224" s="13"/>
      <c r="X224" s="13" t="s">
        <v>187</v>
      </c>
      <c r="Y224" s="13" t="s">
        <v>1737</v>
      </c>
      <c r="Z224" s="13" t="s">
        <v>1738</v>
      </c>
      <c r="AA224" s="14" t="s">
        <v>190</v>
      </c>
      <c r="AB224" s="15" t="s">
        <v>191</v>
      </c>
      <c r="AC224" s="15"/>
      <c r="AD224" s="15"/>
    </row>
    <row r="225" customFormat="false" ht="32.8" hidden="false" customHeight="false" outlineLevel="0" collapsed="false">
      <c r="A225" s="13" t="n">
        <v>224</v>
      </c>
      <c r="B225" s="13" t="s">
        <v>1739</v>
      </c>
      <c r="C225" s="13" t="s">
        <v>34</v>
      </c>
      <c r="D225" s="13" t="s">
        <v>1726</v>
      </c>
      <c r="E225" s="13" t="s">
        <v>1740</v>
      </c>
      <c r="F225" s="13" t="s">
        <v>48</v>
      </c>
      <c r="G225" s="13" t="s">
        <v>1741</v>
      </c>
      <c r="H225" s="13" t="s">
        <v>1729</v>
      </c>
      <c r="I225" s="13" t="s">
        <v>253</v>
      </c>
      <c r="J225" s="13" t="s">
        <v>25</v>
      </c>
      <c r="K225" s="13" t="s">
        <v>180</v>
      </c>
      <c r="L225" s="13" t="s">
        <v>1730</v>
      </c>
      <c r="M225" s="13" t="s">
        <v>1742</v>
      </c>
      <c r="N225" s="13"/>
      <c r="O225" s="13"/>
      <c r="P225" s="13"/>
      <c r="Q225" s="13"/>
      <c r="R225" s="13" t="s">
        <v>112</v>
      </c>
      <c r="S225" s="13"/>
      <c r="T225" s="13"/>
      <c r="U225" s="13" t="s">
        <v>877</v>
      </c>
      <c r="V225" s="13" t="s">
        <v>1743</v>
      </c>
      <c r="W225" s="13"/>
      <c r="X225" s="13" t="s">
        <v>202</v>
      </c>
      <c r="Y225" s="13"/>
      <c r="Z225" s="13" t="s">
        <v>1744</v>
      </c>
      <c r="AA225" s="14" t="s">
        <v>190</v>
      </c>
      <c r="AB225" s="15" t="s">
        <v>191</v>
      </c>
      <c r="AC225" s="15"/>
      <c r="AD225" s="15"/>
    </row>
    <row r="226" customFormat="false" ht="32.8" hidden="false" customHeight="false" outlineLevel="0" collapsed="false">
      <c r="A226" s="13" t="n">
        <v>225</v>
      </c>
      <c r="B226" s="13" t="s">
        <v>1745</v>
      </c>
      <c r="C226" s="13" t="s">
        <v>34</v>
      </c>
      <c r="D226" s="13" t="s">
        <v>1746</v>
      </c>
      <c r="E226" s="13" t="s">
        <v>1747</v>
      </c>
      <c r="F226" s="13" t="s">
        <v>48</v>
      </c>
      <c r="G226" s="13" t="s">
        <v>1748</v>
      </c>
      <c r="H226" s="13" t="s">
        <v>1729</v>
      </c>
      <c r="I226" s="13" t="s">
        <v>179</v>
      </c>
      <c r="J226" s="13" t="s">
        <v>24</v>
      </c>
      <c r="K226" s="13" t="s">
        <v>180</v>
      </c>
      <c r="L226" s="13" t="s">
        <v>1730</v>
      </c>
      <c r="M226" s="13" t="s">
        <v>1749</v>
      </c>
      <c r="N226" s="13"/>
      <c r="O226" s="13"/>
      <c r="P226" s="13"/>
      <c r="Q226" s="13"/>
      <c r="R226" s="13" t="s">
        <v>111</v>
      </c>
      <c r="S226" s="13"/>
      <c r="T226" s="13"/>
      <c r="U226" s="13" t="s">
        <v>1032</v>
      </c>
      <c r="V226" s="13" t="s">
        <v>1674</v>
      </c>
      <c r="W226" s="13"/>
      <c r="X226" s="13" t="s">
        <v>202</v>
      </c>
      <c r="Y226" s="13"/>
      <c r="Z226" s="13" t="s">
        <v>1750</v>
      </c>
      <c r="AA226" s="14" t="s">
        <v>190</v>
      </c>
      <c r="AB226" s="15" t="s">
        <v>191</v>
      </c>
      <c r="AC226" s="15"/>
      <c r="AD226" s="15"/>
    </row>
    <row r="227" customFormat="false" ht="32.8" hidden="false" customHeight="false" outlineLevel="0" collapsed="false">
      <c r="A227" s="13" t="n">
        <v>226</v>
      </c>
      <c r="B227" s="13" t="s">
        <v>1751</v>
      </c>
      <c r="C227" s="13" t="s">
        <v>34</v>
      </c>
      <c r="D227" s="13" t="s">
        <v>1746</v>
      </c>
      <c r="E227" s="13" t="s">
        <v>1752</v>
      </c>
      <c r="F227" s="13" t="s">
        <v>48</v>
      </c>
      <c r="G227" s="13" t="s">
        <v>1753</v>
      </c>
      <c r="H227" s="13" t="s">
        <v>1729</v>
      </c>
      <c r="I227" s="13" t="s">
        <v>179</v>
      </c>
      <c r="J227" s="13" t="s">
        <v>24</v>
      </c>
      <c r="K227" s="13" t="s">
        <v>180</v>
      </c>
      <c r="L227" s="13" t="s">
        <v>1754</v>
      </c>
      <c r="M227" s="13" t="s">
        <v>1755</v>
      </c>
      <c r="N227" s="13"/>
      <c r="O227" s="13"/>
      <c r="P227" s="13"/>
      <c r="Q227" s="13"/>
      <c r="R227" s="13" t="s">
        <v>112</v>
      </c>
      <c r="S227" s="13" t="s">
        <v>132</v>
      </c>
      <c r="T227" s="13"/>
      <c r="U227" s="13" t="s">
        <v>1756</v>
      </c>
      <c r="V227" s="13" t="s">
        <v>1743</v>
      </c>
      <c r="W227" s="13"/>
      <c r="X227" s="13" t="s">
        <v>202</v>
      </c>
      <c r="Y227" s="13"/>
      <c r="Z227" s="13" t="s">
        <v>1757</v>
      </c>
      <c r="AA227" s="14" t="s">
        <v>190</v>
      </c>
      <c r="AB227" s="15" t="s">
        <v>191</v>
      </c>
      <c r="AC227" s="15"/>
      <c r="AD227" s="15"/>
    </row>
    <row r="228" customFormat="false" ht="32.8" hidden="false" customHeight="false" outlineLevel="0" collapsed="false">
      <c r="A228" s="13" t="n">
        <v>227</v>
      </c>
      <c r="B228" s="13" t="s">
        <v>1758</v>
      </c>
      <c r="C228" s="13" t="s">
        <v>34</v>
      </c>
      <c r="D228" s="13" t="s">
        <v>1746</v>
      </c>
      <c r="E228" s="13" t="s">
        <v>1759</v>
      </c>
      <c r="F228" s="13" t="s">
        <v>48</v>
      </c>
      <c r="G228" s="13" t="s">
        <v>1760</v>
      </c>
      <c r="H228" s="13" t="s">
        <v>1729</v>
      </c>
      <c r="I228" s="13" t="s">
        <v>179</v>
      </c>
      <c r="J228" s="13" t="s">
        <v>23</v>
      </c>
      <c r="K228" s="13" t="s">
        <v>180</v>
      </c>
      <c r="L228" s="13" t="s">
        <v>1730</v>
      </c>
      <c r="M228" s="13" t="s">
        <v>1761</v>
      </c>
      <c r="N228" s="13"/>
      <c r="O228" s="13"/>
      <c r="P228" s="13"/>
      <c r="Q228" s="13"/>
      <c r="R228" s="13" t="s">
        <v>111</v>
      </c>
      <c r="S228" s="13"/>
      <c r="T228" s="13"/>
      <c r="U228" s="13" t="s">
        <v>1024</v>
      </c>
      <c r="V228" s="13" t="s">
        <v>1762</v>
      </c>
      <c r="W228" s="13"/>
      <c r="X228" s="13" t="s">
        <v>202</v>
      </c>
      <c r="Y228" s="13"/>
      <c r="Z228" s="13" t="s">
        <v>1763</v>
      </c>
      <c r="AA228" s="14" t="s">
        <v>190</v>
      </c>
      <c r="AB228" s="15" t="s">
        <v>191</v>
      </c>
      <c r="AC228" s="15"/>
      <c r="AD228" s="15"/>
    </row>
    <row r="229" customFormat="false" ht="32.8" hidden="false" customHeight="false" outlineLevel="0" collapsed="false">
      <c r="A229" s="13" t="n">
        <v>228</v>
      </c>
      <c r="B229" s="13" t="s">
        <v>1764</v>
      </c>
      <c r="C229" s="13" t="s">
        <v>34</v>
      </c>
      <c r="D229" s="13" t="s">
        <v>1746</v>
      </c>
      <c r="E229" s="13" t="s">
        <v>1765</v>
      </c>
      <c r="F229" s="13" t="s">
        <v>48</v>
      </c>
      <c r="G229" s="13" t="s">
        <v>1766</v>
      </c>
      <c r="H229" s="13" t="s">
        <v>1729</v>
      </c>
      <c r="I229" s="13" t="s">
        <v>179</v>
      </c>
      <c r="J229" s="13" t="s">
        <v>24</v>
      </c>
      <c r="K229" s="13" t="s">
        <v>180</v>
      </c>
      <c r="L229" s="13" t="s">
        <v>1730</v>
      </c>
      <c r="M229" s="13" t="s">
        <v>1767</v>
      </c>
      <c r="N229" s="13"/>
      <c r="O229" s="13"/>
      <c r="P229" s="13"/>
      <c r="Q229" s="13"/>
      <c r="R229" s="13" t="s">
        <v>112</v>
      </c>
      <c r="S229" s="13"/>
      <c r="T229" s="13"/>
      <c r="U229" s="13" t="s">
        <v>1768</v>
      </c>
      <c r="V229" s="13" t="s">
        <v>1762</v>
      </c>
      <c r="W229" s="13"/>
      <c r="X229" s="13" t="s">
        <v>202</v>
      </c>
      <c r="Y229" s="13"/>
      <c r="Z229" s="13" t="s">
        <v>1769</v>
      </c>
      <c r="AA229" s="14" t="s">
        <v>190</v>
      </c>
      <c r="AB229" s="15" t="s">
        <v>191</v>
      </c>
      <c r="AC229" s="15"/>
      <c r="AD229" s="15"/>
    </row>
    <row r="230" customFormat="false" ht="32.8" hidden="false" customHeight="false" outlineLevel="0" collapsed="false">
      <c r="A230" s="13" t="n">
        <v>229</v>
      </c>
      <c r="B230" s="13" t="s">
        <v>1770</v>
      </c>
      <c r="C230" s="13" t="s">
        <v>34</v>
      </c>
      <c r="D230" s="13" t="s">
        <v>1771</v>
      </c>
      <c r="E230" s="13" t="s">
        <v>1772</v>
      </c>
      <c r="F230" s="13" t="s">
        <v>48</v>
      </c>
      <c r="G230" s="13" t="s">
        <v>1773</v>
      </c>
      <c r="H230" s="13" t="s">
        <v>1729</v>
      </c>
      <c r="I230" s="13" t="s">
        <v>179</v>
      </c>
      <c r="J230" s="13" t="s">
        <v>25</v>
      </c>
      <c r="K230" s="13" t="s">
        <v>180</v>
      </c>
      <c r="L230" s="13" t="s">
        <v>241</v>
      </c>
      <c r="M230" s="13" t="s">
        <v>1774</v>
      </c>
      <c r="N230" s="13"/>
      <c r="O230" s="13"/>
      <c r="P230" s="13"/>
      <c r="Q230" s="13"/>
      <c r="R230" s="13" t="s">
        <v>111</v>
      </c>
      <c r="S230" s="13"/>
      <c r="T230" s="13" t="s">
        <v>683</v>
      </c>
      <c r="U230" s="13" t="s">
        <v>684</v>
      </c>
      <c r="V230" s="13" t="s">
        <v>1221</v>
      </c>
      <c r="W230" s="13"/>
      <c r="X230" s="13" t="s">
        <v>202</v>
      </c>
      <c r="Y230" s="13"/>
      <c r="Z230" s="13" t="s">
        <v>1775</v>
      </c>
      <c r="AA230" s="14" t="s">
        <v>190</v>
      </c>
      <c r="AB230" s="15" t="s">
        <v>191</v>
      </c>
      <c r="AC230" s="15"/>
      <c r="AD230" s="15"/>
    </row>
    <row r="231" customFormat="false" ht="32.8" hidden="false" customHeight="false" outlineLevel="0" collapsed="false">
      <c r="A231" s="13" t="n">
        <v>230</v>
      </c>
      <c r="B231" s="13" t="s">
        <v>1776</v>
      </c>
      <c r="C231" s="13" t="s">
        <v>34</v>
      </c>
      <c r="D231" s="13" t="s">
        <v>1771</v>
      </c>
      <c r="E231" s="13" t="s">
        <v>1777</v>
      </c>
      <c r="F231" s="13" t="s">
        <v>48</v>
      </c>
      <c r="G231" s="13" t="s">
        <v>1778</v>
      </c>
      <c r="H231" s="13" t="s">
        <v>1729</v>
      </c>
      <c r="I231" s="13" t="s">
        <v>253</v>
      </c>
      <c r="J231" s="13" t="s">
        <v>25</v>
      </c>
      <c r="K231" s="13" t="s">
        <v>180</v>
      </c>
      <c r="L231" s="13" t="s">
        <v>241</v>
      </c>
      <c r="M231" s="13" t="s">
        <v>1779</v>
      </c>
      <c r="N231" s="13"/>
      <c r="O231" s="13"/>
      <c r="P231" s="13"/>
      <c r="Q231" s="13"/>
      <c r="R231" s="13" t="s">
        <v>111</v>
      </c>
      <c r="S231" s="13"/>
      <c r="T231" s="13" t="s">
        <v>683</v>
      </c>
      <c r="U231" s="13" t="s">
        <v>1032</v>
      </c>
      <c r="V231" s="13" t="s">
        <v>1221</v>
      </c>
      <c r="W231" s="13"/>
      <c r="X231" s="13" t="s">
        <v>202</v>
      </c>
      <c r="Y231" s="13"/>
      <c r="Z231" s="13" t="s">
        <v>1780</v>
      </c>
      <c r="AA231" s="14" t="s">
        <v>190</v>
      </c>
      <c r="AB231" s="15" t="s">
        <v>191</v>
      </c>
      <c r="AC231" s="15"/>
      <c r="AD231" s="15"/>
    </row>
    <row r="232" customFormat="false" ht="32.8" hidden="false" customHeight="false" outlineLevel="0" collapsed="false">
      <c r="A232" s="13" t="n">
        <v>231</v>
      </c>
      <c r="B232" s="13" t="s">
        <v>1781</v>
      </c>
      <c r="C232" s="13" t="s">
        <v>34</v>
      </c>
      <c r="D232" s="13" t="s">
        <v>1771</v>
      </c>
      <c r="E232" s="13" t="s">
        <v>1782</v>
      </c>
      <c r="F232" s="13" t="s">
        <v>48</v>
      </c>
      <c r="G232" s="13" t="s">
        <v>1783</v>
      </c>
      <c r="H232" s="13" t="s">
        <v>1729</v>
      </c>
      <c r="I232" s="13" t="s">
        <v>253</v>
      </c>
      <c r="J232" s="13" t="s">
        <v>26</v>
      </c>
      <c r="K232" s="13" t="s">
        <v>180</v>
      </c>
      <c r="L232" s="13" t="s">
        <v>241</v>
      </c>
      <c r="M232" s="13" t="s">
        <v>1784</v>
      </c>
      <c r="N232" s="13"/>
      <c r="O232" s="13"/>
      <c r="P232" s="13"/>
      <c r="Q232" s="13"/>
      <c r="R232" s="13" t="s">
        <v>111</v>
      </c>
      <c r="S232" s="13"/>
      <c r="T232" s="13" t="s">
        <v>683</v>
      </c>
      <c r="U232" s="13" t="s">
        <v>1785</v>
      </c>
      <c r="V232" s="13" t="s">
        <v>1221</v>
      </c>
      <c r="W232" s="13"/>
      <c r="X232" s="13" t="s">
        <v>202</v>
      </c>
      <c r="Y232" s="13"/>
      <c r="Z232" s="13" t="s">
        <v>1786</v>
      </c>
      <c r="AA232" s="14" t="s">
        <v>190</v>
      </c>
      <c r="AB232" s="15" t="s">
        <v>191</v>
      </c>
      <c r="AC232" s="15"/>
      <c r="AD232" s="15"/>
    </row>
    <row r="233" customFormat="false" ht="32.8" hidden="false" customHeight="false" outlineLevel="0" collapsed="false">
      <c r="A233" s="13" t="n">
        <v>232</v>
      </c>
      <c r="B233" s="13" t="s">
        <v>1787</v>
      </c>
      <c r="C233" s="13" t="s">
        <v>34</v>
      </c>
      <c r="D233" s="13" t="s">
        <v>1788</v>
      </c>
      <c r="E233" s="13" t="s">
        <v>1789</v>
      </c>
      <c r="F233" s="13" t="s">
        <v>48</v>
      </c>
      <c r="G233" s="13" t="s">
        <v>1790</v>
      </c>
      <c r="H233" s="13" t="s">
        <v>1729</v>
      </c>
      <c r="I233" s="13" t="s">
        <v>1791</v>
      </c>
      <c r="J233" s="13" t="s">
        <v>23</v>
      </c>
      <c r="K233" s="13" t="s">
        <v>180</v>
      </c>
      <c r="L233" s="13" t="s">
        <v>234</v>
      </c>
      <c r="M233" s="13" t="s">
        <v>1792</v>
      </c>
      <c r="N233" s="13"/>
      <c r="O233" s="13"/>
      <c r="P233" s="13"/>
      <c r="Q233" s="13"/>
      <c r="R233" s="13"/>
      <c r="S233" s="13"/>
      <c r="T233" s="13"/>
      <c r="U233" s="13" t="s">
        <v>1793</v>
      </c>
      <c r="V233" s="13" t="s">
        <v>185</v>
      </c>
      <c r="W233" s="13"/>
      <c r="X233" s="13" t="s">
        <v>187</v>
      </c>
      <c r="Y233" s="13" t="s">
        <v>1794</v>
      </c>
      <c r="Z233" s="13" t="s">
        <v>1795</v>
      </c>
      <c r="AA233" s="14" t="s">
        <v>190</v>
      </c>
      <c r="AB233" s="15" t="s">
        <v>191</v>
      </c>
      <c r="AC233" s="15"/>
      <c r="AD233" s="15"/>
    </row>
    <row r="234" customFormat="false" ht="32.8" hidden="false" customHeight="false" outlineLevel="0" collapsed="false">
      <c r="A234" s="13" t="n">
        <v>233</v>
      </c>
      <c r="B234" s="13" t="s">
        <v>1796</v>
      </c>
      <c r="C234" s="13" t="s">
        <v>34</v>
      </c>
      <c r="D234" s="13" t="s">
        <v>1797</v>
      </c>
      <c r="E234" s="13" t="s">
        <v>1798</v>
      </c>
      <c r="F234" s="13" t="s">
        <v>48</v>
      </c>
      <c r="G234" s="13" t="s">
        <v>1799</v>
      </c>
      <c r="H234" s="13" t="s">
        <v>1800</v>
      </c>
      <c r="I234" s="13" t="s">
        <v>253</v>
      </c>
      <c r="J234" s="13" t="s">
        <v>25</v>
      </c>
      <c r="K234" s="13" t="s">
        <v>180</v>
      </c>
      <c r="L234" s="13" t="s">
        <v>197</v>
      </c>
      <c r="M234" s="13" t="s">
        <v>1801</v>
      </c>
      <c r="N234" s="13"/>
      <c r="O234" s="13"/>
      <c r="P234" s="13"/>
      <c r="Q234" s="13"/>
      <c r="R234" s="13" t="s">
        <v>111</v>
      </c>
      <c r="S234" s="13"/>
      <c r="T234" s="13"/>
      <c r="U234" s="13" t="s">
        <v>1024</v>
      </c>
      <c r="V234" s="13" t="s">
        <v>1762</v>
      </c>
      <c r="W234" s="13" t="s">
        <v>1802</v>
      </c>
      <c r="X234" s="13" t="s">
        <v>202</v>
      </c>
      <c r="Y234" s="13"/>
      <c r="Z234" s="13" t="s">
        <v>1803</v>
      </c>
      <c r="AA234" s="14" t="s">
        <v>190</v>
      </c>
      <c r="AB234" s="15" t="s">
        <v>191</v>
      </c>
      <c r="AC234" s="15"/>
      <c r="AD234" s="15"/>
    </row>
    <row r="235" customFormat="false" ht="32.8" hidden="false" customHeight="false" outlineLevel="0" collapsed="false">
      <c r="A235" s="13" t="n">
        <v>234</v>
      </c>
      <c r="B235" s="13" t="s">
        <v>1804</v>
      </c>
      <c r="C235" s="13" t="s">
        <v>34</v>
      </c>
      <c r="D235" s="13" t="s">
        <v>1797</v>
      </c>
      <c r="E235" s="13" t="s">
        <v>1805</v>
      </c>
      <c r="F235" s="13" t="s">
        <v>48</v>
      </c>
      <c r="G235" s="13" t="s">
        <v>1806</v>
      </c>
      <c r="H235" s="13" t="s">
        <v>1800</v>
      </c>
      <c r="I235" s="13" t="s">
        <v>841</v>
      </c>
      <c r="J235" s="13" t="s">
        <v>24</v>
      </c>
      <c r="K235" s="13" t="s">
        <v>180</v>
      </c>
      <c r="L235" s="13" t="s">
        <v>197</v>
      </c>
      <c r="M235" s="13" t="s">
        <v>1807</v>
      </c>
      <c r="N235" s="13"/>
      <c r="O235" s="13"/>
      <c r="P235" s="13"/>
      <c r="Q235" s="13"/>
      <c r="R235" s="13" t="s">
        <v>111</v>
      </c>
      <c r="S235" s="13"/>
      <c r="T235" s="13"/>
      <c r="U235" s="13" t="s">
        <v>1024</v>
      </c>
      <c r="V235" s="13" t="s">
        <v>1762</v>
      </c>
      <c r="W235" s="13" t="s">
        <v>1802</v>
      </c>
      <c r="X235" s="13" t="s">
        <v>202</v>
      </c>
      <c r="Y235" s="13"/>
      <c r="Z235" s="13" t="s">
        <v>1808</v>
      </c>
      <c r="AA235" s="14" t="s">
        <v>190</v>
      </c>
      <c r="AB235" s="15" t="s">
        <v>191</v>
      </c>
      <c r="AC235" s="15"/>
      <c r="AD235" s="15"/>
    </row>
    <row r="236" customFormat="false" ht="32.8" hidden="false" customHeight="false" outlineLevel="0" collapsed="false">
      <c r="A236" s="13" t="n">
        <v>235</v>
      </c>
      <c r="B236" s="13" t="s">
        <v>1809</v>
      </c>
      <c r="C236" s="13" t="s">
        <v>34</v>
      </c>
      <c r="D236" s="13" t="s">
        <v>1810</v>
      </c>
      <c r="E236" s="13" t="s">
        <v>1811</v>
      </c>
      <c r="F236" s="13" t="s">
        <v>48</v>
      </c>
      <c r="G236" s="13" t="s">
        <v>1812</v>
      </c>
      <c r="H236" s="13" t="s">
        <v>1800</v>
      </c>
      <c r="I236" s="13" t="s">
        <v>179</v>
      </c>
      <c r="J236" s="13" t="s">
        <v>24</v>
      </c>
      <c r="K236" s="13" t="s">
        <v>180</v>
      </c>
      <c r="L236" s="13" t="s">
        <v>241</v>
      </c>
      <c r="M236" s="13" t="s">
        <v>1813</v>
      </c>
      <c r="N236" s="13"/>
      <c r="O236" s="13"/>
      <c r="P236" s="13"/>
      <c r="Q236" s="13"/>
      <c r="R236" s="13" t="s">
        <v>106</v>
      </c>
      <c r="S236" s="13"/>
      <c r="T236" s="13" t="s">
        <v>1814</v>
      </c>
      <c r="U236" s="13" t="s">
        <v>1815</v>
      </c>
      <c r="V236" s="13" t="s">
        <v>461</v>
      </c>
      <c r="W236" s="13"/>
      <c r="X236" s="13" t="s">
        <v>202</v>
      </c>
      <c r="Y236" s="13"/>
      <c r="Z236" s="13" t="s">
        <v>1816</v>
      </c>
      <c r="AA236" s="14" t="s">
        <v>190</v>
      </c>
      <c r="AB236" s="15" t="s">
        <v>191</v>
      </c>
      <c r="AC236" s="15"/>
      <c r="AD236" s="15"/>
    </row>
    <row r="237" customFormat="false" ht="32.8" hidden="false" customHeight="false" outlineLevel="0" collapsed="false">
      <c r="A237" s="13" t="n">
        <v>236</v>
      </c>
      <c r="B237" s="13" t="s">
        <v>1817</v>
      </c>
      <c r="C237" s="13" t="s">
        <v>34</v>
      </c>
      <c r="D237" s="13" t="s">
        <v>1810</v>
      </c>
      <c r="E237" s="13" t="s">
        <v>1818</v>
      </c>
      <c r="F237" s="13" t="s">
        <v>48</v>
      </c>
      <c r="G237" s="13" t="s">
        <v>1819</v>
      </c>
      <c r="H237" s="13" t="s">
        <v>1800</v>
      </c>
      <c r="I237" s="13" t="s">
        <v>179</v>
      </c>
      <c r="J237" s="13" t="s">
        <v>25</v>
      </c>
      <c r="K237" s="13" t="s">
        <v>180</v>
      </c>
      <c r="L237" s="13" t="s">
        <v>241</v>
      </c>
      <c r="M237" s="13" t="s">
        <v>1820</v>
      </c>
      <c r="N237" s="13"/>
      <c r="O237" s="13"/>
      <c r="P237" s="13"/>
      <c r="Q237" s="13"/>
      <c r="R237" s="13" t="s">
        <v>106</v>
      </c>
      <c r="S237" s="13"/>
      <c r="T237" s="13" t="s">
        <v>1814</v>
      </c>
      <c r="U237" s="13" t="s">
        <v>1821</v>
      </c>
      <c r="V237" s="13" t="s">
        <v>461</v>
      </c>
      <c r="W237" s="13"/>
      <c r="X237" s="13" t="s">
        <v>202</v>
      </c>
      <c r="Y237" s="13"/>
      <c r="Z237" s="13" t="s">
        <v>1822</v>
      </c>
      <c r="AA237" s="14" t="s">
        <v>190</v>
      </c>
      <c r="AB237" s="15" t="s">
        <v>191</v>
      </c>
      <c r="AC237" s="15"/>
      <c r="AD237" s="15"/>
    </row>
    <row r="238" customFormat="false" ht="32.8" hidden="false" customHeight="false" outlineLevel="0" collapsed="false">
      <c r="A238" s="13" t="n">
        <v>237</v>
      </c>
      <c r="B238" s="13" t="s">
        <v>1823</v>
      </c>
      <c r="C238" s="13" t="s">
        <v>34</v>
      </c>
      <c r="D238" s="13" t="s">
        <v>1810</v>
      </c>
      <c r="E238" s="13" t="s">
        <v>1824</v>
      </c>
      <c r="F238" s="13" t="s">
        <v>48</v>
      </c>
      <c r="G238" s="13" t="s">
        <v>1825</v>
      </c>
      <c r="H238" s="13" t="s">
        <v>1800</v>
      </c>
      <c r="I238" s="13" t="s">
        <v>253</v>
      </c>
      <c r="J238" s="13" t="s">
        <v>25</v>
      </c>
      <c r="K238" s="13" t="s">
        <v>180</v>
      </c>
      <c r="L238" s="13" t="s">
        <v>1730</v>
      </c>
      <c r="M238" s="13" t="s">
        <v>1826</v>
      </c>
      <c r="N238" s="13"/>
      <c r="O238" s="13"/>
      <c r="P238" s="13"/>
      <c r="Q238" s="13"/>
      <c r="R238" s="13" t="s">
        <v>106</v>
      </c>
      <c r="S238" s="13"/>
      <c r="T238" s="13"/>
      <c r="U238" s="13" t="s">
        <v>1827</v>
      </c>
      <c r="V238" s="13" t="s">
        <v>353</v>
      </c>
      <c r="W238" s="13"/>
      <c r="X238" s="13" t="s">
        <v>202</v>
      </c>
      <c r="Y238" s="13"/>
      <c r="Z238" s="13" t="s">
        <v>1828</v>
      </c>
      <c r="AA238" s="14" t="s">
        <v>190</v>
      </c>
      <c r="AB238" s="15" t="s">
        <v>191</v>
      </c>
      <c r="AC238" s="15"/>
      <c r="AD238" s="15"/>
    </row>
    <row r="239" customFormat="false" ht="32.8" hidden="false" customHeight="false" outlineLevel="0" collapsed="false">
      <c r="A239" s="13" t="n">
        <v>238</v>
      </c>
      <c r="B239" s="13" t="s">
        <v>1829</v>
      </c>
      <c r="C239" s="13" t="s">
        <v>34</v>
      </c>
      <c r="D239" s="13" t="s">
        <v>1810</v>
      </c>
      <c r="E239" s="13" t="s">
        <v>1830</v>
      </c>
      <c r="F239" s="13" t="s">
        <v>48</v>
      </c>
      <c r="G239" s="13" t="s">
        <v>1831</v>
      </c>
      <c r="H239" s="13" t="s">
        <v>1800</v>
      </c>
      <c r="I239" s="13" t="s">
        <v>253</v>
      </c>
      <c r="J239" s="13" t="s">
        <v>26</v>
      </c>
      <c r="K239" s="13" t="s">
        <v>180</v>
      </c>
      <c r="L239" s="13" t="s">
        <v>1730</v>
      </c>
      <c r="M239" s="13" t="s">
        <v>1832</v>
      </c>
      <c r="N239" s="13"/>
      <c r="O239" s="13"/>
      <c r="P239" s="13"/>
      <c r="Q239" s="13"/>
      <c r="R239" s="13" t="s">
        <v>106</v>
      </c>
      <c r="S239" s="13"/>
      <c r="T239" s="13"/>
      <c r="U239" s="13" t="s">
        <v>1827</v>
      </c>
      <c r="V239" s="13" t="s">
        <v>353</v>
      </c>
      <c r="W239" s="13"/>
      <c r="X239" s="13" t="s">
        <v>202</v>
      </c>
      <c r="Y239" s="13"/>
      <c r="Z239" s="13" t="s">
        <v>1833</v>
      </c>
      <c r="AA239" s="14" t="s">
        <v>190</v>
      </c>
      <c r="AB239" s="15" t="s">
        <v>191</v>
      </c>
      <c r="AC239" s="15"/>
      <c r="AD239" s="15"/>
    </row>
    <row r="240" customFormat="false" ht="32.8" hidden="false" customHeight="false" outlineLevel="0" collapsed="false">
      <c r="A240" s="13" t="n">
        <v>239</v>
      </c>
      <c r="B240" s="13" t="s">
        <v>1834</v>
      </c>
      <c r="C240" s="13" t="s">
        <v>34</v>
      </c>
      <c r="D240" s="13" t="s">
        <v>1835</v>
      </c>
      <c r="E240" s="13" t="s">
        <v>1836</v>
      </c>
      <c r="F240" s="13" t="s">
        <v>48</v>
      </c>
      <c r="G240" s="13" t="s">
        <v>1837</v>
      </c>
      <c r="H240" s="13" t="s">
        <v>1800</v>
      </c>
      <c r="I240" s="13" t="s">
        <v>179</v>
      </c>
      <c r="J240" s="13" t="s">
        <v>24</v>
      </c>
      <c r="K240" s="13" t="s">
        <v>180</v>
      </c>
      <c r="L240" s="13" t="s">
        <v>1730</v>
      </c>
      <c r="M240" s="13" t="s">
        <v>1838</v>
      </c>
      <c r="N240" s="13"/>
      <c r="O240" s="13"/>
      <c r="P240" s="13"/>
      <c r="Q240" s="13"/>
      <c r="R240" s="13" t="s">
        <v>111</v>
      </c>
      <c r="S240" s="13"/>
      <c r="T240" s="13"/>
      <c r="U240" s="13" t="s">
        <v>1332</v>
      </c>
      <c r="V240" s="13" t="s">
        <v>1839</v>
      </c>
      <c r="W240" s="13"/>
      <c r="X240" s="13" t="s">
        <v>202</v>
      </c>
      <c r="Y240" s="13"/>
      <c r="Z240" s="13" t="s">
        <v>1840</v>
      </c>
      <c r="AA240" s="14" t="s">
        <v>190</v>
      </c>
      <c r="AB240" s="15" t="s">
        <v>191</v>
      </c>
      <c r="AC240" s="15"/>
      <c r="AD240" s="15"/>
    </row>
    <row r="241" customFormat="false" ht="32.8" hidden="false" customHeight="false" outlineLevel="0" collapsed="false">
      <c r="A241" s="13" t="n">
        <v>240</v>
      </c>
      <c r="B241" s="13" t="s">
        <v>1841</v>
      </c>
      <c r="C241" s="13" t="s">
        <v>34</v>
      </c>
      <c r="D241" s="13" t="s">
        <v>1835</v>
      </c>
      <c r="E241" s="13" t="s">
        <v>1842</v>
      </c>
      <c r="F241" s="13" t="s">
        <v>48</v>
      </c>
      <c r="G241" s="13" t="s">
        <v>1843</v>
      </c>
      <c r="H241" s="13" t="s">
        <v>1800</v>
      </c>
      <c r="I241" s="13" t="s">
        <v>179</v>
      </c>
      <c r="J241" s="13" t="s">
        <v>25</v>
      </c>
      <c r="K241" s="13" t="s">
        <v>180</v>
      </c>
      <c r="L241" s="13" t="s">
        <v>1730</v>
      </c>
      <c r="M241" s="13" t="s">
        <v>1844</v>
      </c>
      <c r="N241" s="13"/>
      <c r="O241" s="13"/>
      <c r="P241" s="13"/>
      <c r="Q241" s="13"/>
      <c r="R241" s="13" t="s">
        <v>111</v>
      </c>
      <c r="S241" s="13"/>
      <c r="T241" s="13"/>
      <c r="U241" s="13" t="s">
        <v>1332</v>
      </c>
      <c r="V241" s="13" t="s">
        <v>1839</v>
      </c>
      <c r="W241" s="13"/>
      <c r="X241" s="13" t="s">
        <v>202</v>
      </c>
      <c r="Y241" s="13"/>
      <c r="Z241" s="13" t="s">
        <v>1845</v>
      </c>
      <c r="AA241" s="14" t="s">
        <v>190</v>
      </c>
      <c r="AB241" s="15" t="s">
        <v>191</v>
      </c>
      <c r="AC241" s="15"/>
      <c r="AD241" s="15"/>
    </row>
    <row r="242" customFormat="false" ht="32.8" hidden="false" customHeight="false" outlineLevel="0" collapsed="false">
      <c r="A242" s="13" t="n">
        <v>241</v>
      </c>
      <c r="B242" s="13" t="s">
        <v>1846</v>
      </c>
      <c r="C242" s="13" t="s">
        <v>34</v>
      </c>
      <c r="D242" s="13" t="s">
        <v>430</v>
      </c>
      <c r="E242" s="13" t="s">
        <v>1847</v>
      </c>
      <c r="F242" s="13" t="s">
        <v>48</v>
      </c>
      <c r="G242" s="13" t="s">
        <v>1848</v>
      </c>
      <c r="H242" s="13" t="s">
        <v>433</v>
      </c>
      <c r="I242" s="13" t="s">
        <v>253</v>
      </c>
      <c r="J242" s="13" t="s">
        <v>24</v>
      </c>
      <c r="K242" s="13" t="s">
        <v>180</v>
      </c>
      <c r="L242" s="13" t="s">
        <v>241</v>
      </c>
      <c r="M242" s="13" t="s">
        <v>1849</v>
      </c>
      <c r="N242" s="13"/>
      <c r="O242" s="13"/>
      <c r="P242" s="13"/>
      <c r="Q242" s="13"/>
      <c r="R242" s="13" t="s">
        <v>111</v>
      </c>
      <c r="S242" s="13"/>
      <c r="T242" s="13" t="s">
        <v>243</v>
      </c>
      <c r="U242" s="13" t="s">
        <v>244</v>
      </c>
      <c r="V242" s="13" t="s">
        <v>1850</v>
      </c>
      <c r="W242" s="13"/>
      <c r="X242" s="13" t="s">
        <v>202</v>
      </c>
      <c r="Y242" s="13"/>
      <c r="Z242" s="13" t="s">
        <v>1851</v>
      </c>
      <c r="AA242" s="14" t="s">
        <v>190</v>
      </c>
      <c r="AB242" s="15" t="s">
        <v>191</v>
      </c>
      <c r="AC242" s="15"/>
      <c r="AD242" s="15"/>
    </row>
    <row r="243" customFormat="false" ht="32.8" hidden="false" customHeight="false" outlineLevel="0" collapsed="false">
      <c r="A243" s="13" t="n">
        <v>242</v>
      </c>
      <c r="B243" s="13" t="s">
        <v>1852</v>
      </c>
      <c r="C243" s="13" t="s">
        <v>34</v>
      </c>
      <c r="D243" s="13" t="s">
        <v>430</v>
      </c>
      <c r="E243" s="13" t="s">
        <v>1853</v>
      </c>
      <c r="F243" s="13" t="s">
        <v>48</v>
      </c>
      <c r="G243" s="13" t="s">
        <v>1854</v>
      </c>
      <c r="H243" s="13" t="s">
        <v>433</v>
      </c>
      <c r="I243" s="13" t="s">
        <v>179</v>
      </c>
      <c r="J243" s="13" t="s">
        <v>25</v>
      </c>
      <c r="K243" s="13" t="s">
        <v>180</v>
      </c>
      <c r="L243" s="13" t="s">
        <v>241</v>
      </c>
      <c r="M243" s="13" t="s">
        <v>1855</v>
      </c>
      <c r="N243" s="13"/>
      <c r="O243" s="13"/>
      <c r="P243" s="13"/>
      <c r="Q243" s="13"/>
      <c r="R243" s="13" t="s">
        <v>111</v>
      </c>
      <c r="S243" s="13"/>
      <c r="T243" s="13" t="s">
        <v>243</v>
      </c>
      <c r="U243" s="13" t="s">
        <v>1856</v>
      </c>
      <c r="V243" s="13" t="s">
        <v>1857</v>
      </c>
      <c r="W243" s="13"/>
      <c r="X243" s="13" t="s">
        <v>202</v>
      </c>
      <c r="Y243" s="13"/>
      <c r="Z243" s="13" t="s">
        <v>1858</v>
      </c>
      <c r="AA243" s="14" t="s">
        <v>190</v>
      </c>
      <c r="AB243" s="15" t="s">
        <v>191</v>
      </c>
      <c r="AC243" s="15"/>
      <c r="AD243" s="15"/>
    </row>
    <row r="244" customFormat="false" ht="32.8" hidden="false" customHeight="false" outlineLevel="0" collapsed="false">
      <c r="A244" s="13" t="n">
        <v>243</v>
      </c>
      <c r="B244" s="13" t="s">
        <v>1859</v>
      </c>
      <c r="C244" s="13" t="s">
        <v>35</v>
      </c>
      <c r="D244" s="13" t="s">
        <v>430</v>
      </c>
      <c r="E244" s="13" t="s">
        <v>1860</v>
      </c>
      <c r="F244" s="13" t="s">
        <v>48</v>
      </c>
      <c r="G244" s="13" t="s">
        <v>1861</v>
      </c>
      <c r="H244" s="13" t="s">
        <v>433</v>
      </c>
      <c r="I244" s="13" t="s">
        <v>179</v>
      </c>
      <c r="J244" s="13" t="s">
        <v>23</v>
      </c>
      <c r="K244" s="13" t="s">
        <v>180</v>
      </c>
      <c r="L244" s="13" t="s">
        <v>450</v>
      </c>
      <c r="M244" s="13" t="s">
        <v>1862</v>
      </c>
      <c r="N244" s="13"/>
      <c r="O244" s="13"/>
      <c r="P244" s="13"/>
      <c r="Q244" s="13"/>
      <c r="R244" s="13" t="s">
        <v>111</v>
      </c>
      <c r="S244" s="13" t="s">
        <v>126</v>
      </c>
      <c r="T244" s="13" t="s">
        <v>1863</v>
      </c>
      <c r="U244" s="13" t="s">
        <v>475</v>
      </c>
      <c r="V244" s="13" t="s">
        <v>1864</v>
      </c>
      <c r="W244" s="13"/>
      <c r="X244" s="13" t="s">
        <v>187</v>
      </c>
      <c r="Y244" s="13" t="s">
        <v>1865</v>
      </c>
      <c r="Z244" s="13" t="s">
        <v>1866</v>
      </c>
      <c r="AA244" s="14" t="s">
        <v>190</v>
      </c>
      <c r="AB244" s="15" t="s">
        <v>191</v>
      </c>
      <c r="AC244" s="15"/>
      <c r="AD244" s="15"/>
    </row>
    <row r="245" customFormat="false" ht="32.8" hidden="false" customHeight="false" outlineLevel="0" collapsed="false">
      <c r="A245" s="13" t="n">
        <v>244</v>
      </c>
      <c r="B245" s="13" t="s">
        <v>1867</v>
      </c>
      <c r="C245" s="13" t="s">
        <v>35</v>
      </c>
      <c r="D245" s="13" t="s">
        <v>430</v>
      </c>
      <c r="E245" s="13" t="s">
        <v>1868</v>
      </c>
      <c r="F245" s="13" t="s">
        <v>50</v>
      </c>
      <c r="G245" s="13" t="s">
        <v>1869</v>
      </c>
      <c r="H245" s="13" t="s">
        <v>252</v>
      </c>
      <c r="I245" s="13" t="s">
        <v>253</v>
      </c>
      <c r="J245" s="13" t="s">
        <v>24</v>
      </c>
      <c r="K245" s="13" t="s">
        <v>254</v>
      </c>
      <c r="L245" s="13" t="s">
        <v>482</v>
      </c>
      <c r="M245" s="13" t="s">
        <v>1870</v>
      </c>
      <c r="N245" s="13"/>
      <c r="O245" s="13"/>
      <c r="P245" s="13" t="s">
        <v>88</v>
      </c>
      <c r="Q245" s="13"/>
      <c r="R245" s="13" t="s">
        <v>121</v>
      </c>
      <c r="S245" s="13" t="s">
        <v>126</v>
      </c>
      <c r="T245" s="13" t="s">
        <v>485</v>
      </c>
      <c r="U245" s="13" t="s">
        <v>475</v>
      </c>
      <c r="V245" s="13" t="s">
        <v>1871</v>
      </c>
      <c r="W245" s="13"/>
      <c r="X245" s="13" t="s">
        <v>187</v>
      </c>
      <c r="Y245" s="13" t="s">
        <v>1872</v>
      </c>
      <c r="Z245" s="13" t="s">
        <v>1873</v>
      </c>
      <c r="AA245" s="14" t="s">
        <v>190</v>
      </c>
      <c r="AB245" s="15" t="s">
        <v>191</v>
      </c>
      <c r="AC245" s="15"/>
      <c r="AD245" s="15"/>
    </row>
    <row r="246" customFormat="false" ht="32.8" hidden="false" customHeight="false" outlineLevel="0" collapsed="false">
      <c r="A246" s="13" t="n">
        <v>245</v>
      </c>
      <c r="B246" s="13" t="s">
        <v>1874</v>
      </c>
      <c r="C246" s="13" t="s">
        <v>35</v>
      </c>
      <c r="D246" s="13" t="s">
        <v>430</v>
      </c>
      <c r="E246" s="13" t="s">
        <v>1875</v>
      </c>
      <c r="F246" s="13" t="s">
        <v>50</v>
      </c>
      <c r="G246" s="13" t="s">
        <v>1876</v>
      </c>
      <c r="H246" s="13" t="s">
        <v>252</v>
      </c>
      <c r="I246" s="13" t="s">
        <v>253</v>
      </c>
      <c r="J246" s="13" t="s">
        <v>24</v>
      </c>
      <c r="K246" s="13" t="s">
        <v>254</v>
      </c>
      <c r="L246" s="13" t="s">
        <v>482</v>
      </c>
      <c r="M246" s="13" t="s">
        <v>1877</v>
      </c>
      <c r="N246" s="13"/>
      <c r="O246" s="13"/>
      <c r="P246" s="13" t="s">
        <v>88</v>
      </c>
      <c r="Q246" s="13"/>
      <c r="R246" s="13" t="s">
        <v>121</v>
      </c>
      <c r="S246" s="13" t="s">
        <v>126</v>
      </c>
      <c r="T246" s="13" t="s">
        <v>1878</v>
      </c>
      <c r="U246" s="13" t="s">
        <v>1879</v>
      </c>
      <c r="V246" s="13" t="s">
        <v>745</v>
      </c>
      <c r="W246" s="13"/>
      <c r="X246" s="13" t="s">
        <v>202</v>
      </c>
      <c r="Y246" s="13"/>
      <c r="Z246" s="13" t="s">
        <v>1880</v>
      </c>
      <c r="AA246" s="14" t="s">
        <v>190</v>
      </c>
      <c r="AB246" s="15" t="s">
        <v>191</v>
      </c>
      <c r="AC246" s="15"/>
      <c r="AD246" s="15"/>
    </row>
    <row r="247" customFormat="false" ht="32.8" hidden="false" customHeight="false" outlineLevel="0" collapsed="false">
      <c r="A247" s="13" t="n">
        <v>246</v>
      </c>
      <c r="B247" s="13" t="s">
        <v>1881</v>
      </c>
      <c r="C247" s="13" t="s">
        <v>35</v>
      </c>
      <c r="D247" s="13" t="s">
        <v>430</v>
      </c>
      <c r="E247" s="13" t="s">
        <v>1882</v>
      </c>
      <c r="F247" s="13" t="s">
        <v>50</v>
      </c>
      <c r="G247" s="13" t="s">
        <v>1883</v>
      </c>
      <c r="H247" s="13" t="s">
        <v>252</v>
      </c>
      <c r="I247" s="13" t="s">
        <v>179</v>
      </c>
      <c r="J247" s="13" t="s">
        <v>24</v>
      </c>
      <c r="K247" s="13" t="s">
        <v>254</v>
      </c>
      <c r="L247" s="13" t="s">
        <v>482</v>
      </c>
      <c r="M247" s="13" t="s">
        <v>1884</v>
      </c>
      <c r="N247" s="13"/>
      <c r="O247" s="13"/>
      <c r="P247" s="13" t="s">
        <v>88</v>
      </c>
      <c r="Q247" s="13"/>
      <c r="R247" s="13" t="s">
        <v>121</v>
      </c>
      <c r="S247" s="13" t="s">
        <v>126</v>
      </c>
      <c r="T247" s="13" t="s">
        <v>1885</v>
      </c>
      <c r="U247" s="13" t="s">
        <v>475</v>
      </c>
      <c r="V247" s="13" t="s">
        <v>745</v>
      </c>
      <c r="W247" s="13"/>
      <c r="X247" s="13" t="s">
        <v>187</v>
      </c>
      <c r="Y247" s="13" t="s">
        <v>1886</v>
      </c>
      <c r="Z247" s="13" t="s">
        <v>1887</v>
      </c>
      <c r="AA247" s="14" t="s">
        <v>190</v>
      </c>
      <c r="AB247" s="15" t="s">
        <v>191</v>
      </c>
      <c r="AC247" s="15"/>
      <c r="AD247" s="15"/>
    </row>
    <row r="248" customFormat="false" ht="32.8" hidden="false" customHeight="false" outlineLevel="0" collapsed="false">
      <c r="A248" s="13" t="n">
        <v>247</v>
      </c>
      <c r="B248" s="13" t="s">
        <v>1888</v>
      </c>
      <c r="C248" s="13" t="s">
        <v>35</v>
      </c>
      <c r="D248" s="13" t="s">
        <v>430</v>
      </c>
      <c r="E248" s="13" t="s">
        <v>1889</v>
      </c>
      <c r="F248" s="13" t="s">
        <v>50</v>
      </c>
      <c r="G248" s="13" t="s">
        <v>1890</v>
      </c>
      <c r="H248" s="13" t="s">
        <v>252</v>
      </c>
      <c r="I248" s="13" t="s">
        <v>179</v>
      </c>
      <c r="J248" s="13" t="s">
        <v>23</v>
      </c>
      <c r="K248" s="13" t="s">
        <v>254</v>
      </c>
      <c r="L248" s="13" t="s">
        <v>482</v>
      </c>
      <c r="M248" s="13" t="s">
        <v>1891</v>
      </c>
      <c r="N248" s="13"/>
      <c r="O248" s="13"/>
      <c r="P248" s="13" t="s">
        <v>88</v>
      </c>
      <c r="Q248" s="13"/>
      <c r="R248" s="13" t="s">
        <v>121</v>
      </c>
      <c r="S248" s="13" t="s">
        <v>126</v>
      </c>
      <c r="T248" s="13" t="s">
        <v>1892</v>
      </c>
      <c r="U248" s="13" t="s">
        <v>475</v>
      </c>
      <c r="V248" s="13" t="s">
        <v>1893</v>
      </c>
      <c r="W248" s="13"/>
      <c r="X248" s="13" t="s">
        <v>202</v>
      </c>
      <c r="Y248" s="13"/>
      <c r="Z248" s="13" t="s">
        <v>1894</v>
      </c>
      <c r="AA248" s="14" t="s">
        <v>190</v>
      </c>
      <c r="AB248" s="15" t="s">
        <v>191</v>
      </c>
      <c r="AC248" s="15"/>
      <c r="AD248" s="15"/>
    </row>
    <row r="249" customFormat="false" ht="32.8" hidden="false" customHeight="false" outlineLevel="0" collapsed="false">
      <c r="A249" s="13" t="n">
        <v>248</v>
      </c>
      <c r="B249" s="13" t="s">
        <v>1895</v>
      </c>
      <c r="C249" s="13" t="s">
        <v>35</v>
      </c>
      <c r="D249" s="13" t="s">
        <v>1896</v>
      </c>
      <c r="E249" s="13" t="s">
        <v>1897</v>
      </c>
      <c r="F249" s="13" t="s">
        <v>50</v>
      </c>
      <c r="G249" s="13" t="s">
        <v>1898</v>
      </c>
      <c r="H249" s="13" t="s">
        <v>737</v>
      </c>
      <c r="I249" s="13" t="s">
        <v>179</v>
      </c>
      <c r="J249" s="13" t="s">
        <v>24</v>
      </c>
      <c r="K249" s="13" t="s">
        <v>254</v>
      </c>
      <c r="L249" s="13" t="s">
        <v>482</v>
      </c>
      <c r="M249" s="13" t="s">
        <v>1899</v>
      </c>
      <c r="N249" s="13"/>
      <c r="O249" s="13"/>
      <c r="P249" s="13" t="s">
        <v>88</v>
      </c>
      <c r="Q249" s="13"/>
      <c r="R249" s="13" t="s">
        <v>121</v>
      </c>
      <c r="S249" s="13" t="s">
        <v>126</v>
      </c>
      <c r="T249" s="13" t="s">
        <v>1900</v>
      </c>
      <c r="U249" s="13" t="s">
        <v>1901</v>
      </c>
      <c r="V249" s="13" t="s">
        <v>1902</v>
      </c>
      <c r="W249" s="13"/>
      <c r="X249" s="13" t="s">
        <v>202</v>
      </c>
      <c r="Y249" s="13"/>
      <c r="Z249" s="13" t="s">
        <v>1903</v>
      </c>
      <c r="AA249" s="14" t="s">
        <v>190</v>
      </c>
      <c r="AB249" s="15" t="s">
        <v>191</v>
      </c>
      <c r="AC249" s="15"/>
      <c r="AD249" s="15"/>
    </row>
    <row r="250" customFormat="false" ht="32.8" hidden="false" customHeight="false" outlineLevel="0" collapsed="false">
      <c r="A250" s="13" t="n">
        <v>249</v>
      </c>
      <c r="B250" s="13" t="s">
        <v>1904</v>
      </c>
      <c r="C250" s="13" t="s">
        <v>35</v>
      </c>
      <c r="D250" s="13" t="s">
        <v>430</v>
      </c>
      <c r="E250" s="13" t="s">
        <v>1905</v>
      </c>
      <c r="F250" s="13" t="s">
        <v>52</v>
      </c>
      <c r="G250" s="13" t="s">
        <v>1906</v>
      </c>
      <c r="H250" s="13" t="s">
        <v>388</v>
      </c>
      <c r="I250" s="13" t="s">
        <v>253</v>
      </c>
      <c r="J250" s="13" t="s">
        <v>24</v>
      </c>
      <c r="K250" s="13" t="s">
        <v>309</v>
      </c>
      <c r="L250" s="13" t="s">
        <v>1907</v>
      </c>
      <c r="M250" s="13" t="s">
        <v>1908</v>
      </c>
      <c r="N250" s="13"/>
      <c r="O250" s="13"/>
      <c r="P250" s="13"/>
      <c r="Q250" s="13"/>
      <c r="R250" s="13" t="s">
        <v>114</v>
      </c>
      <c r="S250" s="13"/>
      <c r="T250" s="13" t="s">
        <v>1892</v>
      </c>
      <c r="U250" s="13" t="s">
        <v>475</v>
      </c>
      <c r="V250" s="13" t="s">
        <v>1893</v>
      </c>
      <c r="W250" s="13"/>
      <c r="X250" s="13" t="s">
        <v>187</v>
      </c>
      <c r="Y250" s="13" t="s">
        <v>1909</v>
      </c>
      <c r="Z250" s="13" t="s">
        <v>1910</v>
      </c>
      <c r="AA250" s="14" t="s">
        <v>190</v>
      </c>
      <c r="AB250" s="15" t="s">
        <v>191</v>
      </c>
      <c r="AC250" s="15"/>
      <c r="AD250" s="15"/>
    </row>
    <row r="251" customFormat="false" ht="22.35" hidden="false" customHeight="false" outlineLevel="0" collapsed="false">
      <c r="A251" s="13" t="n">
        <v>250</v>
      </c>
      <c r="B251" s="13" t="s">
        <v>1911</v>
      </c>
      <c r="C251" s="13" t="s">
        <v>35</v>
      </c>
      <c r="D251" s="13" t="s">
        <v>430</v>
      </c>
      <c r="E251" s="13" t="s">
        <v>1912</v>
      </c>
      <c r="F251" s="13" t="s">
        <v>52</v>
      </c>
      <c r="G251" s="13" t="s">
        <v>1913</v>
      </c>
      <c r="H251" s="13" t="s">
        <v>388</v>
      </c>
      <c r="I251" s="13" t="s">
        <v>253</v>
      </c>
      <c r="J251" s="13" t="s">
        <v>24</v>
      </c>
      <c r="K251" s="13" t="s">
        <v>309</v>
      </c>
      <c r="L251" s="13" t="s">
        <v>1907</v>
      </c>
      <c r="M251" s="13" t="s">
        <v>1914</v>
      </c>
      <c r="N251" s="13"/>
      <c r="O251" s="13"/>
      <c r="P251" s="13"/>
      <c r="Q251" s="13"/>
      <c r="R251" s="13" t="s">
        <v>114</v>
      </c>
      <c r="S251" s="13"/>
      <c r="T251" s="13" t="s">
        <v>1885</v>
      </c>
      <c r="U251" s="13" t="s">
        <v>475</v>
      </c>
      <c r="V251" s="13" t="s">
        <v>745</v>
      </c>
      <c r="W251" s="13"/>
      <c r="X251" s="13" t="s">
        <v>187</v>
      </c>
      <c r="Y251" s="13" t="s">
        <v>1915</v>
      </c>
      <c r="Z251" s="13" t="s">
        <v>746</v>
      </c>
      <c r="AA251" s="14" t="s">
        <v>190</v>
      </c>
      <c r="AB251" s="15" t="s">
        <v>191</v>
      </c>
      <c r="AC251" s="15"/>
      <c r="AD251" s="15"/>
    </row>
    <row r="252" customFormat="false" ht="22.35" hidden="false" customHeight="false" outlineLevel="0" collapsed="false">
      <c r="A252" s="13" t="n">
        <v>251</v>
      </c>
      <c r="B252" s="13" t="s">
        <v>1916</v>
      </c>
      <c r="C252" s="13" t="s">
        <v>35</v>
      </c>
      <c r="D252" s="13" t="s">
        <v>430</v>
      </c>
      <c r="E252" s="13" t="s">
        <v>1917</v>
      </c>
      <c r="F252" s="13" t="s">
        <v>52</v>
      </c>
      <c r="G252" s="13" t="s">
        <v>1918</v>
      </c>
      <c r="H252" s="13" t="s">
        <v>388</v>
      </c>
      <c r="I252" s="13" t="s">
        <v>253</v>
      </c>
      <c r="J252" s="13" t="s">
        <v>24</v>
      </c>
      <c r="K252" s="13" t="s">
        <v>309</v>
      </c>
      <c r="L252" s="13" t="s">
        <v>1907</v>
      </c>
      <c r="M252" s="13" t="s">
        <v>1919</v>
      </c>
      <c r="N252" s="13"/>
      <c r="O252" s="13"/>
      <c r="P252" s="13"/>
      <c r="Q252" s="13"/>
      <c r="R252" s="13" t="s">
        <v>114</v>
      </c>
      <c r="S252" s="13"/>
      <c r="T252" s="13" t="s">
        <v>818</v>
      </c>
      <c r="U252" s="13" t="s">
        <v>576</v>
      </c>
      <c r="V252" s="13" t="s">
        <v>1902</v>
      </c>
      <c r="W252" s="13"/>
      <c r="X252" s="13" t="s">
        <v>202</v>
      </c>
      <c r="Y252" s="13"/>
      <c r="Z252" s="13" t="s">
        <v>1920</v>
      </c>
      <c r="AA252" s="14" t="s">
        <v>190</v>
      </c>
      <c r="AB252" s="15" t="s">
        <v>191</v>
      </c>
      <c r="AC252" s="15"/>
      <c r="AD252" s="15"/>
    </row>
    <row r="253" customFormat="false" ht="32.8" hidden="false" customHeight="false" outlineLevel="0" collapsed="false">
      <c r="A253" s="13" t="n">
        <v>252</v>
      </c>
      <c r="B253" s="13" t="s">
        <v>1921</v>
      </c>
      <c r="C253" s="13" t="s">
        <v>35</v>
      </c>
      <c r="D253" s="13" t="s">
        <v>430</v>
      </c>
      <c r="E253" s="13" t="s">
        <v>1922</v>
      </c>
      <c r="F253" s="13" t="s">
        <v>52</v>
      </c>
      <c r="G253" s="13" t="s">
        <v>1923</v>
      </c>
      <c r="H253" s="13" t="s">
        <v>388</v>
      </c>
      <c r="I253" s="13" t="s">
        <v>253</v>
      </c>
      <c r="J253" s="13" t="s">
        <v>23</v>
      </c>
      <c r="K253" s="13" t="s">
        <v>309</v>
      </c>
      <c r="L253" s="13" t="s">
        <v>865</v>
      </c>
      <c r="M253" s="13" t="s">
        <v>1924</v>
      </c>
      <c r="N253" s="13"/>
      <c r="O253" s="13"/>
      <c r="P253" s="13" t="s">
        <v>84</v>
      </c>
      <c r="Q253" s="13"/>
      <c r="R253" s="13" t="s">
        <v>114</v>
      </c>
      <c r="S253" s="13" t="s">
        <v>126</v>
      </c>
      <c r="T253" s="13" t="s">
        <v>1925</v>
      </c>
      <c r="U253" s="13" t="s">
        <v>1926</v>
      </c>
      <c r="V253" s="13" t="s">
        <v>1927</v>
      </c>
      <c r="W253" s="13"/>
      <c r="X253" s="13" t="s">
        <v>187</v>
      </c>
      <c r="Y253" s="13" t="s">
        <v>1928</v>
      </c>
      <c r="Z253" s="13" t="s">
        <v>1929</v>
      </c>
      <c r="AA253" s="14" t="s">
        <v>190</v>
      </c>
      <c r="AB253" s="15" t="s">
        <v>191</v>
      </c>
      <c r="AC253" s="15"/>
      <c r="AD253" s="15"/>
    </row>
    <row r="254" customFormat="false" ht="32.8" hidden="false" customHeight="false" outlineLevel="0" collapsed="false">
      <c r="A254" s="13" t="n">
        <v>253</v>
      </c>
      <c r="B254" s="13" t="s">
        <v>1930</v>
      </c>
      <c r="C254" s="13" t="s">
        <v>35</v>
      </c>
      <c r="D254" s="13" t="s">
        <v>862</v>
      </c>
      <c r="E254" s="13" t="s">
        <v>1931</v>
      </c>
      <c r="F254" s="13" t="s">
        <v>52</v>
      </c>
      <c r="G254" s="13" t="s">
        <v>1932</v>
      </c>
      <c r="H254" s="13" t="s">
        <v>388</v>
      </c>
      <c r="I254" s="13" t="s">
        <v>253</v>
      </c>
      <c r="J254" s="13" t="s">
        <v>25</v>
      </c>
      <c r="K254" s="13" t="s">
        <v>309</v>
      </c>
      <c r="L254" s="13" t="s">
        <v>1907</v>
      </c>
      <c r="M254" s="13" t="s">
        <v>1933</v>
      </c>
      <c r="N254" s="13"/>
      <c r="O254" s="13"/>
      <c r="P254" s="13"/>
      <c r="Q254" s="13"/>
      <c r="R254" s="13" t="s">
        <v>114</v>
      </c>
      <c r="S254" s="13"/>
      <c r="T254" s="13" t="s">
        <v>1934</v>
      </c>
      <c r="U254" s="13" t="s">
        <v>1926</v>
      </c>
      <c r="V254" s="13" t="s">
        <v>1935</v>
      </c>
      <c r="W254" s="13"/>
      <c r="X254" s="13" t="s">
        <v>202</v>
      </c>
      <c r="Y254" s="13"/>
      <c r="Z254" s="13" t="s">
        <v>1936</v>
      </c>
      <c r="AA254" s="14" t="s">
        <v>190</v>
      </c>
      <c r="AB254" s="15" t="s">
        <v>191</v>
      </c>
      <c r="AC254" s="15"/>
      <c r="AD254" s="15"/>
    </row>
    <row r="255" customFormat="false" ht="32.8" hidden="false" customHeight="false" outlineLevel="0" collapsed="false">
      <c r="A255" s="13" t="n">
        <v>254</v>
      </c>
      <c r="B255" s="13" t="s">
        <v>1937</v>
      </c>
      <c r="C255" s="13" t="s">
        <v>35</v>
      </c>
      <c r="D255" s="13" t="s">
        <v>1938</v>
      </c>
      <c r="E255" s="13" t="s">
        <v>1939</v>
      </c>
      <c r="F255" s="13" t="s">
        <v>56</v>
      </c>
      <c r="G255" s="13" t="s">
        <v>111</v>
      </c>
      <c r="H255" s="13" t="s">
        <v>1940</v>
      </c>
      <c r="I255" s="13" t="s">
        <v>397</v>
      </c>
      <c r="J255" s="13" t="s">
        <v>24</v>
      </c>
      <c r="K255" s="13" t="s">
        <v>309</v>
      </c>
      <c r="L255" s="13" t="s">
        <v>1941</v>
      </c>
      <c r="M255" s="13"/>
      <c r="N255" s="13"/>
      <c r="O255" s="13"/>
      <c r="P255" s="13" t="s">
        <v>1942</v>
      </c>
      <c r="Q255" s="13"/>
      <c r="R255" s="13" t="s">
        <v>1943</v>
      </c>
      <c r="S255" s="13"/>
      <c r="T255" s="13" t="s">
        <v>1944</v>
      </c>
      <c r="U255" s="13" t="s">
        <v>426</v>
      </c>
      <c r="V255" s="13" t="s">
        <v>1945</v>
      </c>
      <c r="W255" s="13"/>
      <c r="X255" s="13" t="s">
        <v>187</v>
      </c>
      <c r="Y255" s="13" t="s">
        <v>1946</v>
      </c>
      <c r="Z255" s="13" t="s">
        <v>1947</v>
      </c>
      <c r="AA255" s="14" t="s">
        <v>190</v>
      </c>
      <c r="AB255" s="15" t="s">
        <v>191</v>
      </c>
      <c r="AC255" s="15"/>
      <c r="AD255" s="15"/>
    </row>
    <row r="256" customFormat="false" ht="32.8" hidden="false" customHeight="false" outlineLevel="0" collapsed="false">
      <c r="A256" s="13" t="n">
        <v>255</v>
      </c>
      <c r="B256" s="13" t="s">
        <v>1948</v>
      </c>
      <c r="C256" s="13" t="s">
        <v>36</v>
      </c>
      <c r="D256" s="13" t="s">
        <v>1949</v>
      </c>
      <c r="E256" s="13" t="s">
        <v>1950</v>
      </c>
      <c r="F256" s="13" t="s">
        <v>48</v>
      </c>
      <c r="G256" s="13" t="s">
        <v>1951</v>
      </c>
      <c r="H256" s="13" t="s">
        <v>433</v>
      </c>
      <c r="I256" s="13" t="s">
        <v>1952</v>
      </c>
      <c r="J256" s="13" t="s">
        <v>24</v>
      </c>
      <c r="K256" s="13" t="s">
        <v>180</v>
      </c>
      <c r="L256" s="13" t="s">
        <v>450</v>
      </c>
      <c r="M256" s="13" t="s">
        <v>1953</v>
      </c>
      <c r="N256" s="13"/>
      <c r="O256" s="13"/>
      <c r="P256" s="13"/>
      <c r="Q256" s="13"/>
      <c r="R256" s="13" t="s">
        <v>112</v>
      </c>
      <c r="S256" s="13" t="s">
        <v>132</v>
      </c>
      <c r="T256" s="13" t="s">
        <v>1954</v>
      </c>
      <c r="U256" s="13" t="s">
        <v>468</v>
      </c>
      <c r="V256" s="13" t="s">
        <v>1743</v>
      </c>
      <c r="W256" s="13"/>
      <c r="X256" s="13" t="s">
        <v>187</v>
      </c>
      <c r="Y256" s="13" t="s">
        <v>1955</v>
      </c>
      <c r="Z256" s="13" t="s">
        <v>1956</v>
      </c>
      <c r="AA256" s="14" t="s">
        <v>190</v>
      </c>
      <c r="AB256" s="15" t="s">
        <v>191</v>
      </c>
      <c r="AC256" s="15"/>
      <c r="AD256" s="15"/>
    </row>
    <row r="257" customFormat="false" ht="32.8" hidden="false" customHeight="false" outlineLevel="0" collapsed="false">
      <c r="A257" s="13" t="n">
        <v>256</v>
      </c>
      <c r="B257" s="13" t="s">
        <v>1957</v>
      </c>
      <c r="C257" s="13" t="s">
        <v>36</v>
      </c>
      <c r="D257" s="13" t="s">
        <v>1949</v>
      </c>
      <c r="E257" s="13" t="s">
        <v>1958</v>
      </c>
      <c r="F257" s="13" t="s">
        <v>48</v>
      </c>
      <c r="G257" s="13" t="s">
        <v>1959</v>
      </c>
      <c r="H257" s="13" t="s">
        <v>433</v>
      </c>
      <c r="I257" s="13" t="s">
        <v>253</v>
      </c>
      <c r="J257" s="13" t="s">
        <v>25</v>
      </c>
      <c r="K257" s="13" t="s">
        <v>180</v>
      </c>
      <c r="L257" s="13" t="s">
        <v>450</v>
      </c>
      <c r="M257" s="13" t="s">
        <v>1960</v>
      </c>
      <c r="N257" s="13"/>
      <c r="O257" s="13"/>
      <c r="P257" s="13"/>
      <c r="Q257" s="13"/>
      <c r="R257" s="13" t="s">
        <v>112</v>
      </c>
      <c r="S257" s="13" t="s">
        <v>132</v>
      </c>
      <c r="T257" s="13" t="s">
        <v>1961</v>
      </c>
      <c r="U257" s="13" t="s">
        <v>1962</v>
      </c>
      <c r="V257" s="13" t="s">
        <v>1963</v>
      </c>
      <c r="W257" s="13"/>
      <c r="X257" s="13" t="s">
        <v>202</v>
      </c>
      <c r="Y257" s="13"/>
      <c r="Z257" s="13" t="s">
        <v>1964</v>
      </c>
      <c r="AA257" s="14" t="s">
        <v>190</v>
      </c>
      <c r="AB257" s="15" t="s">
        <v>191</v>
      </c>
      <c r="AC257" s="15"/>
      <c r="AD257" s="15"/>
    </row>
    <row r="258" customFormat="false" ht="32.8" hidden="false" customHeight="false" outlineLevel="0" collapsed="false">
      <c r="A258" s="13" t="n">
        <v>257</v>
      </c>
      <c r="B258" s="13" t="s">
        <v>1965</v>
      </c>
      <c r="C258" s="13" t="s">
        <v>36</v>
      </c>
      <c r="D258" s="13" t="s">
        <v>1949</v>
      </c>
      <c r="E258" s="13" t="s">
        <v>1966</v>
      </c>
      <c r="F258" s="13" t="s">
        <v>48</v>
      </c>
      <c r="G258" s="13" t="s">
        <v>1967</v>
      </c>
      <c r="H258" s="13" t="s">
        <v>433</v>
      </c>
      <c r="I258" s="13" t="s">
        <v>179</v>
      </c>
      <c r="J258" s="13" t="s">
        <v>23</v>
      </c>
      <c r="K258" s="13" t="s">
        <v>180</v>
      </c>
      <c r="L258" s="13" t="s">
        <v>450</v>
      </c>
      <c r="M258" s="13" t="s">
        <v>1968</v>
      </c>
      <c r="N258" s="13"/>
      <c r="O258" s="13"/>
      <c r="P258" s="13"/>
      <c r="Q258" s="13"/>
      <c r="R258" s="13" t="s">
        <v>112</v>
      </c>
      <c r="S258" s="13" t="s">
        <v>132</v>
      </c>
      <c r="T258" s="13" t="s">
        <v>1969</v>
      </c>
      <c r="U258" s="13" t="s">
        <v>565</v>
      </c>
      <c r="V258" s="13" t="s">
        <v>1970</v>
      </c>
      <c r="W258" s="13"/>
      <c r="X258" s="13" t="s">
        <v>187</v>
      </c>
      <c r="Y258" s="13" t="s">
        <v>1971</v>
      </c>
      <c r="Z258" s="13" t="s">
        <v>1972</v>
      </c>
      <c r="AA258" s="14" t="s">
        <v>190</v>
      </c>
      <c r="AB258" s="15" t="s">
        <v>191</v>
      </c>
      <c r="AC258" s="15"/>
      <c r="AD258" s="15"/>
    </row>
    <row r="259" customFormat="false" ht="32.8" hidden="false" customHeight="false" outlineLevel="0" collapsed="false">
      <c r="A259" s="13" t="n">
        <v>258</v>
      </c>
      <c r="B259" s="13" t="s">
        <v>1973</v>
      </c>
      <c r="C259" s="13" t="s">
        <v>36</v>
      </c>
      <c r="D259" s="13" t="s">
        <v>1949</v>
      </c>
      <c r="E259" s="13" t="s">
        <v>1974</v>
      </c>
      <c r="F259" s="13" t="s">
        <v>48</v>
      </c>
      <c r="G259" s="13" t="s">
        <v>1975</v>
      </c>
      <c r="H259" s="13" t="s">
        <v>433</v>
      </c>
      <c r="I259" s="13" t="s">
        <v>179</v>
      </c>
      <c r="J259" s="13" t="s">
        <v>24</v>
      </c>
      <c r="K259" s="13" t="s">
        <v>180</v>
      </c>
      <c r="L259" s="13" t="s">
        <v>450</v>
      </c>
      <c r="M259" s="13" t="s">
        <v>1976</v>
      </c>
      <c r="N259" s="13"/>
      <c r="O259" s="13"/>
      <c r="P259" s="13"/>
      <c r="Q259" s="13"/>
      <c r="R259" s="13" t="s">
        <v>112</v>
      </c>
      <c r="S259" s="13" t="s">
        <v>132</v>
      </c>
      <c r="T259" s="13" t="s">
        <v>1977</v>
      </c>
      <c r="U259" s="13" t="s">
        <v>1978</v>
      </c>
      <c r="V259" s="13" t="s">
        <v>1743</v>
      </c>
      <c r="W259" s="13"/>
      <c r="X259" s="13" t="s">
        <v>202</v>
      </c>
      <c r="Y259" s="13"/>
      <c r="Z259" s="13" t="s">
        <v>1979</v>
      </c>
      <c r="AA259" s="14" t="s">
        <v>190</v>
      </c>
      <c r="AB259" s="15" t="s">
        <v>191</v>
      </c>
      <c r="AC259" s="15"/>
      <c r="AD259" s="15"/>
    </row>
    <row r="260" customFormat="false" ht="32.8" hidden="false" customHeight="false" outlineLevel="0" collapsed="false">
      <c r="A260" s="13" t="n">
        <v>259</v>
      </c>
      <c r="B260" s="13" t="s">
        <v>1980</v>
      </c>
      <c r="C260" s="13" t="s">
        <v>36</v>
      </c>
      <c r="D260" s="13" t="s">
        <v>1949</v>
      </c>
      <c r="E260" s="13" t="s">
        <v>1981</v>
      </c>
      <c r="F260" s="13" t="s">
        <v>48</v>
      </c>
      <c r="G260" s="13" t="s">
        <v>1982</v>
      </c>
      <c r="H260" s="13" t="s">
        <v>433</v>
      </c>
      <c r="I260" s="13" t="s">
        <v>179</v>
      </c>
      <c r="J260" s="13" t="s">
        <v>24</v>
      </c>
      <c r="K260" s="13" t="s">
        <v>180</v>
      </c>
      <c r="L260" s="13" t="s">
        <v>450</v>
      </c>
      <c r="M260" s="13" t="s">
        <v>1983</v>
      </c>
      <c r="N260" s="13"/>
      <c r="O260" s="13"/>
      <c r="P260" s="13"/>
      <c r="Q260" s="13"/>
      <c r="R260" s="13" t="s">
        <v>112</v>
      </c>
      <c r="S260" s="13" t="s">
        <v>132</v>
      </c>
      <c r="T260" s="13" t="s">
        <v>1984</v>
      </c>
      <c r="U260" s="13" t="s">
        <v>1985</v>
      </c>
      <c r="V260" s="13" t="s">
        <v>1963</v>
      </c>
      <c r="W260" s="13"/>
      <c r="X260" s="13" t="s">
        <v>202</v>
      </c>
      <c r="Y260" s="13"/>
      <c r="Z260" s="13" t="s">
        <v>1986</v>
      </c>
      <c r="AA260" s="14" t="s">
        <v>190</v>
      </c>
      <c r="AB260" s="15" t="s">
        <v>191</v>
      </c>
      <c r="AC260" s="15"/>
      <c r="AD260" s="15"/>
    </row>
    <row r="261" customFormat="false" ht="32.8" hidden="false" customHeight="false" outlineLevel="0" collapsed="false">
      <c r="A261" s="13" t="n">
        <v>260</v>
      </c>
      <c r="B261" s="13" t="s">
        <v>1987</v>
      </c>
      <c r="C261" s="13" t="s">
        <v>36</v>
      </c>
      <c r="D261" s="13" t="s">
        <v>1988</v>
      </c>
      <c r="E261" s="13" t="s">
        <v>1989</v>
      </c>
      <c r="F261" s="13" t="s">
        <v>50</v>
      </c>
      <c r="G261" s="13" t="s">
        <v>1990</v>
      </c>
      <c r="H261" s="13" t="s">
        <v>252</v>
      </c>
      <c r="I261" s="13" t="s">
        <v>179</v>
      </c>
      <c r="J261" s="13" t="s">
        <v>24</v>
      </c>
      <c r="K261" s="13" t="s">
        <v>254</v>
      </c>
      <c r="L261" s="13" t="s">
        <v>276</v>
      </c>
      <c r="M261" s="13" t="s">
        <v>1991</v>
      </c>
      <c r="N261" s="13"/>
      <c r="O261" s="13"/>
      <c r="P261" s="13"/>
      <c r="Q261" s="13"/>
      <c r="R261" s="13" t="s">
        <v>112</v>
      </c>
      <c r="S261" s="13" t="s">
        <v>132</v>
      </c>
      <c r="T261" s="13" t="s">
        <v>1992</v>
      </c>
      <c r="U261" s="13" t="s">
        <v>468</v>
      </c>
      <c r="V261" s="13" t="s">
        <v>1743</v>
      </c>
      <c r="W261" s="13"/>
      <c r="X261" s="13" t="s">
        <v>202</v>
      </c>
      <c r="Y261" s="13"/>
      <c r="Z261" s="13" t="s">
        <v>1993</v>
      </c>
      <c r="AA261" s="14" t="s">
        <v>190</v>
      </c>
      <c r="AB261" s="15" t="s">
        <v>191</v>
      </c>
      <c r="AC261" s="15"/>
      <c r="AD261" s="15"/>
    </row>
    <row r="262" customFormat="false" ht="32.8" hidden="false" customHeight="false" outlineLevel="0" collapsed="false">
      <c r="A262" s="13" t="n">
        <v>261</v>
      </c>
      <c r="B262" s="13" t="s">
        <v>1994</v>
      </c>
      <c r="C262" s="13" t="s">
        <v>36</v>
      </c>
      <c r="D262" s="13" t="s">
        <v>1988</v>
      </c>
      <c r="E262" s="13" t="s">
        <v>1995</v>
      </c>
      <c r="F262" s="13" t="s">
        <v>50</v>
      </c>
      <c r="G262" s="13" t="s">
        <v>1996</v>
      </c>
      <c r="H262" s="13" t="s">
        <v>252</v>
      </c>
      <c r="I262" s="13" t="s">
        <v>253</v>
      </c>
      <c r="J262" s="13" t="s">
        <v>24</v>
      </c>
      <c r="K262" s="13" t="s">
        <v>254</v>
      </c>
      <c r="L262" s="13" t="s">
        <v>276</v>
      </c>
      <c r="M262" s="13" t="s">
        <v>1997</v>
      </c>
      <c r="N262" s="13"/>
      <c r="O262" s="13"/>
      <c r="P262" s="13"/>
      <c r="Q262" s="13"/>
      <c r="R262" s="13" t="s">
        <v>112</v>
      </c>
      <c r="S262" s="13" t="s">
        <v>132</v>
      </c>
      <c r="T262" s="13" t="s">
        <v>1992</v>
      </c>
      <c r="U262" s="13" t="s">
        <v>1998</v>
      </c>
      <c r="V262" s="13" t="s">
        <v>1743</v>
      </c>
      <c r="W262" s="13"/>
      <c r="X262" s="13" t="s">
        <v>202</v>
      </c>
      <c r="Y262" s="13"/>
      <c r="Z262" s="13" t="s">
        <v>1999</v>
      </c>
      <c r="AA262" s="14" t="s">
        <v>190</v>
      </c>
      <c r="AB262" s="15" t="s">
        <v>191</v>
      </c>
      <c r="AC262" s="15"/>
      <c r="AD262" s="15"/>
    </row>
    <row r="263" customFormat="false" ht="32.8" hidden="false" customHeight="false" outlineLevel="0" collapsed="false">
      <c r="A263" s="13" t="n">
        <v>262</v>
      </c>
      <c r="B263" s="13" t="s">
        <v>2000</v>
      </c>
      <c r="C263" s="13" t="s">
        <v>36</v>
      </c>
      <c r="D263" s="13" t="s">
        <v>1988</v>
      </c>
      <c r="E263" s="13" t="s">
        <v>2001</v>
      </c>
      <c r="F263" s="13" t="s">
        <v>50</v>
      </c>
      <c r="G263" s="13" t="s">
        <v>2002</v>
      </c>
      <c r="H263" s="13" t="s">
        <v>252</v>
      </c>
      <c r="I263" s="13" t="s">
        <v>1634</v>
      </c>
      <c r="J263" s="13" t="s">
        <v>23</v>
      </c>
      <c r="K263" s="13" t="s">
        <v>254</v>
      </c>
      <c r="L263" s="13" t="s">
        <v>276</v>
      </c>
      <c r="M263" s="13" t="s">
        <v>2003</v>
      </c>
      <c r="N263" s="13"/>
      <c r="O263" s="13"/>
      <c r="P263" s="13"/>
      <c r="Q263" s="13"/>
      <c r="R263" s="13" t="s">
        <v>112</v>
      </c>
      <c r="S263" s="13" t="s">
        <v>132</v>
      </c>
      <c r="T263" s="13" t="s">
        <v>1969</v>
      </c>
      <c r="U263" s="13" t="s">
        <v>565</v>
      </c>
      <c r="V263" s="13" t="s">
        <v>1970</v>
      </c>
      <c r="W263" s="13"/>
      <c r="X263" s="13" t="s">
        <v>187</v>
      </c>
      <c r="Y263" s="13" t="s">
        <v>2004</v>
      </c>
      <c r="Z263" s="13" t="s">
        <v>2005</v>
      </c>
      <c r="AA263" s="14" t="s">
        <v>190</v>
      </c>
      <c r="AB263" s="15" t="s">
        <v>191</v>
      </c>
      <c r="AC263" s="15"/>
      <c r="AD263" s="15"/>
    </row>
    <row r="264" customFormat="false" ht="32.8" hidden="false" customHeight="false" outlineLevel="0" collapsed="false">
      <c r="A264" s="13" t="n">
        <v>263</v>
      </c>
      <c r="B264" s="13" t="s">
        <v>2006</v>
      </c>
      <c r="C264" s="13" t="s">
        <v>36</v>
      </c>
      <c r="D264" s="13" t="s">
        <v>1988</v>
      </c>
      <c r="E264" s="13" t="s">
        <v>2007</v>
      </c>
      <c r="F264" s="13" t="s">
        <v>50</v>
      </c>
      <c r="G264" s="13" t="s">
        <v>2008</v>
      </c>
      <c r="H264" s="13" t="s">
        <v>252</v>
      </c>
      <c r="I264" s="13" t="s">
        <v>179</v>
      </c>
      <c r="J264" s="13" t="s">
        <v>24</v>
      </c>
      <c r="K264" s="13" t="s">
        <v>254</v>
      </c>
      <c r="L264" s="13" t="s">
        <v>276</v>
      </c>
      <c r="M264" s="13" t="s">
        <v>2009</v>
      </c>
      <c r="N264" s="13"/>
      <c r="O264" s="13"/>
      <c r="P264" s="13"/>
      <c r="Q264" s="13"/>
      <c r="R264" s="13" t="s">
        <v>112</v>
      </c>
      <c r="S264" s="13" t="s">
        <v>132</v>
      </c>
      <c r="T264" s="13" t="s">
        <v>1992</v>
      </c>
      <c r="U264" s="13" t="s">
        <v>468</v>
      </c>
      <c r="V264" s="13" t="s">
        <v>1743</v>
      </c>
      <c r="W264" s="13"/>
      <c r="X264" s="13" t="s">
        <v>187</v>
      </c>
      <c r="Y264" s="13" t="s">
        <v>2010</v>
      </c>
      <c r="Z264" s="13" t="s">
        <v>2011</v>
      </c>
      <c r="AA264" s="14" t="s">
        <v>190</v>
      </c>
      <c r="AB264" s="15" t="s">
        <v>191</v>
      </c>
      <c r="AC264" s="15"/>
      <c r="AD264" s="15"/>
    </row>
    <row r="265" customFormat="false" ht="32.8" hidden="false" customHeight="false" outlineLevel="0" collapsed="false">
      <c r="A265" s="13" t="n">
        <v>264</v>
      </c>
      <c r="B265" s="13" t="s">
        <v>2012</v>
      </c>
      <c r="C265" s="13" t="s">
        <v>36</v>
      </c>
      <c r="D265" s="13" t="s">
        <v>112</v>
      </c>
      <c r="E265" s="13" t="s">
        <v>2013</v>
      </c>
      <c r="F265" s="13" t="s">
        <v>50</v>
      </c>
      <c r="G265" s="13" t="s">
        <v>2014</v>
      </c>
      <c r="H265" s="13" t="s">
        <v>252</v>
      </c>
      <c r="I265" s="13" t="s">
        <v>253</v>
      </c>
      <c r="J265" s="13" t="s">
        <v>24</v>
      </c>
      <c r="K265" s="13" t="s">
        <v>254</v>
      </c>
      <c r="L265" s="13" t="s">
        <v>255</v>
      </c>
      <c r="M265" s="13" t="s">
        <v>2015</v>
      </c>
      <c r="N265" s="13"/>
      <c r="O265" s="13"/>
      <c r="P265" s="13"/>
      <c r="Q265" s="13"/>
      <c r="R265" s="13" t="s">
        <v>112</v>
      </c>
      <c r="S265" s="13"/>
      <c r="T265" s="13" t="s">
        <v>2016</v>
      </c>
      <c r="U265" s="13" t="s">
        <v>2017</v>
      </c>
      <c r="V265" s="13" t="s">
        <v>878</v>
      </c>
      <c r="W265" s="13"/>
      <c r="X265" s="13" t="s">
        <v>187</v>
      </c>
      <c r="Y265" s="13" t="s">
        <v>2018</v>
      </c>
      <c r="Z265" s="13" t="s">
        <v>2019</v>
      </c>
      <c r="AA265" s="14" t="s">
        <v>190</v>
      </c>
      <c r="AB265" s="15" t="s">
        <v>191</v>
      </c>
      <c r="AC265" s="15"/>
      <c r="AD265" s="15"/>
    </row>
    <row r="266" customFormat="false" ht="32.8" hidden="false" customHeight="false" outlineLevel="0" collapsed="false">
      <c r="A266" s="13" t="n">
        <v>265</v>
      </c>
      <c r="B266" s="13" t="s">
        <v>2020</v>
      </c>
      <c r="C266" s="13" t="s">
        <v>36</v>
      </c>
      <c r="D266" s="13" t="s">
        <v>2021</v>
      </c>
      <c r="E266" s="13" t="s">
        <v>2022</v>
      </c>
      <c r="F266" s="13" t="s">
        <v>50</v>
      </c>
      <c r="G266" s="13" t="s">
        <v>2023</v>
      </c>
      <c r="H266" s="13" t="s">
        <v>737</v>
      </c>
      <c r="I266" s="13" t="s">
        <v>179</v>
      </c>
      <c r="J266" s="13" t="s">
        <v>23</v>
      </c>
      <c r="K266" s="13" t="s">
        <v>254</v>
      </c>
      <c r="L266" s="13" t="s">
        <v>482</v>
      </c>
      <c r="M266" s="13" t="s">
        <v>2024</v>
      </c>
      <c r="N266" s="13"/>
      <c r="O266" s="13"/>
      <c r="P266" s="13" t="s">
        <v>79</v>
      </c>
      <c r="Q266" s="13"/>
      <c r="R266" s="13" t="s">
        <v>112</v>
      </c>
      <c r="S266" s="13" t="s">
        <v>132</v>
      </c>
      <c r="T266" s="13" t="s">
        <v>2025</v>
      </c>
      <c r="U266" s="13" t="s">
        <v>1985</v>
      </c>
      <c r="V266" s="13" t="s">
        <v>1963</v>
      </c>
      <c r="W266" s="13"/>
      <c r="X266" s="13" t="s">
        <v>202</v>
      </c>
      <c r="Y266" s="13"/>
      <c r="Z266" s="13" t="s">
        <v>2026</v>
      </c>
      <c r="AA266" s="14" t="s">
        <v>190</v>
      </c>
      <c r="AB266" s="15" t="s">
        <v>191</v>
      </c>
      <c r="AC266" s="15"/>
      <c r="AD266" s="15"/>
    </row>
    <row r="267" customFormat="false" ht="32.8" hidden="false" customHeight="false" outlineLevel="0" collapsed="false">
      <c r="A267" s="13" t="n">
        <v>266</v>
      </c>
      <c r="B267" s="13" t="s">
        <v>2027</v>
      </c>
      <c r="C267" s="13" t="s">
        <v>36</v>
      </c>
      <c r="D267" s="13" t="s">
        <v>284</v>
      </c>
      <c r="E267" s="13" t="s">
        <v>2028</v>
      </c>
      <c r="F267" s="13" t="s">
        <v>51</v>
      </c>
      <c r="G267" s="13" t="s">
        <v>2029</v>
      </c>
      <c r="H267" s="13" t="s">
        <v>287</v>
      </c>
      <c r="I267" s="13" t="s">
        <v>179</v>
      </c>
      <c r="J267" s="13" t="s">
        <v>23</v>
      </c>
      <c r="K267" s="13" t="s">
        <v>288</v>
      </c>
      <c r="L267" s="13" t="s">
        <v>2030</v>
      </c>
      <c r="M267" s="13" t="s">
        <v>2031</v>
      </c>
      <c r="N267" s="13"/>
      <c r="O267" s="13"/>
      <c r="P267" s="13"/>
      <c r="Q267" s="13"/>
      <c r="R267" s="13" t="s">
        <v>112</v>
      </c>
      <c r="S267" s="13"/>
      <c r="T267" s="13" t="s">
        <v>2016</v>
      </c>
      <c r="U267" s="13" t="s">
        <v>2017</v>
      </c>
      <c r="V267" s="13" t="s">
        <v>878</v>
      </c>
      <c r="W267" s="13"/>
      <c r="X267" s="13" t="s">
        <v>187</v>
      </c>
      <c r="Y267" s="13" t="s">
        <v>2032</v>
      </c>
      <c r="Z267" s="13" t="s">
        <v>2033</v>
      </c>
      <c r="AA267" s="14" t="s">
        <v>190</v>
      </c>
      <c r="AB267" s="15" t="s">
        <v>191</v>
      </c>
      <c r="AC267" s="15"/>
      <c r="AD267" s="15"/>
    </row>
    <row r="268" customFormat="false" ht="22.35" hidden="false" customHeight="false" outlineLevel="0" collapsed="false">
      <c r="A268" s="13" t="n">
        <v>267</v>
      </c>
      <c r="B268" s="13" t="s">
        <v>2034</v>
      </c>
      <c r="C268" s="13" t="s">
        <v>36</v>
      </c>
      <c r="D268" s="13" t="s">
        <v>2035</v>
      </c>
      <c r="E268" s="13" t="s">
        <v>2036</v>
      </c>
      <c r="F268" s="13" t="s">
        <v>52</v>
      </c>
      <c r="G268" s="13" t="s">
        <v>2037</v>
      </c>
      <c r="H268" s="13" t="s">
        <v>359</v>
      </c>
      <c r="I268" s="13" t="s">
        <v>253</v>
      </c>
      <c r="J268" s="13" t="s">
        <v>24</v>
      </c>
      <c r="K268" s="13" t="s">
        <v>309</v>
      </c>
      <c r="L268" s="13" t="s">
        <v>310</v>
      </c>
      <c r="M268" s="13" t="s">
        <v>2038</v>
      </c>
      <c r="N268" s="13"/>
      <c r="O268" s="13"/>
      <c r="P268" s="13"/>
      <c r="Q268" s="13"/>
      <c r="R268" s="13" t="s">
        <v>112</v>
      </c>
      <c r="S268" s="13"/>
      <c r="T268" s="13"/>
      <c r="U268" s="13" t="s">
        <v>2039</v>
      </c>
      <c r="V268" s="13" t="s">
        <v>209</v>
      </c>
      <c r="W268" s="13" t="s">
        <v>2040</v>
      </c>
      <c r="X268" s="13" t="s">
        <v>202</v>
      </c>
      <c r="Y268" s="13"/>
      <c r="Z268" s="13" t="s">
        <v>2041</v>
      </c>
      <c r="AA268" s="14" t="s">
        <v>190</v>
      </c>
      <c r="AB268" s="15" t="s">
        <v>191</v>
      </c>
      <c r="AC268" s="15"/>
      <c r="AD268" s="15"/>
    </row>
    <row r="269" customFormat="false" ht="22.35" hidden="false" customHeight="false" outlineLevel="0" collapsed="false">
      <c r="A269" s="13" t="n">
        <v>268</v>
      </c>
      <c r="B269" s="13" t="s">
        <v>2042</v>
      </c>
      <c r="C269" s="13" t="s">
        <v>36</v>
      </c>
      <c r="D269" s="13" t="s">
        <v>2035</v>
      </c>
      <c r="E269" s="13" t="s">
        <v>2043</v>
      </c>
      <c r="F269" s="13" t="s">
        <v>52</v>
      </c>
      <c r="G269" s="13" t="s">
        <v>2044</v>
      </c>
      <c r="H269" s="13" t="s">
        <v>359</v>
      </c>
      <c r="I269" s="13" t="s">
        <v>253</v>
      </c>
      <c r="J269" s="13" t="s">
        <v>25</v>
      </c>
      <c r="K269" s="13" t="s">
        <v>309</v>
      </c>
      <c r="L269" s="13" t="s">
        <v>2045</v>
      </c>
      <c r="M269" s="13" t="s">
        <v>2046</v>
      </c>
      <c r="N269" s="13"/>
      <c r="O269" s="13"/>
      <c r="P269" s="13"/>
      <c r="Q269" s="13"/>
      <c r="R269" s="13" t="s">
        <v>112</v>
      </c>
      <c r="S269" s="13"/>
      <c r="T269" s="13" t="s">
        <v>2016</v>
      </c>
      <c r="U269" s="13" t="s">
        <v>2047</v>
      </c>
      <c r="V269" s="13" t="s">
        <v>2048</v>
      </c>
      <c r="W269" s="13" t="s">
        <v>2040</v>
      </c>
      <c r="X269" s="13" t="s">
        <v>202</v>
      </c>
      <c r="Y269" s="13"/>
      <c r="Z269" s="13" t="s">
        <v>2049</v>
      </c>
      <c r="AA269" s="14" t="s">
        <v>190</v>
      </c>
      <c r="AB269" s="15" t="s">
        <v>191</v>
      </c>
      <c r="AC269" s="15"/>
      <c r="AD269" s="15"/>
    </row>
    <row r="270" customFormat="false" ht="22.35" hidden="false" customHeight="false" outlineLevel="0" collapsed="false">
      <c r="A270" s="13" t="n">
        <v>269</v>
      </c>
      <c r="B270" s="13" t="s">
        <v>2050</v>
      </c>
      <c r="C270" s="13" t="s">
        <v>36</v>
      </c>
      <c r="D270" s="13" t="s">
        <v>2035</v>
      </c>
      <c r="E270" s="13" t="s">
        <v>2051</v>
      </c>
      <c r="F270" s="13" t="s">
        <v>52</v>
      </c>
      <c r="G270" s="13" t="s">
        <v>2052</v>
      </c>
      <c r="H270" s="13" t="s">
        <v>359</v>
      </c>
      <c r="I270" s="13" t="s">
        <v>253</v>
      </c>
      <c r="J270" s="13" t="s">
        <v>25</v>
      </c>
      <c r="K270" s="13" t="s">
        <v>309</v>
      </c>
      <c r="L270" s="13" t="s">
        <v>310</v>
      </c>
      <c r="M270" s="13" t="s">
        <v>2053</v>
      </c>
      <c r="N270" s="13"/>
      <c r="O270" s="13"/>
      <c r="P270" s="13"/>
      <c r="Q270" s="13"/>
      <c r="R270" s="13" t="s">
        <v>112</v>
      </c>
      <c r="S270" s="13"/>
      <c r="T270" s="13"/>
      <c r="U270" s="13" t="s">
        <v>2039</v>
      </c>
      <c r="V270" s="13" t="s">
        <v>2054</v>
      </c>
      <c r="W270" s="13" t="s">
        <v>2040</v>
      </c>
      <c r="X270" s="13" t="s">
        <v>202</v>
      </c>
      <c r="Y270" s="13"/>
      <c r="Z270" s="13" t="s">
        <v>2055</v>
      </c>
      <c r="AA270" s="14" t="s">
        <v>190</v>
      </c>
      <c r="AB270" s="15" t="s">
        <v>191</v>
      </c>
      <c r="AC270" s="15"/>
      <c r="AD270" s="15"/>
    </row>
    <row r="271" customFormat="false" ht="22.35" hidden="false" customHeight="false" outlineLevel="0" collapsed="false">
      <c r="A271" s="13" t="n">
        <v>270</v>
      </c>
      <c r="B271" s="13" t="s">
        <v>2056</v>
      </c>
      <c r="C271" s="13" t="s">
        <v>36</v>
      </c>
      <c r="D271" s="13" t="s">
        <v>862</v>
      </c>
      <c r="E271" s="13" t="s">
        <v>2057</v>
      </c>
      <c r="F271" s="13" t="s">
        <v>52</v>
      </c>
      <c r="G271" s="13" t="s">
        <v>2058</v>
      </c>
      <c r="H271" s="13" t="s">
        <v>388</v>
      </c>
      <c r="I271" s="13" t="s">
        <v>253</v>
      </c>
      <c r="J271" s="13" t="s">
        <v>24</v>
      </c>
      <c r="K271" s="13" t="s">
        <v>309</v>
      </c>
      <c r="L271" s="13" t="s">
        <v>2059</v>
      </c>
      <c r="M271" s="13" t="s">
        <v>2060</v>
      </c>
      <c r="N271" s="13"/>
      <c r="O271" s="13"/>
      <c r="P271" s="13"/>
      <c r="Q271" s="13"/>
      <c r="R271" s="13" t="s">
        <v>112</v>
      </c>
      <c r="S271" s="13" t="s">
        <v>132</v>
      </c>
      <c r="T271" s="13" t="s">
        <v>2061</v>
      </c>
      <c r="U271" s="13" t="s">
        <v>468</v>
      </c>
      <c r="V271" s="13" t="s">
        <v>1743</v>
      </c>
      <c r="W271" s="13"/>
      <c r="X271" s="13" t="s">
        <v>187</v>
      </c>
      <c r="Y271" s="13" t="s">
        <v>2062</v>
      </c>
      <c r="Z271" s="13" t="s">
        <v>2063</v>
      </c>
      <c r="AA271" s="14" t="s">
        <v>190</v>
      </c>
      <c r="AB271" s="15" t="s">
        <v>191</v>
      </c>
      <c r="AC271" s="15"/>
      <c r="AD271" s="15"/>
    </row>
    <row r="272" customFormat="false" ht="32.8" hidden="false" customHeight="false" outlineLevel="0" collapsed="false">
      <c r="A272" s="13" t="n">
        <v>271</v>
      </c>
      <c r="B272" s="13" t="s">
        <v>2064</v>
      </c>
      <c r="C272" s="13" t="s">
        <v>36</v>
      </c>
      <c r="D272" s="13" t="s">
        <v>2065</v>
      </c>
      <c r="E272" s="13" t="s">
        <v>2066</v>
      </c>
      <c r="F272" s="13" t="s">
        <v>52</v>
      </c>
      <c r="G272" s="13" t="s">
        <v>2067</v>
      </c>
      <c r="H272" s="13" t="s">
        <v>1250</v>
      </c>
      <c r="I272" s="13" t="s">
        <v>253</v>
      </c>
      <c r="J272" s="13" t="s">
        <v>24</v>
      </c>
      <c r="K272" s="13" t="s">
        <v>309</v>
      </c>
      <c r="L272" s="13" t="s">
        <v>1907</v>
      </c>
      <c r="M272" s="13" t="s">
        <v>2068</v>
      </c>
      <c r="N272" s="13"/>
      <c r="O272" s="13"/>
      <c r="P272" s="13"/>
      <c r="Q272" s="13"/>
      <c r="R272" s="13" t="s">
        <v>112</v>
      </c>
      <c r="S272" s="13"/>
      <c r="T272" s="13" t="s">
        <v>2016</v>
      </c>
      <c r="U272" s="13" t="s">
        <v>2069</v>
      </c>
      <c r="V272" s="13" t="s">
        <v>878</v>
      </c>
      <c r="W272" s="13"/>
      <c r="X272" s="13" t="s">
        <v>187</v>
      </c>
      <c r="Y272" s="13" t="s">
        <v>2070</v>
      </c>
      <c r="Z272" s="13" t="s">
        <v>2071</v>
      </c>
      <c r="AA272" s="14" t="s">
        <v>190</v>
      </c>
      <c r="AB272" s="15" t="s">
        <v>191</v>
      </c>
      <c r="AC272" s="15"/>
      <c r="AD272" s="15"/>
    </row>
    <row r="273" customFormat="false" ht="22.35" hidden="false" customHeight="false" outlineLevel="0" collapsed="false">
      <c r="A273" s="13" t="n">
        <v>272</v>
      </c>
      <c r="B273" s="13" t="s">
        <v>2072</v>
      </c>
      <c r="C273" s="13" t="s">
        <v>36</v>
      </c>
      <c r="D273" s="13" t="s">
        <v>2065</v>
      </c>
      <c r="E273" s="13" t="s">
        <v>2073</v>
      </c>
      <c r="F273" s="13" t="s">
        <v>52</v>
      </c>
      <c r="G273" s="13" t="s">
        <v>2074</v>
      </c>
      <c r="H273" s="13" t="s">
        <v>1250</v>
      </c>
      <c r="I273" s="13" t="s">
        <v>253</v>
      </c>
      <c r="J273" s="13" t="s">
        <v>24</v>
      </c>
      <c r="K273" s="13" t="s">
        <v>309</v>
      </c>
      <c r="L273" s="13" t="s">
        <v>1907</v>
      </c>
      <c r="M273" s="13" t="s">
        <v>2075</v>
      </c>
      <c r="N273" s="13"/>
      <c r="O273" s="13"/>
      <c r="P273" s="13"/>
      <c r="Q273" s="13"/>
      <c r="R273" s="13" t="s">
        <v>112</v>
      </c>
      <c r="S273" s="13"/>
      <c r="T273" s="13" t="s">
        <v>2076</v>
      </c>
      <c r="U273" s="13" t="s">
        <v>2077</v>
      </c>
      <c r="V273" s="13" t="s">
        <v>2078</v>
      </c>
      <c r="W273" s="13"/>
      <c r="X273" s="13" t="s">
        <v>293</v>
      </c>
      <c r="Y273" s="13" t="s">
        <v>2079</v>
      </c>
      <c r="Z273" s="13" t="s">
        <v>2080</v>
      </c>
      <c r="AA273" s="14" t="s">
        <v>190</v>
      </c>
      <c r="AB273" s="15" t="s">
        <v>191</v>
      </c>
      <c r="AC273" s="15"/>
      <c r="AD273" s="15"/>
    </row>
    <row r="274" customFormat="false" ht="32.8" hidden="false" customHeight="false" outlineLevel="0" collapsed="false">
      <c r="A274" s="13" t="n">
        <v>273</v>
      </c>
      <c r="B274" s="13" t="s">
        <v>2081</v>
      </c>
      <c r="C274" s="13" t="s">
        <v>37</v>
      </c>
      <c r="D274" s="13" t="s">
        <v>2082</v>
      </c>
      <c r="E274" s="13" t="s">
        <v>2083</v>
      </c>
      <c r="F274" s="13" t="s">
        <v>48</v>
      </c>
      <c r="G274" s="13" t="s">
        <v>2084</v>
      </c>
      <c r="H274" s="13" t="s">
        <v>1800</v>
      </c>
      <c r="I274" s="13" t="s">
        <v>179</v>
      </c>
      <c r="J274" s="13" t="s">
        <v>24</v>
      </c>
      <c r="K274" s="13" t="s">
        <v>180</v>
      </c>
      <c r="L274" s="13" t="s">
        <v>181</v>
      </c>
      <c r="M274" s="13" t="s">
        <v>2085</v>
      </c>
      <c r="N274" s="13"/>
      <c r="O274" s="13"/>
      <c r="P274" s="13"/>
      <c r="Q274" s="13"/>
      <c r="R274" s="13" t="s">
        <v>111</v>
      </c>
      <c r="S274" s="13"/>
      <c r="T274" s="13" t="s">
        <v>924</v>
      </c>
      <c r="U274" s="13" t="s">
        <v>2086</v>
      </c>
      <c r="V274" s="13" t="s">
        <v>926</v>
      </c>
      <c r="W274" s="13" t="s">
        <v>2087</v>
      </c>
      <c r="X274" s="13" t="s">
        <v>187</v>
      </c>
      <c r="Y274" s="13" t="s">
        <v>2088</v>
      </c>
      <c r="Z274" s="13" t="s">
        <v>2089</v>
      </c>
      <c r="AA274" s="14" t="s">
        <v>190</v>
      </c>
      <c r="AB274" s="15" t="s">
        <v>191</v>
      </c>
      <c r="AC274" s="15"/>
      <c r="AD274" s="15"/>
    </row>
    <row r="275" customFormat="false" ht="32.8" hidden="false" customHeight="false" outlineLevel="0" collapsed="false">
      <c r="A275" s="13" t="n">
        <v>274</v>
      </c>
      <c r="B275" s="13" t="s">
        <v>2090</v>
      </c>
      <c r="C275" s="13" t="s">
        <v>37</v>
      </c>
      <c r="D275" s="13" t="s">
        <v>2082</v>
      </c>
      <c r="E275" s="13" t="s">
        <v>2091</v>
      </c>
      <c r="F275" s="13" t="s">
        <v>48</v>
      </c>
      <c r="G275" s="13" t="s">
        <v>2092</v>
      </c>
      <c r="H275" s="13" t="s">
        <v>1800</v>
      </c>
      <c r="I275" s="13" t="s">
        <v>179</v>
      </c>
      <c r="J275" s="13" t="s">
        <v>24</v>
      </c>
      <c r="K275" s="13" t="s">
        <v>180</v>
      </c>
      <c r="L275" s="13" t="s">
        <v>197</v>
      </c>
      <c r="M275" s="13" t="s">
        <v>2093</v>
      </c>
      <c r="N275" s="13"/>
      <c r="O275" s="13"/>
      <c r="P275" s="13"/>
      <c r="Q275" s="13"/>
      <c r="R275" s="13" t="s">
        <v>111</v>
      </c>
      <c r="S275" s="13"/>
      <c r="T275" s="13"/>
      <c r="U275" s="13" t="s">
        <v>1785</v>
      </c>
      <c r="V275" s="13" t="s">
        <v>878</v>
      </c>
      <c r="W275" s="13" t="s">
        <v>2087</v>
      </c>
      <c r="X275" s="13" t="s">
        <v>202</v>
      </c>
      <c r="Y275" s="13"/>
      <c r="Z275" s="13" t="s">
        <v>2094</v>
      </c>
      <c r="AA275" s="14" t="s">
        <v>190</v>
      </c>
      <c r="AB275" s="15" t="s">
        <v>191</v>
      </c>
      <c r="AC275" s="15"/>
      <c r="AD275" s="15"/>
    </row>
    <row r="276" customFormat="false" ht="32.8" hidden="false" customHeight="false" outlineLevel="0" collapsed="false">
      <c r="A276" s="13" t="n">
        <v>275</v>
      </c>
      <c r="B276" s="13" t="s">
        <v>2095</v>
      </c>
      <c r="C276" s="13" t="s">
        <v>37</v>
      </c>
      <c r="D276" s="13" t="s">
        <v>2082</v>
      </c>
      <c r="E276" s="13" t="s">
        <v>2096</v>
      </c>
      <c r="F276" s="13" t="s">
        <v>48</v>
      </c>
      <c r="G276" s="13" t="s">
        <v>2097</v>
      </c>
      <c r="H276" s="13" t="s">
        <v>1800</v>
      </c>
      <c r="I276" s="13" t="s">
        <v>179</v>
      </c>
      <c r="J276" s="13" t="s">
        <v>25</v>
      </c>
      <c r="K276" s="13" t="s">
        <v>180</v>
      </c>
      <c r="L276" s="13" t="s">
        <v>181</v>
      </c>
      <c r="M276" s="13" t="s">
        <v>2098</v>
      </c>
      <c r="N276" s="13"/>
      <c r="O276" s="13"/>
      <c r="P276" s="13"/>
      <c r="Q276" s="13"/>
      <c r="R276" s="13" t="s">
        <v>111</v>
      </c>
      <c r="S276" s="13"/>
      <c r="T276" s="13" t="s">
        <v>924</v>
      </c>
      <c r="U276" s="13" t="s">
        <v>1024</v>
      </c>
      <c r="V276" s="13" t="s">
        <v>1762</v>
      </c>
      <c r="W276" s="13" t="s">
        <v>2087</v>
      </c>
      <c r="X276" s="13" t="s">
        <v>202</v>
      </c>
      <c r="Y276" s="13"/>
      <c r="Z276" s="13" t="s">
        <v>2099</v>
      </c>
      <c r="AA276" s="14" t="s">
        <v>190</v>
      </c>
      <c r="AB276" s="15" t="s">
        <v>191</v>
      </c>
      <c r="AC276" s="15"/>
      <c r="AD276" s="15"/>
    </row>
    <row r="277" customFormat="false" ht="32.8" hidden="false" customHeight="false" outlineLevel="0" collapsed="false">
      <c r="A277" s="13" t="n">
        <v>276</v>
      </c>
      <c r="B277" s="13" t="s">
        <v>2100</v>
      </c>
      <c r="C277" s="13" t="s">
        <v>37</v>
      </c>
      <c r="D277" s="13" t="s">
        <v>2082</v>
      </c>
      <c r="E277" s="13" t="s">
        <v>2101</v>
      </c>
      <c r="F277" s="13" t="s">
        <v>48</v>
      </c>
      <c r="G277" s="13" t="s">
        <v>2102</v>
      </c>
      <c r="H277" s="13" t="s">
        <v>1800</v>
      </c>
      <c r="I277" s="13" t="s">
        <v>253</v>
      </c>
      <c r="J277" s="13" t="s">
        <v>25</v>
      </c>
      <c r="K277" s="13" t="s">
        <v>180</v>
      </c>
      <c r="L277" s="13" t="s">
        <v>181</v>
      </c>
      <c r="M277" s="13" t="s">
        <v>2103</v>
      </c>
      <c r="N277" s="13"/>
      <c r="O277" s="13"/>
      <c r="P277" s="13"/>
      <c r="Q277" s="13"/>
      <c r="R277" s="13" t="s">
        <v>111</v>
      </c>
      <c r="S277" s="13"/>
      <c r="T277" s="13" t="s">
        <v>924</v>
      </c>
      <c r="U277" s="13" t="s">
        <v>1024</v>
      </c>
      <c r="V277" s="13" t="s">
        <v>1762</v>
      </c>
      <c r="W277" s="13" t="s">
        <v>2087</v>
      </c>
      <c r="X277" s="13" t="s">
        <v>202</v>
      </c>
      <c r="Y277" s="13"/>
      <c r="Z277" s="13" t="s">
        <v>2104</v>
      </c>
      <c r="AA277" s="14" t="s">
        <v>190</v>
      </c>
      <c r="AB277" s="15" t="s">
        <v>191</v>
      </c>
      <c r="AC277" s="15"/>
      <c r="AD277" s="15"/>
    </row>
    <row r="278" customFormat="false" ht="53.7" hidden="false" customHeight="false" outlineLevel="0" collapsed="false">
      <c r="A278" s="13" t="n">
        <v>277</v>
      </c>
      <c r="B278" s="13" t="s">
        <v>2105</v>
      </c>
      <c r="C278" s="13" t="s">
        <v>37</v>
      </c>
      <c r="D278" s="13" t="s">
        <v>2106</v>
      </c>
      <c r="E278" s="13" t="s">
        <v>2107</v>
      </c>
      <c r="F278" s="13" t="s">
        <v>48</v>
      </c>
      <c r="G278" s="13" t="s">
        <v>2108</v>
      </c>
      <c r="H278" s="13" t="s">
        <v>433</v>
      </c>
      <c r="I278" s="13" t="s">
        <v>179</v>
      </c>
      <c r="J278" s="13" t="s">
        <v>24</v>
      </c>
      <c r="K278" s="13" t="s">
        <v>180</v>
      </c>
      <c r="L278" s="13" t="s">
        <v>2109</v>
      </c>
      <c r="M278" s="13" t="s">
        <v>2110</v>
      </c>
      <c r="N278" s="13"/>
      <c r="O278" s="13"/>
      <c r="P278" s="13"/>
      <c r="Q278" s="13"/>
      <c r="R278" s="13" t="s">
        <v>110</v>
      </c>
      <c r="S278" s="13" t="s">
        <v>128</v>
      </c>
      <c r="T278" s="13" t="s">
        <v>507</v>
      </c>
      <c r="U278" s="13" t="s">
        <v>2111</v>
      </c>
      <c r="V278" s="13" t="s">
        <v>2112</v>
      </c>
      <c r="W278" s="13" t="s">
        <v>2113</v>
      </c>
      <c r="X278" s="13" t="s">
        <v>187</v>
      </c>
      <c r="Y278" s="13" t="s">
        <v>2114</v>
      </c>
      <c r="Z278" s="13" t="s">
        <v>2115</v>
      </c>
      <c r="AA278" s="14" t="s">
        <v>190</v>
      </c>
      <c r="AB278" s="15" t="s">
        <v>191</v>
      </c>
      <c r="AC278" s="15"/>
      <c r="AD278" s="15"/>
    </row>
    <row r="279" customFormat="false" ht="32.8" hidden="false" customHeight="false" outlineLevel="0" collapsed="false">
      <c r="A279" s="13" t="n">
        <v>278</v>
      </c>
      <c r="B279" s="13" t="s">
        <v>2116</v>
      </c>
      <c r="C279" s="13" t="s">
        <v>37</v>
      </c>
      <c r="D279" s="13" t="s">
        <v>2106</v>
      </c>
      <c r="E279" s="13" t="s">
        <v>2117</v>
      </c>
      <c r="F279" s="13" t="s">
        <v>48</v>
      </c>
      <c r="G279" s="13" t="s">
        <v>2118</v>
      </c>
      <c r="H279" s="13" t="s">
        <v>433</v>
      </c>
      <c r="I279" s="13" t="s">
        <v>179</v>
      </c>
      <c r="J279" s="13" t="s">
        <v>24</v>
      </c>
      <c r="K279" s="13" t="s">
        <v>180</v>
      </c>
      <c r="L279" s="13" t="s">
        <v>2109</v>
      </c>
      <c r="M279" s="13" t="s">
        <v>2119</v>
      </c>
      <c r="N279" s="13"/>
      <c r="O279" s="13"/>
      <c r="P279" s="13"/>
      <c r="Q279" s="13"/>
      <c r="R279" s="13" t="s">
        <v>110</v>
      </c>
      <c r="S279" s="13" t="s">
        <v>128</v>
      </c>
      <c r="T279" s="13" t="s">
        <v>507</v>
      </c>
      <c r="U279" s="13" t="s">
        <v>2120</v>
      </c>
      <c r="V279" s="13" t="s">
        <v>509</v>
      </c>
      <c r="W279" s="13" t="s">
        <v>2113</v>
      </c>
      <c r="X279" s="13" t="s">
        <v>202</v>
      </c>
      <c r="Y279" s="13"/>
      <c r="Z279" s="13" t="s">
        <v>2121</v>
      </c>
      <c r="AA279" s="14" t="s">
        <v>190</v>
      </c>
      <c r="AB279" s="15" t="s">
        <v>191</v>
      </c>
      <c r="AC279" s="15"/>
      <c r="AD279" s="15"/>
    </row>
    <row r="280" customFormat="false" ht="43.25" hidden="false" customHeight="false" outlineLevel="0" collapsed="false">
      <c r="A280" s="13" t="n">
        <v>279</v>
      </c>
      <c r="B280" s="13" t="s">
        <v>2122</v>
      </c>
      <c r="C280" s="13" t="s">
        <v>37</v>
      </c>
      <c r="D280" s="13" t="s">
        <v>2106</v>
      </c>
      <c r="E280" s="13" t="s">
        <v>2123</v>
      </c>
      <c r="F280" s="13" t="s">
        <v>50</v>
      </c>
      <c r="G280" s="13" t="s">
        <v>2124</v>
      </c>
      <c r="H280" s="13" t="s">
        <v>252</v>
      </c>
      <c r="I280" s="13" t="s">
        <v>253</v>
      </c>
      <c r="J280" s="13" t="s">
        <v>24</v>
      </c>
      <c r="K280" s="13" t="s">
        <v>254</v>
      </c>
      <c r="L280" s="13" t="s">
        <v>457</v>
      </c>
      <c r="M280" s="13" t="s">
        <v>2125</v>
      </c>
      <c r="N280" s="13"/>
      <c r="O280" s="13"/>
      <c r="P280" s="13" t="s">
        <v>79</v>
      </c>
      <c r="Q280" s="13"/>
      <c r="R280" s="13" t="s">
        <v>110</v>
      </c>
      <c r="S280" s="13" t="s">
        <v>128</v>
      </c>
      <c r="T280" s="13" t="s">
        <v>507</v>
      </c>
      <c r="U280" s="13" t="s">
        <v>2111</v>
      </c>
      <c r="V280" s="13" t="s">
        <v>2112</v>
      </c>
      <c r="W280" s="13" t="s">
        <v>2113</v>
      </c>
      <c r="X280" s="13" t="s">
        <v>187</v>
      </c>
      <c r="Y280" s="13" t="s">
        <v>2126</v>
      </c>
      <c r="Z280" s="13" t="s">
        <v>2127</v>
      </c>
      <c r="AA280" s="14" t="s">
        <v>190</v>
      </c>
      <c r="AB280" s="15" t="s">
        <v>191</v>
      </c>
      <c r="AC280" s="15"/>
      <c r="AD280" s="15"/>
    </row>
    <row r="281" customFormat="false" ht="32.8" hidden="false" customHeight="false" outlineLevel="0" collapsed="false">
      <c r="A281" s="13" t="n">
        <v>280</v>
      </c>
      <c r="B281" s="13" t="s">
        <v>2128</v>
      </c>
      <c r="C281" s="13" t="s">
        <v>37</v>
      </c>
      <c r="D281" s="13" t="s">
        <v>2106</v>
      </c>
      <c r="E281" s="13" t="s">
        <v>2129</v>
      </c>
      <c r="F281" s="13" t="s">
        <v>50</v>
      </c>
      <c r="G281" s="13" t="s">
        <v>2130</v>
      </c>
      <c r="H281" s="13" t="s">
        <v>252</v>
      </c>
      <c r="I281" s="13" t="s">
        <v>179</v>
      </c>
      <c r="J281" s="13" t="s">
        <v>23</v>
      </c>
      <c r="K281" s="13" t="s">
        <v>254</v>
      </c>
      <c r="L281" s="13" t="s">
        <v>457</v>
      </c>
      <c r="M281" s="13" t="s">
        <v>2131</v>
      </c>
      <c r="N281" s="13"/>
      <c r="O281" s="13"/>
      <c r="P281" s="13" t="s">
        <v>79</v>
      </c>
      <c r="Q281" s="13"/>
      <c r="R281" s="13" t="s">
        <v>110</v>
      </c>
      <c r="S281" s="13" t="s">
        <v>128</v>
      </c>
      <c r="T281" s="13" t="s">
        <v>507</v>
      </c>
      <c r="U281" s="13" t="s">
        <v>2111</v>
      </c>
      <c r="V281" s="13" t="s">
        <v>2132</v>
      </c>
      <c r="W281" s="13" t="s">
        <v>2113</v>
      </c>
      <c r="X281" s="13" t="s">
        <v>202</v>
      </c>
      <c r="Y281" s="13"/>
      <c r="Z281" s="13" t="s">
        <v>2133</v>
      </c>
      <c r="AA281" s="14" t="s">
        <v>190</v>
      </c>
      <c r="AB281" s="15" t="s">
        <v>191</v>
      </c>
      <c r="AC281" s="15"/>
      <c r="AD281" s="15"/>
    </row>
    <row r="282" customFormat="false" ht="32.8" hidden="false" customHeight="false" outlineLevel="0" collapsed="false">
      <c r="A282" s="13" t="n">
        <v>281</v>
      </c>
      <c r="B282" s="13" t="s">
        <v>2134</v>
      </c>
      <c r="C282" s="13" t="s">
        <v>37</v>
      </c>
      <c r="D282" s="13" t="s">
        <v>2106</v>
      </c>
      <c r="E282" s="13" t="s">
        <v>2135</v>
      </c>
      <c r="F282" s="13" t="s">
        <v>50</v>
      </c>
      <c r="G282" s="13" t="s">
        <v>2136</v>
      </c>
      <c r="H282" s="13" t="s">
        <v>252</v>
      </c>
      <c r="I282" s="13" t="s">
        <v>253</v>
      </c>
      <c r="J282" s="13" t="s">
        <v>24</v>
      </c>
      <c r="K282" s="13" t="s">
        <v>254</v>
      </c>
      <c r="L282" s="13" t="s">
        <v>457</v>
      </c>
      <c r="M282" s="13" t="s">
        <v>2137</v>
      </c>
      <c r="N282" s="13"/>
      <c r="O282" s="13"/>
      <c r="P282" s="13" t="s">
        <v>79</v>
      </c>
      <c r="Q282" s="13"/>
      <c r="R282" s="13" t="s">
        <v>110</v>
      </c>
      <c r="S282" s="13" t="s">
        <v>128</v>
      </c>
      <c r="T282" s="13" t="s">
        <v>507</v>
      </c>
      <c r="U282" s="13" t="s">
        <v>508</v>
      </c>
      <c r="V282" s="13" t="s">
        <v>509</v>
      </c>
      <c r="W282" s="13" t="s">
        <v>2113</v>
      </c>
      <c r="X282" s="13" t="s">
        <v>202</v>
      </c>
      <c r="Y282" s="13"/>
      <c r="Z282" s="13" t="s">
        <v>2138</v>
      </c>
      <c r="AA282" s="14" t="s">
        <v>190</v>
      </c>
      <c r="AB282" s="15" t="s">
        <v>191</v>
      </c>
      <c r="AC282" s="15"/>
      <c r="AD282" s="15"/>
    </row>
    <row r="283" customFormat="false" ht="32.8" hidden="false" customHeight="false" outlineLevel="0" collapsed="false">
      <c r="A283" s="13" t="n">
        <v>282</v>
      </c>
      <c r="B283" s="13" t="s">
        <v>2139</v>
      </c>
      <c r="C283" s="13" t="s">
        <v>37</v>
      </c>
      <c r="D283" s="13" t="s">
        <v>2106</v>
      </c>
      <c r="E283" s="13" t="s">
        <v>2140</v>
      </c>
      <c r="F283" s="13" t="s">
        <v>50</v>
      </c>
      <c r="G283" s="13" t="s">
        <v>2141</v>
      </c>
      <c r="H283" s="13" t="s">
        <v>252</v>
      </c>
      <c r="I283" s="13" t="s">
        <v>253</v>
      </c>
      <c r="J283" s="13" t="s">
        <v>24</v>
      </c>
      <c r="K283" s="13" t="s">
        <v>254</v>
      </c>
      <c r="L283" s="13" t="s">
        <v>457</v>
      </c>
      <c r="M283" s="13" t="s">
        <v>2142</v>
      </c>
      <c r="N283" s="13"/>
      <c r="O283" s="13"/>
      <c r="P283" s="13" t="s">
        <v>79</v>
      </c>
      <c r="Q283" s="13"/>
      <c r="R283" s="13" t="s">
        <v>110</v>
      </c>
      <c r="S283" s="13" t="s">
        <v>126</v>
      </c>
      <c r="T283" s="13" t="s">
        <v>507</v>
      </c>
      <c r="U283" s="13" t="s">
        <v>508</v>
      </c>
      <c r="V283" s="13" t="s">
        <v>2143</v>
      </c>
      <c r="W283" s="13" t="s">
        <v>2113</v>
      </c>
      <c r="X283" s="13" t="s">
        <v>202</v>
      </c>
      <c r="Y283" s="13"/>
      <c r="Z283" s="13" t="s">
        <v>2144</v>
      </c>
      <c r="AA283" s="14" t="s">
        <v>190</v>
      </c>
      <c r="AB283" s="15" t="s">
        <v>191</v>
      </c>
      <c r="AC283" s="15"/>
      <c r="AD283" s="15"/>
    </row>
    <row r="284" customFormat="false" ht="32.8" hidden="false" customHeight="false" outlineLevel="0" collapsed="false">
      <c r="A284" s="13" t="n">
        <v>283</v>
      </c>
      <c r="B284" s="13" t="s">
        <v>2145</v>
      </c>
      <c r="C284" s="13" t="s">
        <v>37</v>
      </c>
      <c r="D284" s="13" t="s">
        <v>2106</v>
      </c>
      <c r="E284" s="13" t="s">
        <v>2146</v>
      </c>
      <c r="F284" s="13" t="s">
        <v>50</v>
      </c>
      <c r="G284" s="13" t="s">
        <v>2147</v>
      </c>
      <c r="H284" s="13" t="s">
        <v>252</v>
      </c>
      <c r="I284" s="13" t="s">
        <v>179</v>
      </c>
      <c r="J284" s="13" t="s">
        <v>24</v>
      </c>
      <c r="K284" s="13" t="s">
        <v>254</v>
      </c>
      <c r="L284" s="13" t="s">
        <v>2148</v>
      </c>
      <c r="M284" s="13" t="s">
        <v>2149</v>
      </c>
      <c r="N284" s="13"/>
      <c r="O284" s="13"/>
      <c r="P284" s="13" t="s">
        <v>79</v>
      </c>
      <c r="Q284" s="13"/>
      <c r="R284" s="13" t="s">
        <v>110</v>
      </c>
      <c r="S284" s="13" t="s">
        <v>128</v>
      </c>
      <c r="T284" s="13" t="s">
        <v>507</v>
      </c>
      <c r="U284" s="13" t="s">
        <v>2150</v>
      </c>
      <c r="V284" s="13" t="s">
        <v>2151</v>
      </c>
      <c r="W284" s="13" t="s">
        <v>2152</v>
      </c>
      <c r="X284" s="13" t="s">
        <v>202</v>
      </c>
      <c r="Y284" s="13"/>
      <c r="Z284" s="13" t="s">
        <v>2153</v>
      </c>
      <c r="AA284" s="14" t="s">
        <v>190</v>
      </c>
      <c r="AB284" s="15" t="s">
        <v>191</v>
      </c>
      <c r="AC284" s="15"/>
      <c r="AD284" s="15"/>
    </row>
    <row r="285" customFormat="false" ht="32.8" hidden="false" customHeight="false" outlineLevel="0" collapsed="false">
      <c r="A285" s="13" t="n">
        <v>284</v>
      </c>
      <c r="B285" s="13" t="s">
        <v>2154</v>
      </c>
      <c r="C285" s="13" t="s">
        <v>37</v>
      </c>
      <c r="D285" s="13" t="s">
        <v>2155</v>
      </c>
      <c r="E285" s="13" t="s">
        <v>2156</v>
      </c>
      <c r="F285" s="13" t="s">
        <v>50</v>
      </c>
      <c r="G285" s="13" t="s">
        <v>2157</v>
      </c>
      <c r="H285" s="13" t="s">
        <v>252</v>
      </c>
      <c r="I285" s="13" t="s">
        <v>253</v>
      </c>
      <c r="J285" s="13" t="s">
        <v>24</v>
      </c>
      <c r="K285" s="13" t="s">
        <v>254</v>
      </c>
      <c r="L285" s="13" t="s">
        <v>2158</v>
      </c>
      <c r="M285" s="13" t="s">
        <v>2159</v>
      </c>
      <c r="N285" s="13"/>
      <c r="O285" s="13"/>
      <c r="P285" s="13"/>
      <c r="Q285" s="13"/>
      <c r="R285" s="13" t="s">
        <v>110</v>
      </c>
      <c r="S285" s="13"/>
      <c r="T285" s="13" t="s">
        <v>924</v>
      </c>
      <c r="U285" s="13" t="s">
        <v>925</v>
      </c>
      <c r="V285" s="13" t="s">
        <v>926</v>
      </c>
      <c r="W285" s="13" t="s">
        <v>2087</v>
      </c>
      <c r="X285" s="13" t="s">
        <v>187</v>
      </c>
      <c r="Y285" s="13" t="s">
        <v>2160</v>
      </c>
      <c r="Z285" s="13" t="s">
        <v>2161</v>
      </c>
      <c r="AA285" s="14" t="s">
        <v>190</v>
      </c>
      <c r="AB285" s="15" t="s">
        <v>191</v>
      </c>
      <c r="AC285" s="15"/>
      <c r="AD285" s="15"/>
    </row>
    <row r="286" customFormat="false" ht="32.8" hidden="false" customHeight="false" outlineLevel="0" collapsed="false">
      <c r="A286" s="13" t="n">
        <v>285</v>
      </c>
      <c r="B286" s="13" t="s">
        <v>2162</v>
      </c>
      <c r="C286" s="13" t="s">
        <v>37</v>
      </c>
      <c r="D286" s="13" t="s">
        <v>2155</v>
      </c>
      <c r="E286" s="13" t="s">
        <v>2163</v>
      </c>
      <c r="F286" s="13" t="s">
        <v>50</v>
      </c>
      <c r="G286" s="13" t="s">
        <v>2164</v>
      </c>
      <c r="H286" s="13" t="s">
        <v>252</v>
      </c>
      <c r="I286" s="13" t="s">
        <v>179</v>
      </c>
      <c r="J286" s="13" t="s">
        <v>24</v>
      </c>
      <c r="K286" s="13" t="s">
        <v>254</v>
      </c>
      <c r="L286" s="13" t="s">
        <v>2158</v>
      </c>
      <c r="M286" s="13" t="s">
        <v>2165</v>
      </c>
      <c r="N286" s="13"/>
      <c r="O286" s="13"/>
      <c r="P286" s="13"/>
      <c r="Q286" s="13"/>
      <c r="R286" s="13" t="s">
        <v>110</v>
      </c>
      <c r="S286" s="13"/>
      <c r="T286" s="13" t="s">
        <v>924</v>
      </c>
      <c r="U286" s="13" t="s">
        <v>1024</v>
      </c>
      <c r="V286" s="13" t="s">
        <v>1762</v>
      </c>
      <c r="W286" s="13" t="s">
        <v>2087</v>
      </c>
      <c r="X286" s="13" t="s">
        <v>202</v>
      </c>
      <c r="Y286" s="13"/>
      <c r="Z286" s="13" t="s">
        <v>2166</v>
      </c>
      <c r="AA286" s="14" t="s">
        <v>190</v>
      </c>
      <c r="AB286" s="15" t="s">
        <v>191</v>
      </c>
      <c r="AC286" s="15"/>
      <c r="AD286" s="15"/>
    </row>
    <row r="287" customFormat="false" ht="32.8" hidden="false" customHeight="false" outlineLevel="0" collapsed="false">
      <c r="A287" s="13" t="n">
        <v>286</v>
      </c>
      <c r="B287" s="13" t="s">
        <v>2167</v>
      </c>
      <c r="C287" s="13" t="s">
        <v>37</v>
      </c>
      <c r="D287" s="13" t="s">
        <v>2155</v>
      </c>
      <c r="E287" s="13" t="s">
        <v>2168</v>
      </c>
      <c r="F287" s="13" t="s">
        <v>50</v>
      </c>
      <c r="G287" s="13" t="s">
        <v>2169</v>
      </c>
      <c r="H287" s="13" t="s">
        <v>252</v>
      </c>
      <c r="I287" s="13" t="s">
        <v>253</v>
      </c>
      <c r="J287" s="13" t="s">
        <v>25</v>
      </c>
      <c r="K287" s="13" t="s">
        <v>254</v>
      </c>
      <c r="L287" s="13" t="s">
        <v>2158</v>
      </c>
      <c r="M287" s="13" t="s">
        <v>2170</v>
      </c>
      <c r="N287" s="13"/>
      <c r="O287" s="13"/>
      <c r="P287" s="13"/>
      <c r="Q287" s="13"/>
      <c r="R287" s="13" t="s">
        <v>110</v>
      </c>
      <c r="S287" s="13"/>
      <c r="T287" s="13" t="s">
        <v>924</v>
      </c>
      <c r="U287" s="13" t="s">
        <v>1024</v>
      </c>
      <c r="V287" s="13" t="s">
        <v>1762</v>
      </c>
      <c r="W287" s="13" t="s">
        <v>2087</v>
      </c>
      <c r="X287" s="13" t="s">
        <v>202</v>
      </c>
      <c r="Y287" s="13"/>
      <c r="Z287" s="13" t="s">
        <v>2171</v>
      </c>
      <c r="AA287" s="14" t="s">
        <v>190</v>
      </c>
      <c r="AB287" s="15" t="s">
        <v>191</v>
      </c>
      <c r="AC287" s="15"/>
      <c r="AD287" s="15"/>
    </row>
    <row r="288" customFormat="false" ht="32.8" hidden="false" customHeight="false" outlineLevel="0" collapsed="false">
      <c r="A288" s="13" t="n">
        <v>287</v>
      </c>
      <c r="B288" s="13" t="s">
        <v>2172</v>
      </c>
      <c r="C288" s="13" t="s">
        <v>37</v>
      </c>
      <c r="D288" s="13" t="s">
        <v>2155</v>
      </c>
      <c r="E288" s="13" t="s">
        <v>2173</v>
      </c>
      <c r="F288" s="13" t="s">
        <v>50</v>
      </c>
      <c r="G288" s="13" t="s">
        <v>2174</v>
      </c>
      <c r="H288" s="13" t="s">
        <v>252</v>
      </c>
      <c r="I288" s="13" t="s">
        <v>253</v>
      </c>
      <c r="J288" s="13" t="s">
        <v>24</v>
      </c>
      <c r="K288" s="13" t="s">
        <v>254</v>
      </c>
      <c r="L288" s="13" t="s">
        <v>2158</v>
      </c>
      <c r="M288" s="13" t="s">
        <v>2175</v>
      </c>
      <c r="N288" s="13"/>
      <c r="O288" s="13"/>
      <c r="P288" s="13"/>
      <c r="Q288" s="13"/>
      <c r="R288" s="13" t="s">
        <v>110</v>
      </c>
      <c r="S288" s="13"/>
      <c r="T288" s="13" t="s">
        <v>924</v>
      </c>
      <c r="U288" s="13" t="s">
        <v>2176</v>
      </c>
      <c r="V288" s="13" t="s">
        <v>926</v>
      </c>
      <c r="W288" s="13" t="s">
        <v>2087</v>
      </c>
      <c r="X288" s="13" t="s">
        <v>202</v>
      </c>
      <c r="Y288" s="13"/>
      <c r="Z288" s="13" t="s">
        <v>2177</v>
      </c>
      <c r="AA288" s="14" t="s">
        <v>190</v>
      </c>
      <c r="AB288" s="15" t="s">
        <v>191</v>
      </c>
      <c r="AC288" s="15"/>
      <c r="AD288" s="15"/>
    </row>
    <row r="289" customFormat="false" ht="32.8" hidden="false" customHeight="false" outlineLevel="0" collapsed="false">
      <c r="A289" s="13" t="n">
        <v>288</v>
      </c>
      <c r="B289" s="13" t="s">
        <v>2178</v>
      </c>
      <c r="C289" s="13" t="s">
        <v>37</v>
      </c>
      <c r="D289" s="13" t="s">
        <v>2155</v>
      </c>
      <c r="E289" s="13" t="s">
        <v>2179</v>
      </c>
      <c r="F289" s="13" t="s">
        <v>50</v>
      </c>
      <c r="G289" s="13" t="s">
        <v>2180</v>
      </c>
      <c r="H289" s="13" t="s">
        <v>252</v>
      </c>
      <c r="I289" s="13" t="s">
        <v>179</v>
      </c>
      <c r="J289" s="13" t="s">
        <v>25</v>
      </c>
      <c r="K289" s="13" t="s">
        <v>254</v>
      </c>
      <c r="L289" s="13" t="s">
        <v>2158</v>
      </c>
      <c r="M289" s="13" t="s">
        <v>2181</v>
      </c>
      <c r="N289" s="13"/>
      <c r="O289" s="13"/>
      <c r="P289" s="13"/>
      <c r="Q289" s="13"/>
      <c r="R289" s="13" t="s">
        <v>110</v>
      </c>
      <c r="S289" s="13"/>
      <c r="T289" s="13" t="s">
        <v>924</v>
      </c>
      <c r="U289" s="13" t="s">
        <v>258</v>
      </c>
      <c r="V289" s="13" t="s">
        <v>926</v>
      </c>
      <c r="W289" s="13" t="s">
        <v>2087</v>
      </c>
      <c r="X289" s="13" t="s">
        <v>202</v>
      </c>
      <c r="Y289" s="13"/>
      <c r="Z289" s="13" t="s">
        <v>2182</v>
      </c>
      <c r="AA289" s="14" t="s">
        <v>190</v>
      </c>
      <c r="AB289" s="15" t="s">
        <v>191</v>
      </c>
      <c r="AC289" s="15"/>
      <c r="AD289" s="15"/>
    </row>
    <row r="290" customFormat="false" ht="32.8" hidden="false" customHeight="false" outlineLevel="0" collapsed="false">
      <c r="A290" s="13" t="n">
        <v>289</v>
      </c>
      <c r="B290" s="13" t="s">
        <v>2183</v>
      </c>
      <c r="C290" s="13" t="s">
        <v>37</v>
      </c>
      <c r="D290" s="13" t="s">
        <v>2184</v>
      </c>
      <c r="E290" s="13" t="s">
        <v>2185</v>
      </c>
      <c r="F290" s="13" t="s">
        <v>51</v>
      </c>
      <c r="G290" s="13" t="s">
        <v>2186</v>
      </c>
      <c r="H290" s="13" t="s">
        <v>287</v>
      </c>
      <c r="I290" s="13" t="s">
        <v>179</v>
      </c>
      <c r="J290" s="13" t="s">
        <v>24</v>
      </c>
      <c r="K290" s="13" t="s">
        <v>288</v>
      </c>
      <c r="L290" s="13" t="s">
        <v>2030</v>
      </c>
      <c r="M290" s="13" t="s">
        <v>2187</v>
      </c>
      <c r="N290" s="13"/>
      <c r="O290" s="13"/>
      <c r="P290" s="13"/>
      <c r="Q290" s="13"/>
      <c r="R290" s="13" t="s">
        <v>110</v>
      </c>
      <c r="S290" s="13"/>
      <c r="T290" s="13" t="s">
        <v>2188</v>
      </c>
      <c r="U290" s="13" t="s">
        <v>1466</v>
      </c>
      <c r="V290" s="13" t="s">
        <v>2112</v>
      </c>
      <c r="W290" s="13"/>
      <c r="X290" s="13" t="s">
        <v>187</v>
      </c>
      <c r="Y290" s="13" t="s">
        <v>2189</v>
      </c>
      <c r="Z290" s="13" t="s">
        <v>2190</v>
      </c>
      <c r="AA290" s="14" t="s">
        <v>190</v>
      </c>
      <c r="AB290" s="15" t="s">
        <v>191</v>
      </c>
      <c r="AC290" s="15"/>
      <c r="AD290" s="15"/>
    </row>
    <row r="291" customFormat="false" ht="32.8" hidden="false" customHeight="false" outlineLevel="0" collapsed="false">
      <c r="A291" s="13" t="n">
        <v>290</v>
      </c>
      <c r="B291" s="13" t="s">
        <v>2191</v>
      </c>
      <c r="C291" s="13" t="s">
        <v>37</v>
      </c>
      <c r="D291" s="13" t="s">
        <v>2184</v>
      </c>
      <c r="E291" s="13" t="s">
        <v>2192</v>
      </c>
      <c r="F291" s="13" t="s">
        <v>51</v>
      </c>
      <c r="G291" s="13" t="s">
        <v>2193</v>
      </c>
      <c r="H291" s="13" t="s">
        <v>287</v>
      </c>
      <c r="I291" s="13" t="s">
        <v>253</v>
      </c>
      <c r="J291" s="13" t="s">
        <v>25</v>
      </c>
      <c r="K291" s="13" t="s">
        <v>288</v>
      </c>
      <c r="L291" s="13" t="s">
        <v>2030</v>
      </c>
      <c r="M291" s="13" t="s">
        <v>2194</v>
      </c>
      <c r="N291" s="13"/>
      <c r="O291" s="13"/>
      <c r="P291" s="13"/>
      <c r="Q291" s="13"/>
      <c r="R291" s="13" t="s">
        <v>110</v>
      </c>
      <c r="S291" s="13"/>
      <c r="T291" s="13" t="s">
        <v>2188</v>
      </c>
      <c r="U291" s="13" t="s">
        <v>2150</v>
      </c>
      <c r="V291" s="13" t="s">
        <v>2195</v>
      </c>
      <c r="W291" s="13"/>
      <c r="X291" s="13" t="s">
        <v>202</v>
      </c>
      <c r="Y291" s="13"/>
      <c r="Z291" s="13" t="s">
        <v>2196</v>
      </c>
      <c r="AA291" s="14" t="s">
        <v>190</v>
      </c>
      <c r="AB291" s="15" t="s">
        <v>191</v>
      </c>
      <c r="AC291" s="15"/>
      <c r="AD291" s="15"/>
    </row>
    <row r="292" customFormat="false" ht="32.8" hidden="false" customHeight="false" outlineLevel="0" collapsed="false">
      <c r="A292" s="13" t="n">
        <v>291</v>
      </c>
      <c r="B292" s="13" t="s">
        <v>2197</v>
      </c>
      <c r="C292" s="13" t="s">
        <v>37</v>
      </c>
      <c r="D292" s="13" t="s">
        <v>2184</v>
      </c>
      <c r="E292" s="13" t="s">
        <v>2198</v>
      </c>
      <c r="F292" s="13" t="s">
        <v>51</v>
      </c>
      <c r="G292" s="13" t="s">
        <v>2199</v>
      </c>
      <c r="H292" s="13" t="s">
        <v>287</v>
      </c>
      <c r="I292" s="13" t="s">
        <v>253</v>
      </c>
      <c r="J292" s="13" t="s">
        <v>24</v>
      </c>
      <c r="K292" s="13" t="s">
        <v>288</v>
      </c>
      <c r="L292" s="13" t="s">
        <v>2030</v>
      </c>
      <c r="M292" s="13" t="s">
        <v>2200</v>
      </c>
      <c r="N292" s="13"/>
      <c r="O292" s="13"/>
      <c r="P292" s="13"/>
      <c r="Q292" s="13"/>
      <c r="R292" s="13" t="s">
        <v>110</v>
      </c>
      <c r="S292" s="13"/>
      <c r="T292" s="13" t="s">
        <v>2188</v>
      </c>
      <c r="U292" s="13" t="s">
        <v>2111</v>
      </c>
      <c r="V292" s="13" t="s">
        <v>2112</v>
      </c>
      <c r="W292" s="13"/>
      <c r="X292" s="13" t="s">
        <v>202</v>
      </c>
      <c r="Y292" s="13"/>
      <c r="Z292" s="13" t="s">
        <v>2201</v>
      </c>
      <c r="AA292" s="14" t="s">
        <v>190</v>
      </c>
      <c r="AB292" s="15" t="s">
        <v>191</v>
      </c>
      <c r="AC292" s="15"/>
      <c r="AD292" s="15"/>
    </row>
    <row r="293" customFormat="false" ht="32.8" hidden="false" customHeight="false" outlineLevel="0" collapsed="false">
      <c r="A293" s="13" t="n">
        <v>292</v>
      </c>
      <c r="B293" s="13" t="s">
        <v>2202</v>
      </c>
      <c r="C293" s="13" t="s">
        <v>37</v>
      </c>
      <c r="D293" s="13" t="s">
        <v>284</v>
      </c>
      <c r="E293" s="13" t="s">
        <v>2203</v>
      </c>
      <c r="F293" s="13" t="s">
        <v>51</v>
      </c>
      <c r="G293" s="13" t="s">
        <v>2204</v>
      </c>
      <c r="H293" s="13" t="s">
        <v>287</v>
      </c>
      <c r="I293" s="13" t="s">
        <v>179</v>
      </c>
      <c r="J293" s="13" t="s">
        <v>23</v>
      </c>
      <c r="K293" s="13" t="s">
        <v>288</v>
      </c>
      <c r="L293" s="13" t="s">
        <v>2030</v>
      </c>
      <c r="M293" s="13" t="s">
        <v>2205</v>
      </c>
      <c r="N293" s="13"/>
      <c r="O293" s="13"/>
      <c r="P293" s="13"/>
      <c r="Q293" s="13"/>
      <c r="R293" s="13" t="s">
        <v>2206</v>
      </c>
      <c r="S293" s="13"/>
      <c r="T293" s="13" t="s">
        <v>2207</v>
      </c>
      <c r="U293" s="13" t="s">
        <v>2208</v>
      </c>
      <c r="V293" s="13" t="s">
        <v>2209</v>
      </c>
      <c r="W293" s="13"/>
      <c r="X293" s="13" t="s">
        <v>293</v>
      </c>
      <c r="Y293" s="13" t="s">
        <v>2210</v>
      </c>
      <c r="Z293" s="13" t="s">
        <v>2211</v>
      </c>
      <c r="AA293" s="14" t="s">
        <v>190</v>
      </c>
      <c r="AB293" s="15" t="s">
        <v>191</v>
      </c>
      <c r="AC293" s="15"/>
      <c r="AD293" s="15"/>
    </row>
    <row r="294" customFormat="false" ht="32.8" hidden="false" customHeight="false" outlineLevel="0" collapsed="false">
      <c r="A294" s="13" t="n">
        <v>293</v>
      </c>
      <c r="B294" s="13" t="s">
        <v>2212</v>
      </c>
      <c r="C294" s="13" t="s">
        <v>37</v>
      </c>
      <c r="D294" s="13" t="s">
        <v>1582</v>
      </c>
      <c r="E294" s="13" t="s">
        <v>2213</v>
      </c>
      <c r="F294" s="13" t="s">
        <v>51</v>
      </c>
      <c r="G294" s="13" t="s">
        <v>2214</v>
      </c>
      <c r="H294" s="13" t="s">
        <v>287</v>
      </c>
      <c r="I294" s="13" t="s">
        <v>179</v>
      </c>
      <c r="J294" s="13" t="s">
        <v>24</v>
      </c>
      <c r="K294" s="13" t="s">
        <v>288</v>
      </c>
      <c r="L294" s="13" t="s">
        <v>2030</v>
      </c>
      <c r="M294" s="13" t="s">
        <v>2215</v>
      </c>
      <c r="N294" s="13"/>
      <c r="O294" s="13"/>
      <c r="P294" s="13"/>
      <c r="Q294" s="13"/>
      <c r="R294" s="13" t="s">
        <v>117</v>
      </c>
      <c r="S294" s="13"/>
      <c r="T294" s="13" t="s">
        <v>2216</v>
      </c>
      <c r="U294" s="13" t="s">
        <v>1587</v>
      </c>
      <c r="V294" s="13" t="s">
        <v>280</v>
      </c>
      <c r="W294" s="13"/>
      <c r="X294" s="13" t="s">
        <v>293</v>
      </c>
      <c r="Y294" s="13" t="s">
        <v>2217</v>
      </c>
      <c r="Z294" s="13" t="s">
        <v>2218</v>
      </c>
      <c r="AA294" s="14" t="s">
        <v>190</v>
      </c>
      <c r="AB294" s="15" t="s">
        <v>191</v>
      </c>
      <c r="AC294" s="15"/>
      <c r="AD294" s="15"/>
    </row>
    <row r="295" customFormat="false" ht="32.8" hidden="false" customHeight="false" outlineLevel="0" collapsed="false">
      <c r="A295" s="13" t="n">
        <v>294</v>
      </c>
      <c r="B295" s="13" t="s">
        <v>2219</v>
      </c>
      <c r="C295" s="13" t="s">
        <v>37</v>
      </c>
      <c r="D295" s="13" t="s">
        <v>1582</v>
      </c>
      <c r="E295" s="13" t="s">
        <v>2220</v>
      </c>
      <c r="F295" s="13" t="s">
        <v>51</v>
      </c>
      <c r="G295" s="13" t="s">
        <v>2221</v>
      </c>
      <c r="H295" s="13" t="s">
        <v>287</v>
      </c>
      <c r="I295" s="13" t="s">
        <v>253</v>
      </c>
      <c r="J295" s="13" t="s">
        <v>24</v>
      </c>
      <c r="K295" s="13" t="s">
        <v>288</v>
      </c>
      <c r="L295" s="13" t="s">
        <v>2030</v>
      </c>
      <c r="M295" s="13" t="s">
        <v>2222</v>
      </c>
      <c r="N295" s="13"/>
      <c r="O295" s="13"/>
      <c r="P295" s="13"/>
      <c r="Q295" s="13"/>
      <c r="R295" s="13" t="s">
        <v>117</v>
      </c>
      <c r="S295" s="13"/>
      <c r="T295" s="13" t="s">
        <v>2216</v>
      </c>
      <c r="U295" s="13" t="s">
        <v>1587</v>
      </c>
      <c r="V295" s="13" t="s">
        <v>280</v>
      </c>
      <c r="W295" s="13"/>
      <c r="X295" s="13" t="s">
        <v>187</v>
      </c>
      <c r="Y295" s="13" t="s">
        <v>2223</v>
      </c>
      <c r="Z295" s="13" t="s">
        <v>2224</v>
      </c>
      <c r="AA295" s="14" t="s">
        <v>190</v>
      </c>
      <c r="AB295" s="15" t="s">
        <v>191</v>
      </c>
      <c r="AC295" s="15"/>
      <c r="AD295" s="15"/>
    </row>
    <row r="296" customFormat="false" ht="64.15" hidden="false" customHeight="false" outlineLevel="0" collapsed="false">
      <c r="A296" s="13" t="n">
        <v>295</v>
      </c>
      <c r="B296" s="13" t="s">
        <v>2225</v>
      </c>
      <c r="C296" s="13" t="s">
        <v>37</v>
      </c>
      <c r="D296" s="13" t="s">
        <v>2106</v>
      </c>
      <c r="E296" s="13" t="s">
        <v>2226</v>
      </c>
      <c r="F296" s="13" t="s">
        <v>51</v>
      </c>
      <c r="G296" s="13" t="s">
        <v>2227</v>
      </c>
      <c r="H296" s="13" t="s">
        <v>287</v>
      </c>
      <c r="I296" s="13" t="s">
        <v>179</v>
      </c>
      <c r="J296" s="13" t="s">
        <v>23</v>
      </c>
      <c r="K296" s="13" t="s">
        <v>288</v>
      </c>
      <c r="L296" s="13" t="s">
        <v>2228</v>
      </c>
      <c r="M296" s="13" t="s">
        <v>2229</v>
      </c>
      <c r="N296" s="13"/>
      <c r="O296" s="13"/>
      <c r="P296" s="13"/>
      <c r="Q296" s="13"/>
      <c r="R296" s="13" t="s">
        <v>110</v>
      </c>
      <c r="S296" s="13"/>
      <c r="T296" s="13" t="s">
        <v>507</v>
      </c>
      <c r="U296" s="13" t="s">
        <v>2111</v>
      </c>
      <c r="V296" s="13" t="s">
        <v>2132</v>
      </c>
      <c r="W296" s="13" t="s">
        <v>2230</v>
      </c>
      <c r="X296" s="13" t="s">
        <v>187</v>
      </c>
      <c r="Y296" s="13" t="s">
        <v>2231</v>
      </c>
      <c r="Z296" s="13" t="s">
        <v>2232</v>
      </c>
      <c r="AA296" s="14" t="s">
        <v>190</v>
      </c>
      <c r="AB296" s="15" t="s">
        <v>191</v>
      </c>
      <c r="AC296" s="15"/>
      <c r="AD296" s="15"/>
    </row>
    <row r="297" customFormat="false" ht="32.8" hidden="false" customHeight="false" outlineLevel="0" collapsed="false">
      <c r="A297" s="13" t="n">
        <v>296</v>
      </c>
      <c r="B297" s="13" t="s">
        <v>2233</v>
      </c>
      <c r="C297" s="13" t="s">
        <v>37</v>
      </c>
      <c r="D297" s="13" t="s">
        <v>2106</v>
      </c>
      <c r="E297" s="13" t="s">
        <v>2234</v>
      </c>
      <c r="F297" s="13" t="s">
        <v>51</v>
      </c>
      <c r="G297" s="13" t="s">
        <v>2235</v>
      </c>
      <c r="H297" s="13" t="s">
        <v>287</v>
      </c>
      <c r="I297" s="13" t="s">
        <v>253</v>
      </c>
      <c r="J297" s="13" t="s">
        <v>24</v>
      </c>
      <c r="K297" s="13" t="s">
        <v>288</v>
      </c>
      <c r="L297" s="13" t="s">
        <v>2228</v>
      </c>
      <c r="M297" s="13" t="s">
        <v>2236</v>
      </c>
      <c r="N297" s="13"/>
      <c r="O297" s="13"/>
      <c r="P297" s="13"/>
      <c r="Q297" s="13"/>
      <c r="R297" s="13" t="s">
        <v>110</v>
      </c>
      <c r="S297" s="13"/>
      <c r="T297" s="13" t="s">
        <v>2237</v>
      </c>
      <c r="U297" s="13" t="s">
        <v>279</v>
      </c>
      <c r="V297" s="13" t="s">
        <v>2112</v>
      </c>
      <c r="W297" s="13" t="s">
        <v>2238</v>
      </c>
      <c r="X297" s="13" t="s">
        <v>293</v>
      </c>
      <c r="Y297" s="13" t="s">
        <v>2239</v>
      </c>
      <c r="Z297" s="13" t="s">
        <v>2240</v>
      </c>
      <c r="AA297" s="14" t="s">
        <v>190</v>
      </c>
      <c r="AB297" s="15" t="s">
        <v>191</v>
      </c>
      <c r="AC297" s="15"/>
      <c r="AD297" s="15"/>
    </row>
    <row r="298" customFormat="false" ht="22.35" hidden="false" customHeight="false" outlineLevel="0" collapsed="false">
      <c r="A298" s="13" t="n">
        <v>297</v>
      </c>
      <c r="B298" s="13" t="s">
        <v>2241</v>
      </c>
      <c r="C298" s="13" t="s">
        <v>37</v>
      </c>
      <c r="D298" s="13" t="s">
        <v>2242</v>
      </c>
      <c r="E298" s="13" t="s">
        <v>2243</v>
      </c>
      <c r="F298" s="13" t="s">
        <v>52</v>
      </c>
      <c r="G298" s="13" t="s">
        <v>2244</v>
      </c>
      <c r="H298" s="13" t="s">
        <v>1250</v>
      </c>
      <c r="I298" s="13" t="s">
        <v>253</v>
      </c>
      <c r="J298" s="13" t="s">
        <v>25</v>
      </c>
      <c r="K298" s="13" t="s">
        <v>309</v>
      </c>
      <c r="L298" s="13" t="s">
        <v>1907</v>
      </c>
      <c r="M298" s="13" t="s">
        <v>2245</v>
      </c>
      <c r="N298" s="13"/>
      <c r="O298" s="13"/>
      <c r="P298" s="13"/>
      <c r="Q298" s="13"/>
      <c r="R298" s="13" t="s">
        <v>117</v>
      </c>
      <c r="S298" s="13"/>
      <c r="T298" s="13" t="s">
        <v>2216</v>
      </c>
      <c r="U298" s="13" t="s">
        <v>1587</v>
      </c>
      <c r="V298" s="13" t="s">
        <v>2246</v>
      </c>
      <c r="W298" s="13"/>
      <c r="X298" s="13" t="s">
        <v>293</v>
      </c>
      <c r="Y298" s="13" t="s">
        <v>2247</v>
      </c>
      <c r="Z298" s="13" t="s">
        <v>2248</v>
      </c>
      <c r="AA298" s="14" t="s">
        <v>190</v>
      </c>
      <c r="AB298" s="15" t="s">
        <v>191</v>
      </c>
      <c r="AC298" s="15"/>
      <c r="AD298" s="15"/>
    </row>
    <row r="299" customFormat="false" ht="22.35" hidden="false" customHeight="false" outlineLevel="0" collapsed="false">
      <c r="A299" s="13" t="n">
        <v>298</v>
      </c>
      <c r="B299" s="13" t="s">
        <v>2249</v>
      </c>
      <c r="C299" s="13" t="s">
        <v>37</v>
      </c>
      <c r="D299" s="13" t="s">
        <v>2242</v>
      </c>
      <c r="E299" s="13" t="s">
        <v>2250</v>
      </c>
      <c r="F299" s="13" t="s">
        <v>52</v>
      </c>
      <c r="G299" s="13" t="s">
        <v>2251</v>
      </c>
      <c r="H299" s="13" t="s">
        <v>1250</v>
      </c>
      <c r="I299" s="13" t="s">
        <v>253</v>
      </c>
      <c r="J299" s="13" t="s">
        <v>24</v>
      </c>
      <c r="K299" s="13" t="s">
        <v>309</v>
      </c>
      <c r="L299" s="13" t="s">
        <v>1907</v>
      </c>
      <c r="M299" s="13" t="s">
        <v>2252</v>
      </c>
      <c r="N299" s="13"/>
      <c r="O299" s="13"/>
      <c r="P299" s="13"/>
      <c r="Q299" s="13"/>
      <c r="R299" s="13" t="s">
        <v>117</v>
      </c>
      <c r="S299" s="13"/>
      <c r="T299" s="13" t="s">
        <v>2216</v>
      </c>
      <c r="U299" s="13" t="s">
        <v>1587</v>
      </c>
      <c r="V299" s="13" t="s">
        <v>280</v>
      </c>
      <c r="W299" s="13"/>
      <c r="X299" s="13" t="s">
        <v>202</v>
      </c>
      <c r="Y299" s="13"/>
      <c r="Z299" s="13" t="s">
        <v>2253</v>
      </c>
      <c r="AA299" s="14" t="s">
        <v>190</v>
      </c>
      <c r="AB299" s="15" t="s">
        <v>191</v>
      </c>
      <c r="AC299" s="15"/>
      <c r="AD299" s="15"/>
    </row>
    <row r="300" customFormat="false" ht="43.25" hidden="false" customHeight="false" outlineLevel="0" collapsed="false">
      <c r="A300" s="13" t="n">
        <v>299</v>
      </c>
      <c r="B300" s="13" t="s">
        <v>2254</v>
      </c>
      <c r="C300" s="13" t="s">
        <v>37</v>
      </c>
      <c r="D300" s="13" t="s">
        <v>2106</v>
      </c>
      <c r="E300" s="13" t="s">
        <v>2255</v>
      </c>
      <c r="F300" s="13" t="s">
        <v>52</v>
      </c>
      <c r="G300" s="13" t="s">
        <v>2256</v>
      </c>
      <c r="H300" s="13" t="s">
        <v>2257</v>
      </c>
      <c r="I300" s="13" t="s">
        <v>253</v>
      </c>
      <c r="J300" s="13" t="s">
        <v>24</v>
      </c>
      <c r="K300" s="13" t="s">
        <v>309</v>
      </c>
      <c r="L300" s="13" t="s">
        <v>1251</v>
      </c>
      <c r="M300" s="13" t="s">
        <v>2258</v>
      </c>
      <c r="N300" s="13"/>
      <c r="O300" s="13"/>
      <c r="P300" s="13"/>
      <c r="Q300" s="13"/>
      <c r="R300" s="13" t="s">
        <v>110</v>
      </c>
      <c r="S300" s="13" t="s">
        <v>128</v>
      </c>
      <c r="T300" s="13" t="s">
        <v>507</v>
      </c>
      <c r="U300" s="13" t="s">
        <v>2111</v>
      </c>
      <c r="V300" s="13" t="s">
        <v>2132</v>
      </c>
      <c r="W300" s="13" t="s">
        <v>2113</v>
      </c>
      <c r="X300" s="13" t="s">
        <v>187</v>
      </c>
      <c r="Y300" s="13" t="s">
        <v>2259</v>
      </c>
      <c r="Z300" s="13" t="s">
        <v>2232</v>
      </c>
      <c r="AA300" s="14" t="s">
        <v>190</v>
      </c>
      <c r="AB300" s="15" t="s">
        <v>191</v>
      </c>
      <c r="AC300" s="15"/>
      <c r="AD300" s="15"/>
    </row>
    <row r="301" customFormat="false" ht="22.35" hidden="false" customHeight="false" outlineLevel="0" collapsed="false">
      <c r="A301" s="13" t="n">
        <v>300</v>
      </c>
      <c r="B301" s="13" t="s">
        <v>2260</v>
      </c>
      <c r="C301" s="13" t="s">
        <v>37</v>
      </c>
      <c r="D301" s="13" t="s">
        <v>2106</v>
      </c>
      <c r="E301" s="13" t="s">
        <v>2261</v>
      </c>
      <c r="F301" s="13" t="s">
        <v>52</v>
      </c>
      <c r="G301" s="13" t="s">
        <v>2262</v>
      </c>
      <c r="H301" s="13" t="s">
        <v>2257</v>
      </c>
      <c r="I301" s="13" t="s">
        <v>253</v>
      </c>
      <c r="J301" s="13" t="s">
        <v>24</v>
      </c>
      <c r="K301" s="13" t="s">
        <v>309</v>
      </c>
      <c r="L301" s="13" t="s">
        <v>1251</v>
      </c>
      <c r="M301" s="13" t="s">
        <v>2263</v>
      </c>
      <c r="N301" s="13"/>
      <c r="O301" s="13"/>
      <c r="P301" s="13"/>
      <c r="Q301" s="13"/>
      <c r="R301" s="13" t="s">
        <v>110</v>
      </c>
      <c r="S301" s="13" t="s">
        <v>128</v>
      </c>
      <c r="T301" s="13" t="s">
        <v>2237</v>
      </c>
      <c r="U301" s="13" t="s">
        <v>2264</v>
      </c>
      <c r="V301" s="13" t="s">
        <v>2112</v>
      </c>
      <c r="W301" s="13" t="s">
        <v>2265</v>
      </c>
      <c r="X301" s="13" t="s">
        <v>293</v>
      </c>
      <c r="Y301" s="13" t="s">
        <v>2266</v>
      </c>
      <c r="Z301" s="13" t="s">
        <v>2267</v>
      </c>
      <c r="AA301" s="14" t="s">
        <v>190</v>
      </c>
      <c r="AB301" s="15" t="s">
        <v>191</v>
      </c>
      <c r="AC301" s="15"/>
      <c r="AD301" s="15"/>
    </row>
    <row r="302" customFormat="false" ht="22.35" hidden="false" customHeight="false" outlineLevel="0" collapsed="false">
      <c r="A302" s="13" t="n">
        <v>301</v>
      </c>
      <c r="B302" s="13" t="s">
        <v>2268</v>
      </c>
      <c r="C302" s="13" t="s">
        <v>37</v>
      </c>
      <c r="D302" s="13" t="s">
        <v>2106</v>
      </c>
      <c r="E302" s="13" t="s">
        <v>2269</v>
      </c>
      <c r="F302" s="13" t="s">
        <v>52</v>
      </c>
      <c r="G302" s="13" t="s">
        <v>2270</v>
      </c>
      <c r="H302" s="13" t="s">
        <v>2257</v>
      </c>
      <c r="I302" s="13" t="s">
        <v>253</v>
      </c>
      <c r="J302" s="13" t="s">
        <v>25</v>
      </c>
      <c r="K302" s="13" t="s">
        <v>309</v>
      </c>
      <c r="L302" s="13" t="s">
        <v>2045</v>
      </c>
      <c r="M302" s="13" t="s">
        <v>2271</v>
      </c>
      <c r="N302" s="13"/>
      <c r="O302" s="13"/>
      <c r="P302" s="13"/>
      <c r="Q302" s="13"/>
      <c r="R302" s="13" t="s">
        <v>110</v>
      </c>
      <c r="S302" s="13"/>
      <c r="T302" s="13" t="s">
        <v>2272</v>
      </c>
      <c r="U302" s="13" t="s">
        <v>2273</v>
      </c>
      <c r="V302" s="13" t="s">
        <v>2274</v>
      </c>
      <c r="W302" s="13" t="s">
        <v>2275</v>
      </c>
      <c r="X302" s="13" t="s">
        <v>202</v>
      </c>
      <c r="Y302" s="13"/>
      <c r="Z302" s="13" t="s">
        <v>2276</v>
      </c>
      <c r="AA302" s="14" t="s">
        <v>190</v>
      </c>
      <c r="AB302" s="15" t="s">
        <v>191</v>
      </c>
      <c r="AC302" s="15"/>
      <c r="AD302" s="15"/>
    </row>
    <row r="303" customFormat="false" ht="22.35" hidden="false" customHeight="false" outlineLevel="0" collapsed="false">
      <c r="A303" s="13" t="n">
        <v>302</v>
      </c>
      <c r="B303" s="13" t="s">
        <v>2277</v>
      </c>
      <c r="C303" s="13" t="s">
        <v>37</v>
      </c>
      <c r="D303" s="13" t="s">
        <v>2278</v>
      </c>
      <c r="E303" s="13" t="s">
        <v>2279</v>
      </c>
      <c r="F303" s="13" t="s">
        <v>52</v>
      </c>
      <c r="G303" s="13" t="s">
        <v>2280</v>
      </c>
      <c r="H303" s="13" t="s">
        <v>2281</v>
      </c>
      <c r="I303" s="13" t="s">
        <v>253</v>
      </c>
      <c r="J303" s="13" t="s">
        <v>24</v>
      </c>
      <c r="K303" s="13" t="s">
        <v>309</v>
      </c>
      <c r="L303" s="13" t="s">
        <v>2045</v>
      </c>
      <c r="M303" s="13" t="s">
        <v>2282</v>
      </c>
      <c r="N303" s="13"/>
      <c r="O303" s="13"/>
      <c r="P303" s="13"/>
      <c r="Q303" s="13"/>
      <c r="R303" s="13" t="s">
        <v>110</v>
      </c>
      <c r="S303" s="13"/>
      <c r="T303" s="13" t="s">
        <v>924</v>
      </c>
      <c r="U303" s="13" t="s">
        <v>925</v>
      </c>
      <c r="V303" s="13" t="s">
        <v>2283</v>
      </c>
      <c r="W303" s="13" t="s">
        <v>2284</v>
      </c>
      <c r="X303" s="13" t="s">
        <v>187</v>
      </c>
      <c r="Y303" s="13" t="s">
        <v>2285</v>
      </c>
      <c r="Z303" s="13" t="s">
        <v>2286</v>
      </c>
      <c r="AA303" s="14" t="s">
        <v>190</v>
      </c>
      <c r="AB303" s="15" t="s">
        <v>191</v>
      </c>
      <c r="AC303" s="15"/>
      <c r="AD303" s="15"/>
    </row>
    <row r="304" customFormat="false" ht="22.35" hidden="false" customHeight="false" outlineLevel="0" collapsed="false">
      <c r="A304" s="13" t="n">
        <v>303</v>
      </c>
      <c r="B304" s="13" t="s">
        <v>2287</v>
      </c>
      <c r="C304" s="13" t="s">
        <v>37</v>
      </c>
      <c r="D304" s="13" t="s">
        <v>2155</v>
      </c>
      <c r="E304" s="13" t="s">
        <v>2288</v>
      </c>
      <c r="F304" s="13" t="s">
        <v>52</v>
      </c>
      <c r="G304" s="13" t="s">
        <v>2289</v>
      </c>
      <c r="H304" s="13" t="s">
        <v>2281</v>
      </c>
      <c r="I304" s="13" t="s">
        <v>253</v>
      </c>
      <c r="J304" s="13" t="s">
        <v>24</v>
      </c>
      <c r="K304" s="13" t="s">
        <v>309</v>
      </c>
      <c r="L304" s="13" t="s">
        <v>2045</v>
      </c>
      <c r="M304" s="13" t="s">
        <v>2290</v>
      </c>
      <c r="N304" s="13"/>
      <c r="O304" s="13"/>
      <c r="P304" s="13"/>
      <c r="Q304" s="13"/>
      <c r="R304" s="13" t="s">
        <v>110</v>
      </c>
      <c r="S304" s="13"/>
      <c r="T304" s="13" t="s">
        <v>2291</v>
      </c>
      <c r="U304" s="13" t="s">
        <v>925</v>
      </c>
      <c r="V304" s="13" t="s">
        <v>2292</v>
      </c>
      <c r="W304" s="13" t="s">
        <v>2087</v>
      </c>
      <c r="X304" s="13" t="s">
        <v>187</v>
      </c>
      <c r="Y304" s="13" t="s">
        <v>2293</v>
      </c>
      <c r="Z304" s="13" t="s">
        <v>2294</v>
      </c>
      <c r="AA304" s="14" t="s">
        <v>190</v>
      </c>
      <c r="AB304" s="15" t="s">
        <v>191</v>
      </c>
      <c r="AC304" s="15"/>
      <c r="AD304" s="15"/>
    </row>
    <row r="305" customFormat="false" ht="22.35" hidden="false" customHeight="false" outlineLevel="0" collapsed="false">
      <c r="A305" s="13" t="n">
        <v>304</v>
      </c>
      <c r="B305" s="13" t="s">
        <v>2295</v>
      </c>
      <c r="C305" s="13" t="s">
        <v>37</v>
      </c>
      <c r="D305" s="13" t="s">
        <v>2296</v>
      </c>
      <c r="E305" s="13" t="s">
        <v>2297</v>
      </c>
      <c r="F305" s="13" t="s">
        <v>52</v>
      </c>
      <c r="G305" s="13" t="s">
        <v>2298</v>
      </c>
      <c r="H305" s="13" t="s">
        <v>2281</v>
      </c>
      <c r="I305" s="13" t="s">
        <v>253</v>
      </c>
      <c r="J305" s="13" t="s">
        <v>24</v>
      </c>
      <c r="K305" s="13" t="s">
        <v>309</v>
      </c>
      <c r="L305" s="13" t="s">
        <v>2045</v>
      </c>
      <c r="M305" s="13" t="s">
        <v>2299</v>
      </c>
      <c r="N305" s="13"/>
      <c r="O305" s="13"/>
      <c r="P305" s="13"/>
      <c r="Q305" s="13"/>
      <c r="R305" s="13" t="s">
        <v>110</v>
      </c>
      <c r="S305" s="13"/>
      <c r="T305" s="13" t="s">
        <v>2237</v>
      </c>
      <c r="U305" s="13" t="s">
        <v>2300</v>
      </c>
      <c r="V305" s="13" t="s">
        <v>926</v>
      </c>
      <c r="W305" s="13" t="s">
        <v>2238</v>
      </c>
      <c r="X305" s="13" t="s">
        <v>187</v>
      </c>
      <c r="Y305" s="13" t="s">
        <v>927</v>
      </c>
      <c r="Z305" s="13" t="s">
        <v>2301</v>
      </c>
      <c r="AA305" s="14" t="s">
        <v>190</v>
      </c>
      <c r="AB305" s="15" t="s">
        <v>191</v>
      </c>
      <c r="AC305" s="15"/>
      <c r="AD305" s="15"/>
    </row>
    <row r="306" customFormat="false" ht="22.35" hidden="false" customHeight="false" outlineLevel="0" collapsed="false">
      <c r="A306" s="13" t="n">
        <v>305</v>
      </c>
      <c r="B306" s="13" t="s">
        <v>2302</v>
      </c>
      <c r="C306" s="13" t="s">
        <v>37</v>
      </c>
      <c r="D306" s="13" t="s">
        <v>2303</v>
      </c>
      <c r="E306" s="13" t="s">
        <v>2304</v>
      </c>
      <c r="F306" s="13" t="s">
        <v>56</v>
      </c>
      <c r="G306" s="13" t="s">
        <v>117</v>
      </c>
      <c r="H306" s="13" t="s">
        <v>2305</v>
      </c>
      <c r="I306" s="13" t="s">
        <v>397</v>
      </c>
      <c r="J306" s="13" t="s">
        <v>25</v>
      </c>
      <c r="K306" s="13" t="s">
        <v>1260</v>
      </c>
      <c r="L306" s="13" t="s">
        <v>2306</v>
      </c>
      <c r="M306" s="13"/>
      <c r="N306" s="13"/>
      <c r="O306" s="13"/>
      <c r="P306" s="13"/>
      <c r="Q306" s="13"/>
      <c r="R306" s="13" t="s">
        <v>117</v>
      </c>
      <c r="S306" s="13"/>
      <c r="T306" s="13"/>
      <c r="U306" s="13" t="s">
        <v>508</v>
      </c>
      <c r="V306" s="13" t="s">
        <v>509</v>
      </c>
      <c r="W306" s="13"/>
      <c r="X306" s="13" t="s">
        <v>187</v>
      </c>
      <c r="Y306" s="13" t="s">
        <v>2307</v>
      </c>
      <c r="Z306" s="13" t="s">
        <v>2308</v>
      </c>
      <c r="AA306" s="14" t="s">
        <v>190</v>
      </c>
      <c r="AB306" s="15" t="s">
        <v>191</v>
      </c>
      <c r="AC306" s="15"/>
      <c r="AD306" s="15"/>
    </row>
    <row r="307" customFormat="false" ht="32.8" hidden="false" customHeight="false" outlineLevel="0" collapsed="false">
      <c r="A307" s="13" t="n">
        <v>306</v>
      </c>
      <c r="B307" s="13" t="s">
        <v>2309</v>
      </c>
      <c r="C307" s="13" t="s">
        <v>37</v>
      </c>
      <c r="D307" s="13" t="s">
        <v>2310</v>
      </c>
      <c r="E307" s="13" t="s">
        <v>2311</v>
      </c>
      <c r="F307" s="13" t="s">
        <v>56</v>
      </c>
      <c r="G307" s="13" t="s">
        <v>110</v>
      </c>
      <c r="H307" s="13" t="s">
        <v>2312</v>
      </c>
      <c r="I307" s="13" t="s">
        <v>397</v>
      </c>
      <c r="J307" s="13" t="s">
        <v>24</v>
      </c>
      <c r="K307" s="13" t="s">
        <v>309</v>
      </c>
      <c r="L307" s="13" t="s">
        <v>2313</v>
      </c>
      <c r="M307" s="13"/>
      <c r="N307" s="13"/>
      <c r="O307" s="13"/>
      <c r="P307" s="13"/>
      <c r="Q307" s="13"/>
      <c r="R307" s="13" t="s">
        <v>110</v>
      </c>
      <c r="S307" s="13" t="s">
        <v>128</v>
      </c>
      <c r="T307" s="13" t="s">
        <v>2314</v>
      </c>
      <c r="U307" s="13" t="s">
        <v>2315</v>
      </c>
      <c r="V307" s="13" t="s">
        <v>2112</v>
      </c>
      <c r="W307" s="13" t="s">
        <v>2230</v>
      </c>
      <c r="X307" s="13" t="s">
        <v>187</v>
      </c>
      <c r="Y307" s="13" t="s">
        <v>2316</v>
      </c>
      <c r="Z307" s="13" t="s">
        <v>2317</v>
      </c>
      <c r="AA307" s="14" t="s">
        <v>190</v>
      </c>
      <c r="AB307" s="15" t="s">
        <v>191</v>
      </c>
      <c r="AC307" s="15"/>
      <c r="AD307" s="15"/>
    </row>
    <row r="308" customFormat="false" ht="22.35" hidden="false" customHeight="false" outlineLevel="0" collapsed="false">
      <c r="A308" s="13" t="n">
        <v>307</v>
      </c>
      <c r="B308" s="13" t="s">
        <v>2318</v>
      </c>
      <c r="C308" s="13" t="s">
        <v>37</v>
      </c>
      <c r="D308" s="13" t="s">
        <v>2319</v>
      </c>
      <c r="E308" s="13" t="s">
        <v>2320</v>
      </c>
      <c r="F308" s="13" t="s">
        <v>59</v>
      </c>
      <c r="G308" s="13" t="s">
        <v>2321</v>
      </c>
      <c r="H308" s="13" t="s">
        <v>2322</v>
      </c>
      <c r="I308" s="13" t="s">
        <v>397</v>
      </c>
      <c r="J308" s="13" t="s">
        <v>24</v>
      </c>
      <c r="K308" s="13" t="s">
        <v>2323</v>
      </c>
      <c r="L308" s="13" t="s">
        <v>2324</v>
      </c>
      <c r="M308" s="13"/>
      <c r="N308" s="13"/>
      <c r="O308" s="13"/>
      <c r="P308" s="13"/>
      <c r="Q308" s="13"/>
      <c r="R308" s="13" t="s">
        <v>110</v>
      </c>
      <c r="S308" s="13"/>
      <c r="T308" s="13" t="s">
        <v>507</v>
      </c>
      <c r="U308" s="13" t="s">
        <v>2150</v>
      </c>
      <c r="V308" s="13" t="s">
        <v>509</v>
      </c>
      <c r="W308" s="13" t="s">
        <v>2113</v>
      </c>
      <c r="X308" s="13" t="s">
        <v>187</v>
      </c>
      <c r="Y308" s="13" t="s">
        <v>2325</v>
      </c>
      <c r="Z308" s="13" t="s">
        <v>2326</v>
      </c>
      <c r="AA308" s="14" t="s">
        <v>190</v>
      </c>
      <c r="AB308" s="15" t="s">
        <v>191</v>
      </c>
      <c r="AC308" s="15"/>
      <c r="AD308" s="15"/>
    </row>
    <row r="309" customFormat="false" ht="32.8" hidden="false" customHeight="false" outlineLevel="0" collapsed="false">
      <c r="A309" s="13" t="n">
        <v>308</v>
      </c>
      <c r="B309" s="13" t="s">
        <v>2327</v>
      </c>
      <c r="C309" s="13" t="s">
        <v>38</v>
      </c>
      <c r="D309" s="13" t="s">
        <v>430</v>
      </c>
      <c r="E309" s="13" t="s">
        <v>2328</v>
      </c>
      <c r="F309" s="13" t="s">
        <v>48</v>
      </c>
      <c r="G309" s="13" t="s">
        <v>2329</v>
      </c>
      <c r="H309" s="13" t="s">
        <v>433</v>
      </c>
      <c r="I309" s="13" t="s">
        <v>179</v>
      </c>
      <c r="J309" s="13" t="s">
        <v>23</v>
      </c>
      <c r="K309" s="13" t="s">
        <v>180</v>
      </c>
      <c r="L309" s="13" t="s">
        <v>241</v>
      </c>
      <c r="M309" s="13" t="s">
        <v>2330</v>
      </c>
      <c r="N309" s="13"/>
      <c r="O309" s="13"/>
      <c r="P309" s="13"/>
      <c r="Q309" s="13"/>
      <c r="R309" s="13" t="s">
        <v>111</v>
      </c>
      <c r="S309" s="13"/>
      <c r="T309" s="13" t="s">
        <v>2331</v>
      </c>
      <c r="U309" s="13" t="s">
        <v>684</v>
      </c>
      <c r="V309" s="13" t="s">
        <v>2332</v>
      </c>
      <c r="W309" s="13"/>
      <c r="X309" s="13" t="s">
        <v>202</v>
      </c>
      <c r="Y309" s="13"/>
      <c r="Z309" s="13" t="s">
        <v>2333</v>
      </c>
      <c r="AA309" s="14" t="s">
        <v>190</v>
      </c>
      <c r="AB309" s="15" t="s">
        <v>191</v>
      </c>
      <c r="AC309" s="15"/>
      <c r="AD309" s="15"/>
    </row>
    <row r="310" customFormat="false" ht="32.8" hidden="false" customHeight="false" outlineLevel="0" collapsed="false">
      <c r="A310" s="13" t="n">
        <v>309</v>
      </c>
      <c r="B310" s="13" t="s">
        <v>2334</v>
      </c>
      <c r="C310" s="13" t="s">
        <v>38</v>
      </c>
      <c r="D310" s="13" t="s">
        <v>2335</v>
      </c>
      <c r="E310" s="13" t="s">
        <v>2336</v>
      </c>
      <c r="F310" s="13" t="s">
        <v>50</v>
      </c>
      <c r="G310" s="13" t="s">
        <v>2337</v>
      </c>
      <c r="H310" s="13" t="s">
        <v>252</v>
      </c>
      <c r="I310" s="13" t="s">
        <v>253</v>
      </c>
      <c r="J310" s="13" t="s">
        <v>25</v>
      </c>
      <c r="K310" s="13" t="s">
        <v>254</v>
      </c>
      <c r="L310" s="13" t="s">
        <v>482</v>
      </c>
      <c r="M310" s="13" t="s">
        <v>2338</v>
      </c>
      <c r="N310" s="13"/>
      <c r="O310" s="13"/>
      <c r="P310" s="13" t="s">
        <v>90</v>
      </c>
      <c r="Q310" s="13"/>
      <c r="R310" s="13" t="s">
        <v>121</v>
      </c>
      <c r="S310" s="13" t="s">
        <v>125</v>
      </c>
      <c r="T310" s="13" t="s">
        <v>2339</v>
      </c>
      <c r="U310" s="13" t="s">
        <v>1032</v>
      </c>
      <c r="V310" s="13" t="s">
        <v>1674</v>
      </c>
      <c r="W310" s="13"/>
      <c r="X310" s="13" t="s">
        <v>202</v>
      </c>
      <c r="Y310" s="13"/>
      <c r="Z310" s="13" t="s">
        <v>2340</v>
      </c>
      <c r="AA310" s="14" t="s">
        <v>190</v>
      </c>
      <c r="AB310" s="15" t="s">
        <v>191</v>
      </c>
      <c r="AC310" s="15"/>
      <c r="AD310" s="15"/>
    </row>
    <row r="311" customFormat="false" ht="32.8" hidden="false" customHeight="false" outlineLevel="0" collapsed="false">
      <c r="A311" s="13" t="n">
        <v>310</v>
      </c>
      <c r="B311" s="13" t="s">
        <v>2341</v>
      </c>
      <c r="C311" s="13" t="s">
        <v>38</v>
      </c>
      <c r="D311" s="13" t="s">
        <v>2335</v>
      </c>
      <c r="E311" s="13" t="s">
        <v>2342</v>
      </c>
      <c r="F311" s="13" t="s">
        <v>50</v>
      </c>
      <c r="G311" s="13" t="s">
        <v>2343</v>
      </c>
      <c r="H311" s="13" t="s">
        <v>252</v>
      </c>
      <c r="I311" s="13" t="s">
        <v>253</v>
      </c>
      <c r="J311" s="13" t="s">
        <v>25</v>
      </c>
      <c r="K311" s="13" t="s">
        <v>254</v>
      </c>
      <c r="L311" s="13" t="s">
        <v>482</v>
      </c>
      <c r="M311" s="13" t="s">
        <v>2344</v>
      </c>
      <c r="N311" s="13"/>
      <c r="O311" s="13"/>
      <c r="P311" s="13" t="s">
        <v>90</v>
      </c>
      <c r="Q311" s="13"/>
      <c r="R311" s="13" t="s">
        <v>121</v>
      </c>
      <c r="S311" s="13" t="s">
        <v>125</v>
      </c>
      <c r="T311" s="13" t="s">
        <v>2339</v>
      </c>
      <c r="U311" s="13" t="s">
        <v>1032</v>
      </c>
      <c r="V311" s="13" t="s">
        <v>1674</v>
      </c>
      <c r="W311" s="13"/>
      <c r="X311" s="13" t="s">
        <v>202</v>
      </c>
      <c r="Y311" s="13"/>
      <c r="Z311" s="13" t="s">
        <v>2345</v>
      </c>
      <c r="AA311" s="14" t="s">
        <v>190</v>
      </c>
      <c r="AB311" s="15" t="s">
        <v>191</v>
      </c>
      <c r="AC311" s="15"/>
      <c r="AD311" s="15"/>
    </row>
    <row r="312" customFormat="false" ht="32.8" hidden="false" customHeight="false" outlineLevel="0" collapsed="false">
      <c r="A312" s="13" t="n">
        <v>311</v>
      </c>
      <c r="B312" s="13" t="s">
        <v>2346</v>
      </c>
      <c r="C312" s="13" t="s">
        <v>38</v>
      </c>
      <c r="D312" s="13" t="s">
        <v>2335</v>
      </c>
      <c r="E312" s="13" t="s">
        <v>2347</v>
      </c>
      <c r="F312" s="13" t="s">
        <v>50</v>
      </c>
      <c r="G312" s="13" t="s">
        <v>2348</v>
      </c>
      <c r="H312" s="13" t="s">
        <v>252</v>
      </c>
      <c r="I312" s="13" t="s">
        <v>253</v>
      </c>
      <c r="J312" s="13" t="s">
        <v>25</v>
      </c>
      <c r="K312" s="13" t="s">
        <v>254</v>
      </c>
      <c r="L312" s="13" t="s">
        <v>699</v>
      </c>
      <c r="M312" s="13" t="s">
        <v>2349</v>
      </c>
      <c r="N312" s="13"/>
      <c r="O312" s="13"/>
      <c r="P312" s="13" t="s">
        <v>90</v>
      </c>
      <c r="Q312" s="13"/>
      <c r="R312" s="13" t="s">
        <v>121</v>
      </c>
      <c r="S312" s="13"/>
      <c r="T312" s="13" t="s">
        <v>2339</v>
      </c>
      <c r="U312" s="13" t="s">
        <v>684</v>
      </c>
      <c r="V312" s="13" t="s">
        <v>685</v>
      </c>
      <c r="W312" s="13"/>
      <c r="X312" s="13" t="s">
        <v>202</v>
      </c>
      <c r="Y312" s="13"/>
      <c r="Z312" s="13" t="s">
        <v>542</v>
      </c>
      <c r="AA312" s="14" t="s">
        <v>190</v>
      </c>
      <c r="AB312" s="15" t="s">
        <v>191</v>
      </c>
      <c r="AC312" s="15"/>
      <c r="AD312" s="15"/>
    </row>
    <row r="313" customFormat="false" ht="32.8" hidden="false" customHeight="false" outlineLevel="0" collapsed="false">
      <c r="A313" s="13" t="n">
        <v>312</v>
      </c>
      <c r="B313" s="13" t="s">
        <v>2350</v>
      </c>
      <c r="C313" s="13" t="s">
        <v>38</v>
      </c>
      <c r="D313" s="13" t="s">
        <v>2335</v>
      </c>
      <c r="E313" s="13" t="s">
        <v>2351</v>
      </c>
      <c r="F313" s="13" t="s">
        <v>50</v>
      </c>
      <c r="G313" s="13" t="s">
        <v>2352</v>
      </c>
      <c r="H313" s="13" t="s">
        <v>252</v>
      </c>
      <c r="I313" s="13" t="s">
        <v>253</v>
      </c>
      <c r="J313" s="13" t="s">
        <v>25</v>
      </c>
      <c r="K313" s="13" t="s">
        <v>254</v>
      </c>
      <c r="L313" s="13" t="s">
        <v>699</v>
      </c>
      <c r="M313" s="13" t="s">
        <v>2353</v>
      </c>
      <c r="N313" s="13"/>
      <c r="O313" s="13"/>
      <c r="P313" s="13" t="s">
        <v>90</v>
      </c>
      <c r="Q313" s="13"/>
      <c r="R313" s="13" t="s">
        <v>121</v>
      </c>
      <c r="S313" s="13"/>
      <c r="T313" s="13" t="s">
        <v>2339</v>
      </c>
      <c r="U313" s="13" t="s">
        <v>1032</v>
      </c>
      <c r="V313" s="13" t="s">
        <v>2354</v>
      </c>
      <c r="W313" s="13"/>
      <c r="X313" s="13" t="s">
        <v>202</v>
      </c>
      <c r="Y313" s="13"/>
      <c r="Z313" s="13" t="s">
        <v>2355</v>
      </c>
      <c r="AA313" s="14" t="s">
        <v>190</v>
      </c>
      <c r="AB313" s="15" t="s">
        <v>191</v>
      </c>
      <c r="AC313" s="15"/>
      <c r="AD313" s="15"/>
    </row>
    <row r="314" customFormat="false" ht="22.35" hidden="false" customHeight="false" outlineLevel="0" collapsed="false">
      <c r="A314" s="13" t="n">
        <v>313</v>
      </c>
      <c r="B314" s="13" t="s">
        <v>2356</v>
      </c>
      <c r="C314" s="13" t="s">
        <v>38</v>
      </c>
      <c r="D314" s="13" t="s">
        <v>2357</v>
      </c>
      <c r="E314" s="13" t="s">
        <v>2358</v>
      </c>
      <c r="F314" s="13" t="s">
        <v>52</v>
      </c>
      <c r="G314" s="13" t="s">
        <v>2359</v>
      </c>
      <c r="H314" s="13" t="s">
        <v>359</v>
      </c>
      <c r="I314" s="13" t="s">
        <v>253</v>
      </c>
      <c r="J314" s="13" t="s">
        <v>24</v>
      </c>
      <c r="K314" s="13" t="s">
        <v>309</v>
      </c>
      <c r="L314" s="13" t="s">
        <v>1907</v>
      </c>
      <c r="M314" s="13" t="s">
        <v>2360</v>
      </c>
      <c r="N314" s="13"/>
      <c r="O314" s="13"/>
      <c r="P314" s="13"/>
      <c r="Q314" s="13"/>
      <c r="R314" s="13" t="s">
        <v>106</v>
      </c>
      <c r="S314" s="13"/>
      <c r="T314" s="13" t="s">
        <v>2361</v>
      </c>
      <c r="U314" s="13" t="s">
        <v>2362</v>
      </c>
      <c r="V314" s="13" t="s">
        <v>280</v>
      </c>
      <c r="W314" s="13"/>
      <c r="X314" s="13" t="s">
        <v>187</v>
      </c>
      <c r="Y314" s="13" t="s">
        <v>2363</v>
      </c>
      <c r="Z314" s="13" t="s">
        <v>2364</v>
      </c>
      <c r="AA314" s="14" t="s">
        <v>190</v>
      </c>
      <c r="AB314" s="15" t="s">
        <v>191</v>
      </c>
      <c r="AC314" s="15"/>
      <c r="AD314" s="15"/>
    </row>
    <row r="315" customFormat="false" ht="22.35" hidden="false" customHeight="false" outlineLevel="0" collapsed="false">
      <c r="A315" s="13" t="n">
        <v>314</v>
      </c>
      <c r="B315" s="13" t="s">
        <v>2365</v>
      </c>
      <c r="C315" s="13" t="s">
        <v>38</v>
      </c>
      <c r="D315" s="13" t="s">
        <v>862</v>
      </c>
      <c r="E315" s="13" t="s">
        <v>2366</v>
      </c>
      <c r="F315" s="13" t="s">
        <v>52</v>
      </c>
      <c r="G315" s="13" t="s">
        <v>2367</v>
      </c>
      <c r="H315" s="13" t="s">
        <v>388</v>
      </c>
      <c r="I315" s="13" t="s">
        <v>253</v>
      </c>
      <c r="J315" s="13" t="s">
        <v>24</v>
      </c>
      <c r="K315" s="13" t="s">
        <v>309</v>
      </c>
      <c r="L315" s="13" t="s">
        <v>1907</v>
      </c>
      <c r="M315" s="13" t="s">
        <v>2368</v>
      </c>
      <c r="N315" s="13"/>
      <c r="O315" s="13"/>
      <c r="P315" s="13"/>
      <c r="Q315" s="13"/>
      <c r="R315" s="13" t="s">
        <v>114</v>
      </c>
      <c r="S315" s="13"/>
      <c r="T315" s="13" t="s">
        <v>243</v>
      </c>
      <c r="U315" s="13" t="s">
        <v>244</v>
      </c>
      <c r="V315" s="13" t="s">
        <v>2369</v>
      </c>
      <c r="W315" s="13"/>
      <c r="X315" s="13" t="s">
        <v>187</v>
      </c>
      <c r="Y315" s="13" t="s">
        <v>2370</v>
      </c>
      <c r="Z315" s="13" t="s">
        <v>2371</v>
      </c>
      <c r="AA315" s="14" t="s">
        <v>190</v>
      </c>
      <c r="AB315" s="15" t="s">
        <v>191</v>
      </c>
      <c r="AC315" s="15"/>
      <c r="AD315" s="15"/>
    </row>
    <row r="316" customFormat="false" ht="22.35" hidden="false" customHeight="false" outlineLevel="0" collapsed="false">
      <c r="A316" s="13" t="n">
        <v>315</v>
      </c>
      <c r="B316" s="13" t="s">
        <v>2372</v>
      </c>
      <c r="C316" s="13" t="s">
        <v>38</v>
      </c>
      <c r="D316" s="13" t="s">
        <v>862</v>
      </c>
      <c r="E316" s="13" t="s">
        <v>2373</v>
      </c>
      <c r="F316" s="13" t="s">
        <v>52</v>
      </c>
      <c r="G316" s="13" t="s">
        <v>2374</v>
      </c>
      <c r="H316" s="13" t="s">
        <v>388</v>
      </c>
      <c r="I316" s="13" t="s">
        <v>253</v>
      </c>
      <c r="J316" s="13" t="s">
        <v>24</v>
      </c>
      <c r="K316" s="13" t="s">
        <v>309</v>
      </c>
      <c r="L316" s="13" t="s">
        <v>1907</v>
      </c>
      <c r="M316" s="13" t="s">
        <v>2375</v>
      </c>
      <c r="N316" s="13"/>
      <c r="O316" s="13"/>
      <c r="P316" s="13"/>
      <c r="Q316" s="13"/>
      <c r="R316" s="13" t="s">
        <v>114</v>
      </c>
      <c r="S316" s="13"/>
      <c r="T316" s="13" t="s">
        <v>2376</v>
      </c>
      <c r="U316" s="13" t="s">
        <v>2377</v>
      </c>
      <c r="V316" s="13" t="s">
        <v>2378</v>
      </c>
      <c r="W316" s="13"/>
      <c r="X316" s="13" t="s">
        <v>187</v>
      </c>
      <c r="Y316" s="13" t="s">
        <v>2379</v>
      </c>
      <c r="Z316" s="13" t="s">
        <v>2380</v>
      </c>
      <c r="AA316" s="14" t="s">
        <v>190</v>
      </c>
      <c r="AB316" s="15" t="s">
        <v>191</v>
      </c>
      <c r="AC316" s="15"/>
      <c r="AD316" s="15"/>
    </row>
    <row r="317" customFormat="false" ht="22.35" hidden="false" customHeight="false" outlineLevel="0" collapsed="false">
      <c r="A317" s="13" t="n">
        <v>316</v>
      </c>
      <c r="B317" s="13" t="s">
        <v>2381</v>
      </c>
      <c r="C317" s="13" t="s">
        <v>38</v>
      </c>
      <c r="D317" s="13" t="s">
        <v>862</v>
      </c>
      <c r="E317" s="13" t="s">
        <v>2382</v>
      </c>
      <c r="F317" s="13" t="s">
        <v>52</v>
      </c>
      <c r="G317" s="13" t="s">
        <v>2383</v>
      </c>
      <c r="H317" s="13" t="s">
        <v>388</v>
      </c>
      <c r="I317" s="13" t="s">
        <v>253</v>
      </c>
      <c r="J317" s="13" t="s">
        <v>24</v>
      </c>
      <c r="K317" s="13" t="s">
        <v>309</v>
      </c>
      <c r="L317" s="13" t="s">
        <v>2384</v>
      </c>
      <c r="M317" s="13" t="s">
        <v>2385</v>
      </c>
      <c r="N317" s="13"/>
      <c r="O317" s="13"/>
      <c r="P317" s="13" t="s">
        <v>83</v>
      </c>
      <c r="Q317" s="13"/>
      <c r="R317" s="13" t="s">
        <v>111</v>
      </c>
      <c r="S317" s="13"/>
      <c r="T317" s="13" t="s">
        <v>2386</v>
      </c>
      <c r="U317" s="13" t="s">
        <v>2387</v>
      </c>
      <c r="V317" s="13" t="s">
        <v>2388</v>
      </c>
      <c r="W317" s="13"/>
      <c r="X317" s="13" t="s">
        <v>202</v>
      </c>
      <c r="Y317" s="13"/>
      <c r="Z317" s="13" t="s">
        <v>2389</v>
      </c>
      <c r="AA317" s="14" t="s">
        <v>190</v>
      </c>
      <c r="AB317" s="15" t="s">
        <v>191</v>
      </c>
      <c r="AC317" s="15"/>
      <c r="AD317" s="15"/>
    </row>
    <row r="318" customFormat="false" ht="32.8" hidden="false" customHeight="false" outlineLevel="0" collapsed="false">
      <c r="A318" s="13" t="n">
        <v>317</v>
      </c>
      <c r="B318" s="13" t="s">
        <v>2390</v>
      </c>
      <c r="C318" s="13" t="s">
        <v>38</v>
      </c>
      <c r="D318" s="13" t="s">
        <v>1247</v>
      </c>
      <c r="E318" s="13" t="s">
        <v>2391</v>
      </c>
      <c r="F318" s="13" t="s">
        <v>52</v>
      </c>
      <c r="G318" s="13" t="s">
        <v>2392</v>
      </c>
      <c r="H318" s="13" t="s">
        <v>1250</v>
      </c>
      <c r="I318" s="13" t="s">
        <v>253</v>
      </c>
      <c r="J318" s="13" t="s">
        <v>24</v>
      </c>
      <c r="K318" s="13" t="s">
        <v>309</v>
      </c>
      <c r="L318" s="13" t="s">
        <v>1251</v>
      </c>
      <c r="M318" s="13" t="s">
        <v>2393</v>
      </c>
      <c r="N318" s="13"/>
      <c r="O318" s="13"/>
      <c r="P318" s="13"/>
      <c r="Q318" s="13"/>
      <c r="R318" s="13" t="s">
        <v>118</v>
      </c>
      <c r="S318" s="13" t="s">
        <v>129</v>
      </c>
      <c r="T318" s="13" t="s">
        <v>2394</v>
      </c>
      <c r="U318" s="13" t="s">
        <v>279</v>
      </c>
      <c r="V318" s="13" t="s">
        <v>280</v>
      </c>
      <c r="W318" s="13" t="s">
        <v>1253</v>
      </c>
      <c r="X318" s="13" t="s">
        <v>187</v>
      </c>
      <c r="Y318" s="13" t="s">
        <v>2395</v>
      </c>
      <c r="Z318" s="13" t="s">
        <v>2396</v>
      </c>
      <c r="AA318" s="14" t="s">
        <v>190</v>
      </c>
      <c r="AB318" s="15" t="s">
        <v>191</v>
      </c>
      <c r="AC318" s="15"/>
      <c r="AD318" s="15"/>
    </row>
    <row r="319" customFormat="false" ht="32.8" hidden="false" customHeight="false" outlineLevel="0" collapsed="false">
      <c r="A319" s="13" t="n">
        <v>318</v>
      </c>
      <c r="B319" s="13" t="s">
        <v>2397</v>
      </c>
      <c r="C319" s="13" t="s">
        <v>38</v>
      </c>
      <c r="D319" s="13" t="s">
        <v>2398</v>
      </c>
      <c r="E319" s="13" t="s">
        <v>2399</v>
      </c>
      <c r="F319" s="13" t="s">
        <v>56</v>
      </c>
      <c r="G319" s="13" t="s">
        <v>114</v>
      </c>
      <c r="H319" s="13" t="s">
        <v>2400</v>
      </c>
      <c r="I319" s="13" t="s">
        <v>397</v>
      </c>
      <c r="J319" s="13" t="s">
        <v>23</v>
      </c>
      <c r="K319" s="13" t="s">
        <v>2401</v>
      </c>
      <c r="L319" s="13" t="s">
        <v>910</v>
      </c>
      <c r="M319" s="13"/>
      <c r="N319" s="13"/>
      <c r="O319" s="13"/>
      <c r="P319" s="13" t="s">
        <v>2402</v>
      </c>
      <c r="Q319" s="13"/>
      <c r="R319" s="13" t="s">
        <v>2403</v>
      </c>
      <c r="S319" s="13" t="s">
        <v>127</v>
      </c>
      <c r="T319" s="13" t="s">
        <v>2404</v>
      </c>
      <c r="U319" s="13" t="s">
        <v>1032</v>
      </c>
      <c r="V319" s="13" t="s">
        <v>2378</v>
      </c>
      <c r="W319" s="13"/>
      <c r="X319" s="13" t="s">
        <v>187</v>
      </c>
      <c r="Y319" s="13" t="s">
        <v>2405</v>
      </c>
      <c r="Z319" s="13" t="s">
        <v>2406</v>
      </c>
      <c r="AA319" s="14" t="s">
        <v>190</v>
      </c>
      <c r="AB319" s="15" t="s">
        <v>191</v>
      </c>
      <c r="AC319" s="15"/>
      <c r="AD319" s="15"/>
    </row>
    <row r="320" customFormat="false" ht="22.35" hidden="false" customHeight="false" outlineLevel="0" collapsed="false">
      <c r="A320" s="13" t="n">
        <v>319</v>
      </c>
      <c r="B320" s="13" t="s">
        <v>2407</v>
      </c>
      <c r="C320" s="13" t="s">
        <v>38</v>
      </c>
      <c r="D320" s="13" t="s">
        <v>2408</v>
      </c>
      <c r="E320" s="13" t="s">
        <v>2409</v>
      </c>
      <c r="F320" s="13" t="s">
        <v>58</v>
      </c>
      <c r="G320" s="13" t="s">
        <v>2410</v>
      </c>
      <c r="H320" s="13" t="s">
        <v>2411</v>
      </c>
      <c r="I320" s="13" t="s">
        <v>397</v>
      </c>
      <c r="J320" s="13" t="s">
        <v>24</v>
      </c>
      <c r="K320" s="13" t="s">
        <v>309</v>
      </c>
      <c r="L320" s="13" t="s">
        <v>2324</v>
      </c>
      <c r="M320" s="13"/>
      <c r="N320" s="13"/>
      <c r="O320" s="13"/>
      <c r="P320" s="13"/>
      <c r="Q320" s="13"/>
      <c r="R320" s="13" t="s">
        <v>111</v>
      </c>
      <c r="S320" s="13"/>
      <c r="T320" s="13" t="s">
        <v>2412</v>
      </c>
      <c r="U320" s="13" t="s">
        <v>2413</v>
      </c>
      <c r="V320" s="13" t="s">
        <v>1400</v>
      </c>
      <c r="W320" s="13" t="s">
        <v>2414</v>
      </c>
      <c r="X320" s="13" t="s">
        <v>187</v>
      </c>
      <c r="Y320" s="13" t="s">
        <v>2415</v>
      </c>
      <c r="Z320" s="13" t="s">
        <v>2416</v>
      </c>
      <c r="AA320" s="14" t="s">
        <v>190</v>
      </c>
      <c r="AB320" s="15" t="s">
        <v>191</v>
      </c>
      <c r="AC320" s="15"/>
      <c r="AD320" s="15"/>
    </row>
    <row r="321" customFormat="false" ht="22.35" hidden="false" customHeight="false" outlineLevel="0" collapsed="false">
      <c r="A321" s="13" t="n">
        <v>320</v>
      </c>
      <c r="B321" s="13" t="s">
        <v>2417</v>
      </c>
      <c r="C321" s="13" t="s">
        <v>38</v>
      </c>
      <c r="D321" s="13" t="s">
        <v>2418</v>
      </c>
      <c r="E321" s="13" t="s">
        <v>2419</v>
      </c>
      <c r="F321" s="13" t="s">
        <v>58</v>
      </c>
      <c r="G321" s="13" t="s">
        <v>459</v>
      </c>
      <c r="H321" s="13" t="s">
        <v>2420</v>
      </c>
      <c r="I321" s="13" t="s">
        <v>397</v>
      </c>
      <c r="J321" s="13" t="s">
        <v>24</v>
      </c>
      <c r="K321" s="13" t="s">
        <v>2421</v>
      </c>
      <c r="L321" s="13" t="s">
        <v>2422</v>
      </c>
      <c r="M321" s="13"/>
      <c r="N321" s="13"/>
      <c r="O321" s="13"/>
      <c r="P321" s="13"/>
      <c r="Q321" s="13"/>
      <c r="R321" s="13" t="s">
        <v>111</v>
      </c>
      <c r="S321" s="13"/>
      <c r="T321" s="13" t="s">
        <v>459</v>
      </c>
      <c r="U321" s="13" t="s">
        <v>1032</v>
      </c>
      <c r="V321" s="13" t="s">
        <v>1674</v>
      </c>
      <c r="W321" s="13"/>
      <c r="X321" s="13" t="s">
        <v>187</v>
      </c>
      <c r="Y321" s="13" t="s">
        <v>2423</v>
      </c>
      <c r="Z321" s="13" t="s">
        <v>2424</v>
      </c>
      <c r="AA321" s="14" t="s">
        <v>190</v>
      </c>
      <c r="AB321" s="15" t="s">
        <v>191</v>
      </c>
      <c r="AC321" s="15"/>
      <c r="AD321" s="15"/>
    </row>
    <row r="322" customFormat="false" ht="22.35" hidden="false" customHeight="false" outlineLevel="0" collapsed="false">
      <c r="A322" s="13" t="n">
        <v>321</v>
      </c>
      <c r="B322" s="13" t="s">
        <v>2425</v>
      </c>
      <c r="C322" s="13" t="s">
        <v>38</v>
      </c>
      <c r="D322" s="13" t="s">
        <v>2426</v>
      </c>
      <c r="E322" s="13" t="s">
        <v>2427</v>
      </c>
      <c r="F322" s="13" t="s">
        <v>58</v>
      </c>
      <c r="G322" s="13" t="s">
        <v>2428</v>
      </c>
      <c r="H322" s="13" t="s">
        <v>2429</v>
      </c>
      <c r="I322" s="13" t="s">
        <v>397</v>
      </c>
      <c r="J322" s="13" t="s">
        <v>24</v>
      </c>
      <c r="K322" s="13" t="s">
        <v>309</v>
      </c>
      <c r="L322" s="13" t="s">
        <v>2422</v>
      </c>
      <c r="M322" s="13"/>
      <c r="N322" s="13"/>
      <c r="O322" s="13"/>
      <c r="P322" s="13"/>
      <c r="Q322" s="13"/>
      <c r="R322" s="13" t="s">
        <v>111</v>
      </c>
      <c r="S322" s="13"/>
      <c r="T322" s="13" t="s">
        <v>1814</v>
      </c>
      <c r="U322" s="13" t="s">
        <v>2430</v>
      </c>
      <c r="V322" s="13" t="s">
        <v>280</v>
      </c>
      <c r="W322" s="13"/>
      <c r="X322" s="13" t="s">
        <v>187</v>
      </c>
      <c r="Y322" s="13" t="s">
        <v>2431</v>
      </c>
      <c r="Z322" s="13" t="s">
        <v>2432</v>
      </c>
      <c r="AA322" s="14" t="s">
        <v>190</v>
      </c>
      <c r="AB322" s="15" t="s">
        <v>191</v>
      </c>
      <c r="AC322" s="15"/>
      <c r="AD322" s="15"/>
    </row>
    <row r="323" customFormat="false" ht="22.35" hidden="false" customHeight="false" outlineLevel="0" collapsed="false">
      <c r="A323" s="13" t="n">
        <v>322</v>
      </c>
      <c r="B323" s="13" t="s">
        <v>2433</v>
      </c>
      <c r="C323" s="13" t="s">
        <v>38</v>
      </c>
      <c r="D323" s="13" t="s">
        <v>2434</v>
      </c>
      <c r="E323" s="13" t="s">
        <v>2435</v>
      </c>
      <c r="F323" s="13" t="s">
        <v>58</v>
      </c>
      <c r="G323" s="13" t="s">
        <v>2436</v>
      </c>
      <c r="H323" s="13" t="s">
        <v>2437</v>
      </c>
      <c r="I323" s="13" t="s">
        <v>397</v>
      </c>
      <c r="J323" s="13" t="s">
        <v>24</v>
      </c>
      <c r="K323" s="13" t="s">
        <v>2421</v>
      </c>
      <c r="L323" s="13" t="s">
        <v>2422</v>
      </c>
      <c r="M323" s="13"/>
      <c r="N323" s="13"/>
      <c r="O323" s="13"/>
      <c r="P323" s="13"/>
      <c r="Q323" s="13"/>
      <c r="R323" s="13" t="s">
        <v>111</v>
      </c>
      <c r="S323" s="13"/>
      <c r="T323" s="13" t="s">
        <v>2438</v>
      </c>
      <c r="U323" s="13" t="s">
        <v>684</v>
      </c>
      <c r="V323" s="13" t="s">
        <v>685</v>
      </c>
      <c r="W323" s="13"/>
      <c r="X323" s="13" t="s">
        <v>187</v>
      </c>
      <c r="Y323" s="13" t="s">
        <v>2439</v>
      </c>
      <c r="Z323" s="13" t="s">
        <v>2440</v>
      </c>
      <c r="AA323" s="14" t="s">
        <v>190</v>
      </c>
      <c r="AB323" s="15" t="s">
        <v>191</v>
      </c>
      <c r="AC323" s="15"/>
      <c r="AD323" s="15"/>
    </row>
    <row r="324" customFormat="false" ht="22.35" hidden="false" customHeight="false" outlineLevel="0" collapsed="false">
      <c r="A324" s="13" t="n">
        <v>323</v>
      </c>
      <c r="B324" s="13" t="s">
        <v>2441</v>
      </c>
      <c r="C324" s="13" t="s">
        <v>38</v>
      </c>
      <c r="D324" s="13" t="s">
        <v>2442</v>
      </c>
      <c r="E324" s="13" t="s">
        <v>2443</v>
      </c>
      <c r="F324" s="13" t="s">
        <v>59</v>
      </c>
      <c r="G324" s="13" t="s">
        <v>2444</v>
      </c>
      <c r="H324" s="13" t="s">
        <v>2445</v>
      </c>
      <c r="I324" s="13" t="s">
        <v>397</v>
      </c>
      <c r="J324" s="13" t="s">
        <v>24</v>
      </c>
      <c r="K324" s="13" t="s">
        <v>2323</v>
      </c>
      <c r="L324" s="13" t="s">
        <v>2313</v>
      </c>
      <c r="M324" s="13"/>
      <c r="N324" s="13"/>
      <c r="O324" s="13"/>
      <c r="P324" s="13"/>
      <c r="Q324" s="13"/>
      <c r="R324" s="13" t="s">
        <v>118</v>
      </c>
      <c r="S324" s="13" t="s">
        <v>129</v>
      </c>
      <c r="T324" s="13" t="s">
        <v>2394</v>
      </c>
      <c r="U324" s="13" t="s">
        <v>279</v>
      </c>
      <c r="V324" s="13" t="s">
        <v>280</v>
      </c>
      <c r="W324" s="13" t="s">
        <v>1253</v>
      </c>
      <c r="X324" s="13" t="s">
        <v>187</v>
      </c>
      <c r="Y324" s="13" t="s">
        <v>281</v>
      </c>
      <c r="Z324" s="13" t="s">
        <v>2446</v>
      </c>
      <c r="AA324" s="14" t="s">
        <v>190</v>
      </c>
      <c r="AB324" s="15" t="s">
        <v>191</v>
      </c>
      <c r="AC324" s="15"/>
      <c r="AD324" s="15"/>
    </row>
    <row r="325" customFormat="false" ht="32.8" hidden="false" customHeight="false" outlineLevel="0" collapsed="false">
      <c r="A325" s="13" t="n">
        <v>324</v>
      </c>
      <c r="B325" s="13" t="s">
        <v>2447</v>
      </c>
      <c r="C325" s="13" t="s">
        <v>39</v>
      </c>
      <c r="D325" s="13" t="s">
        <v>2448</v>
      </c>
      <c r="E325" s="13" t="s">
        <v>2449</v>
      </c>
      <c r="F325" s="13" t="s">
        <v>48</v>
      </c>
      <c r="G325" s="13" t="s">
        <v>2450</v>
      </c>
      <c r="H325" s="13" t="s">
        <v>196</v>
      </c>
      <c r="I325" s="13" t="s">
        <v>179</v>
      </c>
      <c r="J325" s="13" t="s">
        <v>24</v>
      </c>
      <c r="K325" s="13" t="s">
        <v>180</v>
      </c>
      <c r="L325" s="13" t="s">
        <v>2451</v>
      </c>
      <c r="M325" s="13" t="s">
        <v>2452</v>
      </c>
      <c r="N325" s="13"/>
      <c r="O325" s="13"/>
      <c r="P325" s="13" t="s">
        <v>78</v>
      </c>
      <c r="Q325" s="13"/>
      <c r="R325" s="13" t="s">
        <v>119</v>
      </c>
      <c r="S325" s="13"/>
      <c r="T325" s="13" t="s">
        <v>2453</v>
      </c>
      <c r="U325" s="13" t="s">
        <v>2454</v>
      </c>
      <c r="V325" s="13" t="s">
        <v>1017</v>
      </c>
      <c r="W325" s="13"/>
      <c r="X325" s="13" t="s">
        <v>187</v>
      </c>
      <c r="Y325" s="13" t="s">
        <v>2455</v>
      </c>
      <c r="Z325" s="13" t="s">
        <v>2456</v>
      </c>
      <c r="AA325" s="14" t="s">
        <v>190</v>
      </c>
      <c r="AB325" s="15" t="s">
        <v>191</v>
      </c>
      <c r="AC325" s="15"/>
      <c r="AD325" s="15"/>
    </row>
    <row r="326" customFormat="false" ht="32.8" hidden="false" customHeight="false" outlineLevel="0" collapsed="false">
      <c r="A326" s="13" t="n">
        <v>325</v>
      </c>
      <c r="B326" s="13" t="s">
        <v>2457</v>
      </c>
      <c r="C326" s="13" t="s">
        <v>39</v>
      </c>
      <c r="D326" s="13" t="s">
        <v>2448</v>
      </c>
      <c r="E326" s="13" t="s">
        <v>2458</v>
      </c>
      <c r="F326" s="13" t="s">
        <v>48</v>
      </c>
      <c r="G326" s="13" t="s">
        <v>2459</v>
      </c>
      <c r="H326" s="13" t="s">
        <v>196</v>
      </c>
      <c r="I326" s="13" t="s">
        <v>179</v>
      </c>
      <c r="J326" s="13" t="s">
        <v>23</v>
      </c>
      <c r="K326" s="13" t="s">
        <v>180</v>
      </c>
      <c r="L326" s="13" t="s">
        <v>2451</v>
      </c>
      <c r="M326" s="13" t="s">
        <v>2460</v>
      </c>
      <c r="N326" s="13"/>
      <c r="O326" s="13"/>
      <c r="P326" s="13" t="s">
        <v>78</v>
      </c>
      <c r="Q326" s="13"/>
      <c r="R326" s="13" t="s">
        <v>119</v>
      </c>
      <c r="S326" s="13"/>
      <c r="T326" s="13" t="s">
        <v>2461</v>
      </c>
      <c r="U326" s="13" t="s">
        <v>2462</v>
      </c>
      <c r="V326" s="13" t="s">
        <v>913</v>
      </c>
      <c r="W326" s="13"/>
      <c r="X326" s="13" t="s">
        <v>202</v>
      </c>
      <c r="Y326" s="13"/>
      <c r="Z326" s="13" t="s">
        <v>2463</v>
      </c>
      <c r="AA326" s="14" t="s">
        <v>190</v>
      </c>
      <c r="AB326" s="15" t="s">
        <v>191</v>
      </c>
      <c r="AC326" s="15"/>
      <c r="AD326" s="15"/>
    </row>
    <row r="327" customFormat="false" ht="32.8" hidden="false" customHeight="false" outlineLevel="0" collapsed="false">
      <c r="A327" s="13" t="n">
        <v>326</v>
      </c>
      <c r="B327" s="13" t="s">
        <v>2464</v>
      </c>
      <c r="C327" s="13" t="s">
        <v>39</v>
      </c>
      <c r="D327" s="13" t="s">
        <v>2448</v>
      </c>
      <c r="E327" s="13" t="s">
        <v>2465</v>
      </c>
      <c r="F327" s="13" t="s">
        <v>48</v>
      </c>
      <c r="G327" s="13" t="s">
        <v>2466</v>
      </c>
      <c r="H327" s="13" t="s">
        <v>196</v>
      </c>
      <c r="I327" s="13" t="s">
        <v>179</v>
      </c>
      <c r="J327" s="13" t="s">
        <v>24</v>
      </c>
      <c r="K327" s="13" t="s">
        <v>180</v>
      </c>
      <c r="L327" s="13" t="s">
        <v>2451</v>
      </c>
      <c r="M327" s="13" t="s">
        <v>2467</v>
      </c>
      <c r="N327" s="13"/>
      <c r="O327" s="13"/>
      <c r="P327" s="13" t="s">
        <v>78</v>
      </c>
      <c r="Q327" s="13"/>
      <c r="R327" s="13" t="s">
        <v>119</v>
      </c>
      <c r="S327" s="13"/>
      <c r="T327" s="13" t="s">
        <v>2468</v>
      </c>
      <c r="U327" s="13" t="s">
        <v>2469</v>
      </c>
      <c r="V327" s="13" t="s">
        <v>2470</v>
      </c>
      <c r="W327" s="13"/>
      <c r="X327" s="13" t="s">
        <v>202</v>
      </c>
      <c r="Y327" s="13"/>
      <c r="Z327" s="13" t="s">
        <v>2471</v>
      </c>
      <c r="AA327" s="14" t="s">
        <v>190</v>
      </c>
      <c r="AB327" s="15" t="s">
        <v>191</v>
      </c>
      <c r="AC327" s="15"/>
      <c r="AD327" s="15"/>
    </row>
    <row r="328" customFormat="false" ht="32.8" hidden="false" customHeight="false" outlineLevel="0" collapsed="false">
      <c r="A328" s="13" t="n">
        <v>327</v>
      </c>
      <c r="B328" s="13" t="s">
        <v>2472</v>
      </c>
      <c r="C328" s="13" t="s">
        <v>39</v>
      </c>
      <c r="D328" s="13" t="s">
        <v>2473</v>
      </c>
      <c r="E328" s="13" t="s">
        <v>2474</v>
      </c>
      <c r="F328" s="13" t="s">
        <v>50</v>
      </c>
      <c r="G328" s="13" t="s">
        <v>2475</v>
      </c>
      <c r="H328" s="13" t="s">
        <v>252</v>
      </c>
      <c r="I328" s="13" t="s">
        <v>179</v>
      </c>
      <c r="J328" s="13" t="s">
        <v>23</v>
      </c>
      <c r="K328" s="13" t="s">
        <v>254</v>
      </c>
      <c r="L328" s="13" t="s">
        <v>276</v>
      </c>
      <c r="M328" s="13" t="s">
        <v>2476</v>
      </c>
      <c r="N328" s="13"/>
      <c r="O328" s="13"/>
      <c r="P328" s="13"/>
      <c r="Q328" s="13"/>
      <c r="R328" s="13" t="s">
        <v>119</v>
      </c>
      <c r="S328" s="13" t="s">
        <v>129</v>
      </c>
      <c r="T328" s="13" t="s">
        <v>2477</v>
      </c>
      <c r="U328" s="13" t="s">
        <v>2478</v>
      </c>
      <c r="V328" s="13" t="s">
        <v>2479</v>
      </c>
      <c r="W328" s="13"/>
      <c r="X328" s="13" t="s">
        <v>202</v>
      </c>
      <c r="Y328" s="13"/>
      <c r="Z328" s="13" t="s">
        <v>2480</v>
      </c>
      <c r="AA328" s="14" t="s">
        <v>190</v>
      </c>
      <c r="AB328" s="15" t="s">
        <v>191</v>
      </c>
      <c r="AC328" s="15"/>
      <c r="AD328" s="15"/>
    </row>
    <row r="329" customFormat="false" ht="32.8" hidden="false" customHeight="false" outlineLevel="0" collapsed="false">
      <c r="A329" s="13" t="n">
        <v>328</v>
      </c>
      <c r="B329" s="13" t="s">
        <v>2481</v>
      </c>
      <c r="C329" s="13" t="s">
        <v>39</v>
      </c>
      <c r="D329" s="13" t="s">
        <v>2473</v>
      </c>
      <c r="E329" s="13" t="s">
        <v>2482</v>
      </c>
      <c r="F329" s="13" t="s">
        <v>50</v>
      </c>
      <c r="G329" s="13" t="s">
        <v>2483</v>
      </c>
      <c r="H329" s="13" t="s">
        <v>252</v>
      </c>
      <c r="I329" s="13" t="s">
        <v>253</v>
      </c>
      <c r="J329" s="13" t="s">
        <v>25</v>
      </c>
      <c r="K329" s="13" t="s">
        <v>254</v>
      </c>
      <c r="L329" s="13" t="s">
        <v>255</v>
      </c>
      <c r="M329" s="13" t="s">
        <v>2484</v>
      </c>
      <c r="N329" s="13"/>
      <c r="O329" s="13"/>
      <c r="P329" s="13"/>
      <c r="Q329" s="13"/>
      <c r="R329" s="13" t="s">
        <v>119</v>
      </c>
      <c r="S329" s="13"/>
      <c r="T329" s="13" t="s">
        <v>2477</v>
      </c>
      <c r="U329" s="13" t="s">
        <v>1000</v>
      </c>
      <c r="V329" s="13" t="s">
        <v>353</v>
      </c>
      <c r="W329" s="13"/>
      <c r="X329" s="13" t="s">
        <v>202</v>
      </c>
      <c r="Y329" s="13"/>
      <c r="Z329" s="13" t="s">
        <v>1001</v>
      </c>
      <c r="AA329" s="14" t="s">
        <v>190</v>
      </c>
      <c r="AB329" s="15" t="s">
        <v>191</v>
      </c>
      <c r="AC329" s="15"/>
      <c r="AD329" s="15"/>
    </row>
    <row r="330" customFormat="false" ht="32.8" hidden="false" customHeight="false" outlineLevel="0" collapsed="false">
      <c r="A330" s="13" t="n">
        <v>329</v>
      </c>
      <c r="B330" s="13" t="s">
        <v>2485</v>
      </c>
      <c r="C330" s="13" t="s">
        <v>39</v>
      </c>
      <c r="D330" s="13" t="s">
        <v>1011</v>
      </c>
      <c r="E330" s="13" t="s">
        <v>2486</v>
      </c>
      <c r="F330" s="13" t="s">
        <v>51</v>
      </c>
      <c r="G330" s="13" t="s">
        <v>2487</v>
      </c>
      <c r="H330" s="13" t="s">
        <v>955</v>
      </c>
      <c r="I330" s="13" t="s">
        <v>253</v>
      </c>
      <c r="J330" s="13" t="s">
        <v>25</v>
      </c>
      <c r="K330" s="13" t="s">
        <v>288</v>
      </c>
      <c r="L330" s="13" t="s">
        <v>2488</v>
      </c>
      <c r="M330" s="13" t="s">
        <v>2489</v>
      </c>
      <c r="N330" s="13" t="s">
        <v>92</v>
      </c>
      <c r="O330" s="13"/>
      <c r="P330" s="13" t="s">
        <v>78</v>
      </c>
      <c r="Q330" s="13"/>
      <c r="R330" s="13" t="s">
        <v>119</v>
      </c>
      <c r="S330" s="13"/>
      <c r="T330" s="13" t="s">
        <v>1015</v>
      </c>
      <c r="U330" s="13" t="s">
        <v>1000</v>
      </c>
      <c r="V330" s="13" t="s">
        <v>2490</v>
      </c>
      <c r="W330" s="13"/>
      <c r="X330" s="13" t="s">
        <v>202</v>
      </c>
      <c r="Y330" s="13"/>
      <c r="Z330" s="13" t="s">
        <v>2491</v>
      </c>
      <c r="AA330" s="14" t="s">
        <v>190</v>
      </c>
      <c r="AB330" s="15" t="s">
        <v>191</v>
      </c>
      <c r="AC330" s="15"/>
      <c r="AD330" s="15"/>
    </row>
    <row r="331" customFormat="false" ht="32.8" hidden="false" customHeight="false" outlineLevel="0" collapsed="false">
      <c r="A331" s="13" t="n">
        <v>330</v>
      </c>
      <c r="B331" s="13" t="s">
        <v>2492</v>
      </c>
      <c r="C331" s="13" t="s">
        <v>39</v>
      </c>
      <c r="D331" s="13" t="s">
        <v>2493</v>
      </c>
      <c r="E331" s="13" t="s">
        <v>2494</v>
      </c>
      <c r="F331" s="13" t="s">
        <v>52</v>
      </c>
      <c r="G331" s="13" t="s">
        <v>2495</v>
      </c>
      <c r="H331" s="13" t="s">
        <v>308</v>
      </c>
      <c r="I331" s="13" t="s">
        <v>253</v>
      </c>
      <c r="J331" s="13" t="s">
        <v>24</v>
      </c>
      <c r="K331" s="13" t="s">
        <v>309</v>
      </c>
      <c r="L331" s="13" t="s">
        <v>2496</v>
      </c>
      <c r="M331" s="13" t="s">
        <v>2497</v>
      </c>
      <c r="N331" s="13"/>
      <c r="O331" s="13"/>
      <c r="P331" s="13" t="s">
        <v>83</v>
      </c>
      <c r="Q331" s="13"/>
      <c r="R331" s="13" t="s">
        <v>119</v>
      </c>
      <c r="S331" s="13"/>
      <c r="T331" s="13" t="s">
        <v>2498</v>
      </c>
      <c r="U331" s="13" t="s">
        <v>2499</v>
      </c>
      <c r="V331" s="13" t="s">
        <v>2500</v>
      </c>
      <c r="W331" s="13" t="s">
        <v>2501</v>
      </c>
      <c r="X331" s="13" t="s">
        <v>187</v>
      </c>
      <c r="Y331" s="13" t="s">
        <v>2502</v>
      </c>
      <c r="Z331" s="13" t="s">
        <v>2503</v>
      </c>
      <c r="AA331" s="14" t="s">
        <v>190</v>
      </c>
      <c r="AB331" s="15" t="s">
        <v>191</v>
      </c>
      <c r="AC331" s="15"/>
      <c r="AD331" s="15"/>
    </row>
    <row r="332" customFormat="false" ht="43.25" hidden="false" customHeight="false" outlineLevel="0" collapsed="false">
      <c r="A332" s="13" t="n">
        <v>331</v>
      </c>
      <c r="B332" s="13" t="s">
        <v>2504</v>
      </c>
      <c r="C332" s="13" t="s">
        <v>39</v>
      </c>
      <c r="D332" s="13" t="s">
        <v>1224</v>
      </c>
      <c r="E332" s="13" t="s">
        <v>2505</v>
      </c>
      <c r="F332" s="13" t="s">
        <v>52</v>
      </c>
      <c r="G332" s="13" t="s">
        <v>2506</v>
      </c>
      <c r="H332" s="13" t="s">
        <v>359</v>
      </c>
      <c r="I332" s="13" t="s">
        <v>253</v>
      </c>
      <c r="J332" s="13" t="s">
        <v>24</v>
      </c>
      <c r="K332" s="13" t="s">
        <v>309</v>
      </c>
      <c r="L332" s="13" t="s">
        <v>2384</v>
      </c>
      <c r="M332" s="13" t="s">
        <v>2507</v>
      </c>
      <c r="N332" s="13"/>
      <c r="O332" s="13"/>
      <c r="P332" s="13" t="s">
        <v>78</v>
      </c>
      <c r="Q332" s="13"/>
      <c r="R332" s="13" t="s">
        <v>119</v>
      </c>
      <c r="S332" s="13"/>
      <c r="T332" s="13" t="s">
        <v>2508</v>
      </c>
      <c r="U332" s="13" t="s">
        <v>2509</v>
      </c>
      <c r="V332" s="13" t="s">
        <v>280</v>
      </c>
      <c r="W332" s="13"/>
      <c r="X332" s="13" t="s">
        <v>187</v>
      </c>
      <c r="Y332" s="13" t="s">
        <v>2510</v>
      </c>
      <c r="Z332" s="13" t="s">
        <v>2511</v>
      </c>
      <c r="AA332" s="14" t="s">
        <v>190</v>
      </c>
      <c r="AB332" s="15" t="s">
        <v>191</v>
      </c>
      <c r="AC332" s="15"/>
      <c r="AD332" s="15"/>
    </row>
    <row r="333" customFormat="false" ht="53.7" hidden="false" customHeight="false" outlineLevel="0" collapsed="false">
      <c r="A333" s="13" t="n">
        <v>332</v>
      </c>
      <c r="B333" s="13" t="s">
        <v>2512</v>
      </c>
      <c r="C333" s="13" t="s">
        <v>39</v>
      </c>
      <c r="D333" s="13" t="s">
        <v>862</v>
      </c>
      <c r="E333" s="13" t="s">
        <v>2513</v>
      </c>
      <c r="F333" s="13" t="s">
        <v>52</v>
      </c>
      <c r="G333" s="13" t="s">
        <v>2514</v>
      </c>
      <c r="H333" s="13" t="s">
        <v>388</v>
      </c>
      <c r="I333" s="13" t="s">
        <v>253</v>
      </c>
      <c r="J333" s="13" t="s">
        <v>24</v>
      </c>
      <c r="K333" s="13" t="s">
        <v>309</v>
      </c>
      <c r="L333" s="13" t="s">
        <v>2384</v>
      </c>
      <c r="M333" s="13" t="s">
        <v>2515</v>
      </c>
      <c r="N333" s="13"/>
      <c r="O333" s="13"/>
      <c r="P333" s="13" t="s">
        <v>78</v>
      </c>
      <c r="Q333" s="13"/>
      <c r="R333" s="13" t="s">
        <v>2516</v>
      </c>
      <c r="S333" s="13"/>
      <c r="T333" s="13" t="s">
        <v>2517</v>
      </c>
      <c r="U333" s="13" t="s">
        <v>2462</v>
      </c>
      <c r="V333" s="13" t="s">
        <v>2518</v>
      </c>
      <c r="W333" s="13"/>
      <c r="X333" s="13" t="s">
        <v>187</v>
      </c>
      <c r="Y333" s="13" t="s">
        <v>2519</v>
      </c>
      <c r="Z333" s="13" t="s">
        <v>2520</v>
      </c>
      <c r="AA333" s="14" t="s">
        <v>190</v>
      </c>
      <c r="AB333" s="15" t="s">
        <v>191</v>
      </c>
      <c r="AC333" s="15"/>
      <c r="AD333" s="15"/>
    </row>
    <row r="334" customFormat="false" ht="32.8" hidden="false" customHeight="false" outlineLevel="0" collapsed="false">
      <c r="A334" s="13" t="n">
        <v>333</v>
      </c>
      <c r="B334" s="13" t="s">
        <v>2521</v>
      </c>
      <c r="C334" s="13" t="s">
        <v>39</v>
      </c>
      <c r="D334" s="13" t="s">
        <v>2522</v>
      </c>
      <c r="E334" s="13" t="s">
        <v>2523</v>
      </c>
      <c r="F334" s="13" t="s">
        <v>56</v>
      </c>
      <c r="G334" s="13" t="s">
        <v>106</v>
      </c>
      <c r="H334" s="13" t="s">
        <v>1375</v>
      </c>
      <c r="I334" s="13" t="s">
        <v>397</v>
      </c>
      <c r="J334" s="13" t="s">
        <v>23</v>
      </c>
      <c r="K334" s="13" t="s">
        <v>1260</v>
      </c>
      <c r="L334" s="13" t="s">
        <v>2524</v>
      </c>
      <c r="M334" s="13"/>
      <c r="N334" s="13" t="s">
        <v>93</v>
      </c>
      <c r="O334" s="13"/>
      <c r="P334" s="13" t="s">
        <v>78</v>
      </c>
      <c r="Q334" s="13"/>
      <c r="R334" s="13" t="s">
        <v>2525</v>
      </c>
      <c r="S334" s="13"/>
      <c r="T334" s="13" t="s">
        <v>2526</v>
      </c>
      <c r="U334" s="13" t="s">
        <v>1032</v>
      </c>
      <c r="V334" s="13" t="s">
        <v>2527</v>
      </c>
      <c r="W334" s="13"/>
      <c r="X334" s="13" t="s">
        <v>187</v>
      </c>
      <c r="Y334" s="13" t="s">
        <v>2528</v>
      </c>
      <c r="Z334" s="13" t="s">
        <v>2529</v>
      </c>
      <c r="AA334" s="14" t="s">
        <v>190</v>
      </c>
      <c r="AB334" s="15" t="s">
        <v>191</v>
      </c>
      <c r="AC334" s="15"/>
      <c r="AD334" s="15"/>
    </row>
    <row r="335" customFormat="false" ht="22.35" hidden="false" customHeight="false" outlineLevel="0" collapsed="false">
      <c r="A335" s="13" t="n">
        <v>334</v>
      </c>
      <c r="B335" s="13" t="s">
        <v>2530</v>
      </c>
      <c r="C335" s="13" t="s">
        <v>39</v>
      </c>
      <c r="D335" s="13" t="s">
        <v>2531</v>
      </c>
      <c r="E335" s="13" t="s">
        <v>2532</v>
      </c>
      <c r="F335" s="13" t="s">
        <v>56</v>
      </c>
      <c r="G335" s="13" t="s">
        <v>119</v>
      </c>
      <c r="H335" s="13" t="s">
        <v>2533</v>
      </c>
      <c r="I335" s="13" t="s">
        <v>397</v>
      </c>
      <c r="J335" s="13" t="s">
        <v>24</v>
      </c>
      <c r="K335" s="13" t="s">
        <v>309</v>
      </c>
      <c r="L335" s="13" t="s">
        <v>1941</v>
      </c>
      <c r="M335" s="13"/>
      <c r="N335" s="13"/>
      <c r="O335" s="13"/>
      <c r="P335" s="13" t="s">
        <v>78</v>
      </c>
      <c r="Q335" s="13"/>
      <c r="R335" s="13" t="s">
        <v>119</v>
      </c>
      <c r="S335" s="13"/>
      <c r="T335" s="13" t="s">
        <v>2468</v>
      </c>
      <c r="U335" s="13" t="s">
        <v>2534</v>
      </c>
      <c r="V335" s="13" t="s">
        <v>1017</v>
      </c>
      <c r="W335" s="13"/>
      <c r="X335" s="13" t="s">
        <v>187</v>
      </c>
      <c r="Y335" s="13" t="s">
        <v>2535</v>
      </c>
      <c r="Z335" s="13" t="s">
        <v>2536</v>
      </c>
      <c r="AA335" s="14" t="s">
        <v>190</v>
      </c>
      <c r="AB335" s="15" t="s">
        <v>191</v>
      </c>
      <c r="AC335" s="15"/>
      <c r="AD335" s="15"/>
    </row>
    <row r="336" customFormat="false" ht="32.8" hidden="false" customHeight="false" outlineLevel="0" collapsed="false">
      <c r="A336" s="13" t="n">
        <v>335</v>
      </c>
      <c r="B336" s="13" t="s">
        <v>2537</v>
      </c>
      <c r="C336" s="13" t="s">
        <v>39</v>
      </c>
      <c r="D336" s="13" t="s">
        <v>2538</v>
      </c>
      <c r="E336" s="13" t="s">
        <v>2539</v>
      </c>
      <c r="F336" s="13" t="s">
        <v>56</v>
      </c>
      <c r="G336" s="13" t="s">
        <v>103</v>
      </c>
      <c r="H336" s="13" t="s">
        <v>2540</v>
      </c>
      <c r="I336" s="13" t="s">
        <v>397</v>
      </c>
      <c r="J336" s="13" t="s">
        <v>24</v>
      </c>
      <c r="K336" s="13" t="s">
        <v>309</v>
      </c>
      <c r="L336" s="13" t="s">
        <v>1941</v>
      </c>
      <c r="M336" s="13"/>
      <c r="N336" s="13"/>
      <c r="O336" s="13"/>
      <c r="P336" s="13" t="s">
        <v>78</v>
      </c>
      <c r="Q336" s="13"/>
      <c r="R336" s="13" t="s">
        <v>103</v>
      </c>
      <c r="S336" s="13"/>
      <c r="T336" s="13" t="s">
        <v>958</v>
      </c>
      <c r="U336" s="13" t="s">
        <v>492</v>
      </c>
      <c r="V336" s="13" t="s">
        <v>1431</v>
      </c>
      <c r="W336" s="13"/>
      <c r="X336" s="13" t="s">
        <v>187</v>
      </c>
      <c r="Y336" s="13" t="s">
        <v>2541</v>
      </c>
      <c r="Z336" s="13" t="s">
        <v>2542</v>
      </c>
      <c r="AA336" s="14" t="s">
        <v>190</v>
      </c>
      <c r="AB336" s="15" t="s">
        <v>191</v>
      </c>
      <c r="AC336" s="15"/>
      <c r="AD336" s="15"/>
    </row>
    <row r="337" customFormat="false" ht="22.35" hidden="false" customHeight="false" outlineLevel="0" collapsed="false">
      <c r="A337" s="13" t="n">
        <v>336</v>
      </c>
      <c r="B337" s="13" t="s">
        <v>2543</v>
      </c>
      <c r="C337" s="13" t="s">
        <v>39</v>
      </c>
      <c r="D337" s="13" t="s">
        <v>2544</v>
      </c>
      <c r="E337" s="13" t="s">
        <v>2545</v>
      </c>
      <c r="F337" s="13" t="s">
        <v>59</v>
      </c>
      <c r="G337" s="13" t="s">
        <v>2546</v>
      </c>
      <c r="H337" s="13" t="s">
        <v>2547</v>
      </c>
      <c r="I337" s="13" t="s">
        <v>397</v>
      </c>
      <c r="J337" s="13" t="s">
        <v>24</v>
      </c>
      <c r="K337" s="13" t="s">
        <v>2323</v>
      </c>
      <c r="L337" s="13" t="s">
        <v>2548</v>
      </c>
      <c r="M337" s="13"/>
      <c r="N337" s="13"/>
      <c r="O337" s="13"/>
      <c r="P337" s="13" t="s">
        <v>83</v>
      </c>
      <c r="Q337" s="13"/>
      <c r="R337" s="13" t="s">
        <v>119</v>
      </c>
      <c r="S337" s="13"/>
      <c r="T337" s="13" t="s">
        <v>2549</v>
      </c>
      <c r="U337" s="13" t="s">
        <v>2550</v>
      </c>
      <c r="V337" s="13" t="s">
        <v>2551</v>
      </c>
      <c r="W337" s="13" t="s">
        <v>2501</v>
      </c>
      <c r="X337" s="13" t="s">
        <v>187</v>
      </c>
      <c r="Y337" s="13" t="s">
        <v>2552</v>
      </c>
      <c r="Z337" s="13" t="s">
        <v>2553</v>
      </c>
      <c r="AA337" s="14" t="s">
        <v>190</v>
      </c>
      <c r="AB337" s="15" t="s">
        <v>191</v>
      </c>
      <c r="AC337" s="15"/>
      <c r="AD337" s="15"/>
    </row>
    <row r="338" customFormat="false" ht="22.35" hidden="false" customHeight="false" outlineLevel="0" collapsed="false">
      <c r="A338" s="13" t="n">
        <v>337</v>
      </c>
      <c r="B338" s="13" t="s">
        <v>2554</v>
      </c>
      <c r="C338" s="13" t="s">
        <v>40</v>
      </c>
      <c r="D338" s="13" t="s">
        <v>2555</v>
      </c>
      <c r="E338" s="13" t="s">
        <v>2556</v>
      </c>
      <c r="F338" s="13" t="s">
        <v>52</v>
      </c>
      <c r="G338" s="13" t="s">
        <v>2557</v>
      </c>
      <c r="H338" s="13" t="s">
        <v>308</v>
      </c>
      <c r="I338" s="13" t="s">
        <v>253</v>
      </c>
      <c r="J338" s="13" t="s">
        <v>25</v>
      </c>
      <c r="K338" s="13" t="s">
        <v>309</v>
      </c>
      <c r="L338" s="13" t="s">
        <v>2558</v>
      </c>
      <c r="M338" s="13" t="s">
        <v>2559</v>
      </c>
      <c r="N338" s="13"/>
      <c r="O338" s="13"/>
      <c r="P338" s="13"/>
      <c r="Q338" s="13"/>
      <c r="R338" s="13"/>
      <c r="S338" s="13"/>
      <c r="T338" s="13" t="s">
        <v>2560</v>
      </c>
      <c r="U338" s="13" t="s">
        <v>2561</v>
      </c>
      <c r="V338" s="13" t="s">
        <v>2562</v>
      </c>
      <c r="W338" s="13"/>
      <c r="X338" s="13" t="s">
        <v>202</v>
      </c>
      <c r="Y338" s="13"/>
      <c r="Z338" s="13" t="s">
        <v>2563</v>
      </c>
      <c r="AA338" s="14" t="s">
        <v>190</v>
      </c>
      <c r="AB338" s="15" t="s">
        <v>191</v>
      </c>
      <c r="AC338" s="15"/>
      <c r="AD338" s="15"/>
    </row>
    <row r="339" customFormat="false" ht="22.35" hidden="false" customHeight="false" outlineLevel="0" collapsed="false">
      <c r="A339" s="13" t="n">
        <v>338</v>
      </c>
      <c r="B339" s="13" t="s">
        <v>2564</v>
      </c>
      <c r="C339" s="13" t="s">
        <v>40</v>
      </c>
      <c r="D339" s="13" t="s">
        <v>430</v>
      </c>
      <c r="E339" s="13" t="s">
        <v>2565</v>
      </c>
      <c r="F339" s="13" t="s">
        <v>52</v>
      </c>
      <c r="G339" s="13" t="s">
        <v>2566</v>
      </c>
      <c r="H339" s="13" t="s">
        <v>388</v>
      </c>
      <c r="I339" s="13" t="s">
        <v>253</v>
      </c>
      <c r="J339" s="13" t="s">
        <v>24</v>
      </c>
      <c r="K339" s="13" t="s">
        <v>309</v>
      </c>
      <c r="L339" s="13" t="s">
        <v>1907</v>
      </c>
      <c r="M339" s="13" t="s">
        <v>2567</v>
      </c>
      <c r="N339" s="13"/>
      <c r="O339" s="13"/>
      <c r="P339" s="13"/>
      <c r="Q339" s="13"/>
      <c r="R339" s="13" t="s">
        <v>114</v>
      </c>
      <c r="S339" s="13"/>
      <c r="T339" s="13" t="s">
        <v>2568</v>
      </c>
      <c r="U339" s="13" t="s">
        <v>437</v>
      </c>
      <c r="V339" s="13" t="s">
        <v>2569</v>
      </c>
      <c r="W339" s="13"/>
      <c r="X339" s="13" t="s">
        <v>202</v>
      </c>
      <c r="Y339" s="13"/>
      <c r="Z339" s="13" t="s">
        <v>2570</v>
      </c>
      <c r="AA339" s="14" t="s">
        <v>190</v>
      </c>
      <c r="AB339" s="15" t="s">
        <v>191</v>
      </c>
      <c r="AC339" s="15"/>
      <c r="AD339" s="15"/>
    </row>
    <row r="340" customFormat="false" ht="22.35" hidden="false" customHeight="false" outlineLevel="0" collapsed="false">
      <c r="A340" s="13" t="n">
        <v>339</v>
      </c>
      <c r="B340" s="13" t="s">
        <v>2571</v>
      </c>
      <c r="C340" s="13" t="s">
        <v>40</v>
      </c>
      <c r="D340" s="13" t="s">
        <v>2572</v>
      </c>
      <c r="E340" s="13" t="s">
        <v>2573</v>
      </c>
      <c r="F340" s="13" t="s">
        <v>52</v>
      </c>
      <c r="G340" s="13" t="s">
        <v>2574</v>
      </c>
      <c r="H340" s="13" t="s">
        <v>388</v>
      </c>
      <c r="I340" s="13" t="s">
        <v>253</v>
      </c>
      <c r="J340" s="13" t="s">
        <v>25</v>
      </c>
      <c r="K340" s="13" t="s">
        <v>309</v>
      </c>
      <c r="L340" s="13" t="s">
        <v>2558</v>
      </c>
      <c r="M340" s="13" t="s">
        <v>2575</v>
      </c>
      <c r="N340" s="13"/>
      <c r="O340" s="13"/>
      <c r="P340" s="13"/>
      <c r="Q340" s="13"/>
      <c r="R340" s="13"/>
      <c r="S340" s="13"/>
      <c r="T340" s="13" t="s">
        <v>2576</v>
      </c>
      <c r="U340" s="13" t="s">
        <v>565</v>
      </c>
      <c r="V340" s="13" t="s">
        <v>2577</v>
      </c>
      <c r="W340" s="13"/>
      <c r="X340" s="13" t="s">
        <v>202</v>
      </c>
      <c r="Y340" s="13"/>
      <c r="Z340" s="13" t="s">
        <v>2578</v>
      </c>
      <c r="AA340" s="14" t="s">
        <v>190</v>
      </c>
      <c r="AB340" s="15" t="s">
        <v>191</v>
      </c>
      <c r="AC340" s="15"/>
      <c r="AD340" s="15"/>
    </row>
    <row r="341" customFormat="false" ht="22.35" hidden="false" customHeight="false" outlineLevel="0" collapsed="false">
      <c r="A341" s="13" t="n">
        <v>340</v>
      </c>
      <c r="B341" s="13" t="s">
        <v>2579</v>
      </c>
      <c r="C341" s="13" t="s">
        <v>40</v>
      </c>
      <c r="D341" s="13" t="s">
        <v>2572</v>
      </c>
      <c r="E341" s="13" t="s">
        <v>2580</v>
      </c>
      <c r="F341" s="13" t="s">
        <v>52</v>
      </c>
      <c r="G341" s="13" t="s">
        <v>2581</v>
      </c>
      <c r="H341" s="13" t="s">
        <v>388</v>
      </c>
      <c r="I341" s="13" t="s">
        <v>253</v>
      </c>
      <c r="J341" s="13" t="s">
        <v>24</v>
      </c>
      <c r="K341" s="13" t="s">
        <v>309</v>
      </c>
      <c r="L341" s="13" t="s">
        <v>2558</v>
      </c>
      <c r="M341" s="13" t="s">
        <v>2582</v>
      </c>
      <c r="N341" s="13"/>
      <c r="O341" s="13"/>
      <c r="P341" s="13"/>
      <c r="Q341" s="13"/>
      <c r="R341" s="13"/>
      <c r="S341" s="13"/>
      <c r="T341" s="13" t="s">
        <v>2576</v>
      </c>
      <c r="U341" s="13" t="s">
        <v>565</v>
      </c>
      <c r="V341" s="13" t="s">
        <v>2583</v>
      </c>
      <c r="W341" s="13"/>
      <c r="X341" s="13" t="s">
        <v>202</v>
      </c>
      <c r="Y341" s="13"/>
      <c r="Z341" s="13" t="s">
        <v>2584</v>
      </c>
      <c r="AA341" s="14" t="s">
        <v>190</v>
      </c>
      <c r="AB341" s="15" t="s">
        <v>191</v>
      </c>
      <c r="AC341" s="15"/>
      <c r="AD341" s="15"/>
    </row>
    <row r="342" customFormat="false" ht="22.35" hidden="false" customHeight="false" outlineLevel="0" collapsed="false">
      <c r="A342" s="13" t="n">
        <v>341</v>
      </c>
      <c r="B342" s="13" t="s">
        <v>2585</v>
      </c>
      <c r="C342" s="13" t="s">
        <v>40</v>
      </c>
      <c r="D342" s="13" t="s">
        <v>2586</v>
      </c>
      <c r="E342" s="13" t="s">
        <v>2587</v>
      </c>
      <c r="F342" s="13" t="s">
        <v>52</v>
      </c>
      <c r="G342" s="13" t="s">
        <v>2588</v>
      </c>
      <c r="H342" s="13" t="s">
        <v>2589</v>
      </c>
      <c r="I342" s="13" t="s">
        <v>253</v>
      </c>
      <c r="J342" s="13" t="s">
        <v>24</v>
      </c>
      <c r="K342" s="13" t="s">
        <v>309</v>
      </c>
      <c r="L342" s="13" t="s">
        <v>2590</v>
      </c>
      <c r="M342" s="13" t="s">
        <v>2591</v>
      </c>
      <c r="N342" s="13"/>
      <c r="O342" s="13"/>
      <c r="P342" s="13"/>
      <c r="Q342" s="13"/>
      <c r="R342" s="13" t="s">
        <v>116</v>
      </c>
      <c r="S342" s="13"/>
      <c r="T342" s="13" t="s">
        <v>2592</v>
      </c>
      <c r="U342" s="13" t="s">
        <v>217</v>
      </c>
      <c r="V342" s="13" t="s">
        <v>337</v>
      </c>
      <c r="W342" s="13" t="s">
        <v>2593</v>
      </c>
      <c r="X342" s="13" t="s">
        <v>202</v>
      </c>
      <c r="Y342" s="13"/>
      <c r="Z342" s="13" t="s">
        <v>2594</v>
      </c>
      <c r="AA342" s="14" t="s">
        <v>190</v>
      </c>
      <c r="AB342" s="15" t="s">
        <v>191</v>
      </c>
      <c r="AC342" s="15"/>
      <c r="AD342" s="15"/>
    </row>
    <row r="343" customFormat="false" ht="22.35" hidden="false" customHeight="false" outlineLevel="0" collapsed="false">
      <c r="A343" s="13" t="n">
        <v>342</v>
      </c>
      <c r="B343" s="13" t="s">
        <v>2595</v>
      </c>
      <c r="C343" s="13" t="s">
        <v>40</v>
      </c>
      <c r="D343" s="13" t="s">
        <v>2596</v>
      </c>
      <c r="E343" s="13" t="s">
        <v>2597</v>
      </c>
      <c r="F343" s="13" t="s">
        <v>52</v>
      </c>
      <c r="G343" s="13" t="s">
        <v>2598</v>
      </c>
      <c r="H343" s="13" t="s">
        <v>2589</v>
      </c>
      <c r="I343" s="13" t="s">
        <v>253</v>
      </c>
      <c r="J343" s="13" t="s">
        <v>25</v>
      </c>
      <c r="K343" s="13" t="s">
        <v>309</v>
      </c>
      <c r="L343" s="13" t="s">
        <v>2590</v>
      </c>
      <c r="M343" s="13" t="s">
        <v>2599</v>
      </c>
      <c r="N343" s="13"/>
      <c r="O343" s="13"/>
      <c r="P343" s="13"/>
      <c r="Q343" s="13"/>
      <c r="R343" s="13" t="s">
        <v>116</v>
      </c>
      <c r="S343" s="13"/>
      <c r="T343" s="13" t="s">
        <v>2592</v>
      </c>
      <c r="U343" s="13" t="s">
        <v>2600</v>
      </c>
      <c r="V343" s="13" t="s">
        <v>337</v>
      </c>
      <c r="W343" s="13" t="s">
        <v>2601</v>
      </c>
      <c r="X343" s="13" t="s">
        <v>202</v>
      </c>
      <c r="Y343" s="13"/>
      <c r="Z343" s="13" t="s">
        <v>2602</v>
      </c>
      <c r="AA343" s="14" t="s">
        <v>190</v>
      </c>
      <c r="AB343" s="15" t="s">
        <v>191</v>
      </c>
      <c r="AC343" s="15"/>
      <c r="AD343" s="15"/>
    </row>
    <row r="344" customFormat="false" ht="22.35" hidden="false" customHeight="false" outlineLevel="0" collapsed="false">
      <c r="A344" s="13" t="n">
        <v>343</v>
      </c>
      <c r="B344" s="13" t="s">
        <v>2603</v>
      </c>
      <c r="C344" s="13" t="s">
        <v>40</v>
      </c>
      <c r="D344" s="13" t="s">
        <v>2596</v>
      </c>
      <c r="E344" s="13" t="s">
        <v>2604</v>
      </c>
      <c r="F344" s="13" t="s">
        <v>52</v>
      </c>
      <c r="G344" s="13" t="s">
        <v>2605</v>
      </c>
      <c r="H344" s="13" t="s">
        <v>2589</v>
      </c>
      <c r="I344" s="13" t="s">
        <v>253</v>
      </c>
      <c r="J344" s="13" t="s">
        <v>25</v>
      </c>
      <c r="K344" s="13" t="s">
        <v>309</v>
      </c>
      <c r="L344" s="13" t="s">
        <v>2590</v>
      </c>
      <c r="M344" s="13" t="s">
        <v>2606</v>
      </c>
      <c r="N344" s="13"/>
      <c r="O344" s="13"/>
      <c r="P344" s="13"/>
      <c r="Q344" s="13"/>
      <c r="R344" s="13" t="s">
        <v>116</v>
      </c>
      <c r="S344" s="13"/>
      <c r="T344" s="13" t="s">
        <v>2592</v>
      </c>
      <c r="U344" s="13" t="s">
        <v>184</v>
      </c>
      <c r="V344" s="13" t="s">
        <v>337</v>
      </c>
      <c r="W344" s="13" t="s">
        <v>2601</v>
      </c>
      <c r="X344" s="13" t="s">
        <v>202</v>
      </c>
      <c r="Y344" s="13"/>
      <c r="Z344" s="13" t="s">
        <v>2607</v>
      </c>
      <c r="AA344" s="14" t="s">
        <v>190</v>
      </c>
      <c r="AB344" s="15" t="s">
        <v>191</v>
      </c>
      <c r="AC344" s="15"/>
      <c r="AD344" s="15"/>
    </row>
    <row r="345" customFormat="false" ht="22.35" hidden="false" customHeight="false" outlineLevel="0" collapsed="false">
      <c r="A345" s="13" t="n">
        <v>344</v>
      </c>
      <c r="B345" s="13" t="s">
        <v>2608</v>
      </c>
      <c r="C345" s="13" t="s">
        <v>40</v>
      </c>
      <c r="D345" s="13" t="s">
        <v>2596</v>
      </c>
      <c r="E345" s="13" t="s">
        <v>2609</v>
      </c>
      <c r="F345" s="13" t="s">
        <v>52</v>
      </c>
      <c r="G345" s="13" t="s">
        <v>2610</v>
      </c>
      <c r="H345" s="13" t="s">
        <v>2589</v>
      </c>
      <c r="I345" s="13" t="s">
        <v>253</v>
      </c>
      <c r="J345" s="13" t="s">
        <v>25</v>
      </c>
      <c r="K345" s="13" t="s">
        <v>309</v>
      </c>
      <c r="L345" s="13" t="s">
        <v>2590</v>
      </c>
      <c r="M345" s="13" t="s">
        <v>2611</v>
      </c>
      <c r="N345" s="13"/>
      <c r="O345" s="13"/>
      <c r="P345" s="13"/>
      <c r="Q345" s="13"/>
      <c r="R345" s="13" t="s">
        <v>116</v>
      </c>
      <c r="S345" s="13"/>
      <c r="T345" s="13" t="s">
        <v>2592</v>
      </c>
      <c r="U345" s="13" t="s">
        <v>184</v>
      </c>
      <c r="V345" s="13" t="s">
        <v>337</v>
      </c>
      <c r="W345" s="13" t="s">
        <v>2601</v>
      </c>
      <c r="X345" s="13" t="s">
        <v>202</v>
      </c>
      <c r="Y345" s="13"/>
      <c r="Z345" s="13" t="s">
        <v>2612</v>
      </c>
      <c r="AA345" s="14" t="s">
        <v>190</v>
      </c>
      <c r="AB345" s="15" t="s">
        <v>191</v>
      </c>
      <c r="AC345" s="15"/>
      <c r="AD345" s="15"/>
    </row>
    <row r="346" customFormat="false" ht="22.35" hidden="false" customHeight="false" outlineLevel="0" collapsed="false">
      <c r="A346" s="13" t="n">
        <v>345</v>
      </c>
      <c r="B346" s="13" t="s">
        <v>2613</v>
      </c>
      <c r="C346" s="13" t="s">
        <v>40</v>
      </c>
      <c r="D346" s="13" t="s">
        <v>2596</v>
      </c>
      <c r="E346" s="13" t="s">
        <v>2614</v>
      </c>
      <c r="F346" s="13" t="s">
        <v>52</v>
      </c>
      <c r="G346" s="13" t="s">
        <v>2615</v>
      </c>
      <c r="H346" s="13" t="s">
        <v>2589</v>
      </c>
      <c r="I346" s="13" t="s">
        <v>253</v>
      </c>
      <c r="J346" s="13" t="s">
        <v>25</v>
      </c>
      <c r="K346" s="13" t="s">
        <v>309</v>
      </c>
      <c r="L346" s="13" t="s">
        <v>2590</v>
      </c>
      <c r="M346" s="13" t="s">
        <v>2616</v>
      </c>
      <c r="N346" s="13"/>
      <c r="O346" s="13"/>
      <c r="P346" s="13"/>
      <c r="Q346" s="13"/>
      <c r="R346" s="13" t="s">
        <v>116</v>
      </c>
      <c r="S346" s="13"/>
      <c r="T346" s="13" t="s">
        <v>2592</v>
      </c>
      <c r="U346" s="13" t="s">
        <v>184</v>
      </c>
      <c r="V346" s="13" t="s">
        <v>337</v>
      </c>
      <c r="W346" s="13" t="s">
        <v>2601</v>
      </c>
      <c r="X346" s="13" t="s">
        <v>202</v>
      </c>
      <c r="Y346" s="13"/>
      <c r="Z346" s="13" t="s">
        <v>2617</v>
      </c>
      <c r="AA346" s="14" t="s">
        <v>190</v>
      </c>
      <c r="AB346" s="15" t="s">
        <v>191</v>
      </c>
      <c r="AC346" s="15"/>
      <c r="AD346" s="15"/>
    </row>
    <row r="347" customFormat="false" ht="22.35" hidden="false" customHeight="false" outlineLevel="0" collapsed="false">
      <c r="A347" s="13" t="n">
        <v>346</v>
      </c>
      <c r="B347" s="13" t="s">
        <v>2618</v>
      </c>
      <c r="C347" s="13" t="s">
        <v>40</v>
      </c>
      <c r="D347" s="13" t="s">
        <v>2596</v>
      </c>
      <c r="E347" s="13" t="s">
        <v>2619</v>
      </c>
      <c r="F347" s="13" t="s">
        <v>52</v>
      </c>
      <c r="G347" s="13" t="s">
        <v>2620</v>
      </c>
      <c r="H347" s="13" t="s">
        <v>2589</v>
      </c>
      <c r="I347" s="13" t="s">
        <v>253</v>
      </c>
      <c r="J347" s="13" t="s">
        <v>25</v>
      </c>
      <c r="K347" s="13" t="s">
        <v>309</v>
      </c>
      <c r="L347" s="13" t="s">
        <v>2590</v>
      </c>
      <c r="M347" s="13" t="s">
        <v>2621</v>
      </c>
      <c r="N347" s="13"/>
      <c r="O347" s="13"/>
      <c r="P347" s="13"/>
      <c r="Q347" s="13"/>
      <c r="R347" s="13" t="s">
        <v>116</v>
      </c>
      <c r="S347" s="13"/>
      <c r="T347" s="13" t="s">
        <v>2592</v>
      </c>
      <c r="U347" s="13" t="s">
        <v>229</v>
      </c>
      <c r="V347" s="13" t="s">
        <v>337</v>
      </c>
      <c r="W347" s="13" t="s">
        <v>2622</v>
      </c>
      <c r="X347" s="13" t="s">
        <v>202</v>
      </c>
      <c r="Y347" s="13"/>
      <c r="Z347" s="13" t="s">
        <v>2623</v>
      </c>
      <c r="AA347" s="14" t="s">
        <v>190</v>
      </c>
      <c r="AB347" s="15" t="s">
        <v>191</v>
      </c>
      <c r="AC347" s="15"/>
      <c r="AD347" s="15"/>
    </row>
    <row r="348" customFormat="false" ht="22.35" hidden="false" customHeight="false" outlineLevel="0" collapsed="false">
      <c r="A348" s="13" t="n">
        <v>347</v>
      </c>
      <c r="B348" s="13" t="s">
        <v>2624</v>
      </c>
      <c r="C348" s="13" t="s">
        <v>40</v>
      </c>
      <c r="D348" s="13" t="s">
        <v>2596</v>
      </c>
      <c r="E348" s="13" t="s">
        <v>2625</v>
      </c>
      <c r="F348" s="13" t="s">
        <v>52</v>
      </c>
      <c r="G348" s="13" t="s">
        <v>2626</v>
      </c>
      <c r="H348" s="13" t="s">
        <v>2589</v>
      </c>
      <c r="I348" s="13" t="s">
        <v>253</v>
      </c>
      <c r="J348" s="13" t="s">
        <v>24</v>
      </c>
      <c r="K348" s="13" t="s">
        <v>309</v>
      </c>
      <c r="L348" s="13" t="s">
        <v>2590</v>
      </c>
      <c r="M348" s="13" t="s">
        <v>2627</v>
      </c>
      <c r="N348" s="13"/>
      <c r="O348" s="13"/>
      <c r="P348" s="13"/>
      <c r="Q348" s="13"/>
      <c r="R348" s="13" t="s">
        <v>116</v>
      </c>
      <c r="S348" s="13"/>
      <c r="T348" s="13" t="s">
        <v>2592</v>
      </c>
      <c r="U348" s="13" t="s">
        <v>565</v>
      </c>
      <c r="V348" s="13" t="s">
        <v>2628</v>
      </c>
      <c r="W348" s="13" t="s">
        <v>2601</v>
      </c>
      <c r="X348" s="13" t="s">
        <v>202</v>
      </c>
      <c r="Y348" s="13"/>
      <c r="Z348" s="13" t="s">
        <v>2629</v>
      </c>
      <c r="AA348" s="14" t="s">
        <v>190</v>
      </c>
      <c r="AB348" s="15" t="s">
        <v>191</v>
      </c>
      <c r="AC348" s="15"/>
      <c r="AD348" s="15"/>
    </row>
    <row r="349" customFormat="false" ht="22.35" hidden="false" customHeight="false" outlineLevel="0" collapsed="false">
      <c r="A349" s="13" t="n">
        <v>348</v>
      </c>
      <c r="B349" s="13" t="s">
        <v>2630</v>
      </c>
      <c r="C349" s="13" t="s">
        <v>40</v>
      </c>
      <c r="D349" s="13" t="s">
        <v>2631</v>
      </c>
      <c r="E349" s="13" t="s">
        <v>2632</v>
      </c>
      <c r="F349" s="13" t="s">
        <v>57</v>
      </c>
      <c r="G349" s="13" t="s">
        <v>130</v>
      </c>
      <c r="H349" s="13" t="s">
        <v>2633</v>
      </c>
      <c r="I349" s="13" t="s">
        <v>397</v>
      </c>
      <c r="J349" s="13" t="s">
        <v>24</v>
      </c>
      <c r="K349" s="13" t="s">
        <v>2634</v>
      </c>
      <c r="L349" s="13" t="s">
        <v>2635</v>
      </c>
      <c r="M349" s="13"/>
      <c r="N349" s="13"/>
      <c r="O349" s="13"/>
      <c r="P349" s="13"/>
      <c r="Q349" s="13"/>
      <c r="R349" s="13" t="s">
        <v>121</v>
      </c>
      <c r="S349" s="13" t="s">
        <v>130</v>
      </c>
      <c r="T349" s="13" t="s">
        <v>829</v>
      </c>
      <c r="U349" s="13" t="s">
        <v>565</v>
      </c>
      <c r="V349" s="13" t="s">
        <v>2636</v>
      </c>
      <c r="W349" s="13"/>
      <c r="X349" s="13" t="s">
        <v>187</v>
      </c>
      <c r="Y349" s="13" t="s">
        <v>2637</v>
      </c>
      <c r="Z349" s="13" t="s">
        <v>831</v>
      </c>
      <c r="AA349" s="14" t="s">
        <v>190</v>
      </c>
      <c r="AB349" s="15" t="s">
        <v>191</v>
      </c>
      <c r="AC349" s="15"/>
      <c r="AD349" s="15"/>
    </row>
    <row r="350" customFormat="false" ht="32.8" hidden="false" customHeight="false" outlineLevel="0" collapsed="false">
      <c r="A350" s="13" t="n">
        <v>349</v>
      </c>
      <c r="B350" s="13" t="s">
        <v>2638</v>
      </c>
      <c r="C350" s="13" t="s">
        <v>41</v>
      </c>
      <c r="D350" s="13" t="s">
        <v>2639</v>
      </c>
      <c r="E350" s="13" t="s">
        <v>2640</v>
      </c>
      <c r="F350" s="13" t="s">
        <v>50</v>
      </c>
      <c r="G350" s="13" t="s">
        <v>2641</v>
      </c>
      <c r="H350" s="13" t="s">
        <v>659</v>
      </c>
      <c r="I350" s="13" t="s">
        <v>179</v>
      </c>
      <c r="J350" s="13" t="s">
        <v>23</v>
      </c>
      <c r="K350" s="13" t="s">
        <v>254</v>
      </c>
      <c r="L350" s="13" t="s">
        <v>573</v>
      </c>
      <c r="M350" s="13" t="s">
        <v>2642</v>
      </c>
      <c r="N350" s="13"/>
      <c r="O350" s="13"/>
      <c r="P350" s="13" t="s">
        <v>87</v>
      </c>
      <c r="Q350" s="13"/>
      <c r="R350" s="13" t="s">
        <v>115</v>
      </c>
      <c r="S350" s="13" t="s">
        <v>125</v>
      </c>
      <c r="T350" s="13"/>
      <c r="U350" s="13" t="s">
        <v>2643</v>
      </c>
      <c r="V350" s="13" t="s">
        <v>2644</v>
      </c>
      <c r="W350" s="13"/>
      <c r="X350" s="13" t="s">
        <v>202</v>
      </c>
      <c r="Y350" s="13"/>
      <c r="Z350" s="13" t="s">
        <v>2645</v>
      </c>
      <c r="AA350" s="14" t="s">
        <v>190</v>
      </c>
      <c r="AB350" s="15" t="s">
        <v>191</v>
      </c>
      <c r="AC350" s="15"/>
      <c r="AD350" s="15"/>
    </row>
    <row r="351" customFormat="false" ht="32.8" hidden="false" customHeight="false" outlineLevel="0" collapsed="false">
      <c r="A351" s="13" t="n">
        <v>350</v>
      </c>
      <c r="B351" s="13" t="s">
        <v>2646</v>
      </c>
      <c r="C351" s="13" t="s">
        <v>41</v>
      </c>
      <c r="D351" s="13" t="s">
        <v>2639</v>
      </c>
      <c r="E351" s="13" t="s">
        <v>2647</v>
      </c>
      <c r="F351" s="13" t="s">
        <v>50</v>
      </c>
      <c r="G351" s="13" t="s">
        <v>2648</v>
      </c>
      <c r="H351" s="13" t="s">
        <v>659</v>
      </c>
      <c r="I351" s="13" t="s">
        <v>253</v>
      </c>
      <c r="J351" s="13" t="s">
        <v>24</v>
      </c>
      <c r="K351" s="13" t="s">
        <v>254</v>
      </c>
      <c r="L351" s="13" t="s">
        <v>573</v>
      </c>
      <c r="M351" s="13" t="s">
        <v>2649</v>
      </c>
      <c r="N351" s="13"/>
      <c r="O351" s="13"/>
      <c r="P351" s="13" t="s">
        <v>87</v>
      </c>
      <c r="Q351" s="13"/>
      <c r="R351" s="13" t="s">
        <v>115</v>
      </c>
      <c r="S351" s="13" t="s">
        <v>125</v>
      </c>
      <c r="T351" s="13"/>
      <c r="U351" s="13" t="s">
        <v>2643</v>
      </c>
      <c r="V351" s="13" t="s">
        <v>2650</v>
      </c>
      <c r="W351" s="13"/>
      <c r="X351" s="13" t="s">
        <v>202</v>
      </c>
      <c r="Y351" s="13"/>
      <c r="Z351" s="13" t="s">
        <v>2645</v>
      </c>
      <c r="AA351" s="14" t="s">
        <v>190</v>
      </c>
      <c r="AB351" s="15" t="s">
        <v>191</v>
      </c>
      <c r="AC351" s="15"/>
      <c r="AD351" s="15"/>
    </row>
    <row r="352" customFormat="false" ht="22.35" hidden="false" customHeight="false" outlineLevel="0" collapsed="false">
      <c r="A352" s="13" t="n">
        <v>351</v>
      </c>
      <c r="B352" s="13" t="s">
        <v>2651</v>
      </c>
      <c r="C352" s="13" t="s">
        <v>41</v>
      </c>
      <c r="D352" s="13" t="s">
        <v>430</v>
      </c>
      <c r="E352" s="13" t="s">
        <v>2652</v>
      </c>
      <c r="F352" s="13" t="s">
        <v>52</v>
      </c>
      <c r="G352" s="13" t="s">
        <v>2653</v>
      </c>
      <c r="H352" s="13" t="s">
        <v>388</v>
      </c>
      <c r="I352" s="13" t="s">
        <v>253</v>
      </c>
      <c r="J352" s="13" t="s">
        <v>24</v>
      </c>
      <c r="K352" s="13" t="s">
        <v>406</v>
      </c>
      <c r="L352" s="13" t="s">
        <v>2654</v>
      </c>
      <c r="M352" s="13" t="s">
        <v>2655</v>
      </c>
      <c r="N352" s="13"/>
      <c r="O352" s="13"/>
      <c r="P352" s="13" t="s">
        <v>2656</v>
      </c>
      <c r="Q352" s="13"/>
      <c r="R352" s="13" t="s">
        <v>107</v>
      </c>
      <c r="S352" s="13" t="s">
        <v>126</v>
      </c>
      <c r="T352" s="13"/>
      <c r="U352" s="13" t="s">
        <v>2657</v>
      </c>
      <c r="V352" s="13" t="s">
        <v>2658</v>
      </c>
      <c r="W352" s="13"/>
      <c r="X352" s="13" t="s">
        <v>187</v>
      </c>
      <c r="Y352" s="13" t="s">
        <v>2659</v>
      </c>
      <c r="Z352" s="13" t="s">
        <v>2660</v>
      </c>
      <c r="AA352" s="14" t="s">
        <v>190</v>
      </c>
      <c r="AB352" s="15" t="s">
        <v>191</v>
      </c>
      <c r="AC352" s="15"/>
      <c r="AD352" s="15"/>
    </row>
    <row r="353" customFormat="false" ht="22.35" hidden="false" customHeight="false" outlineLevel="0" collapsed="false">
      <c r="A353" s="13" t="n">
        <v>352</v>
      </c>
      <c r="B353" s="13" t="s">
        <v>2661</v>
      </c>
      <c r="C353" s="13" t="s">
        <v>41</v>
      </c>
      <c r="D353" s="13" t="s">
        <v>2662</v>
      </c>
      <c r="E353" s="13" t="s">
        <v>2663</v>
      </c>
      <c r="F353" s="13" t="s">
        <v>52</v>
      </c>
      <c r="G353" s="13" t="s">
        <v>2664</v>
      </c>
      <c r="H353" s="13" t="s">
        <v>388</v>
      </c>
      <c r="I353" s="13" t="s">
        <v>253</v>
      </c>
      <c r="J353" s="13" t="s">
        <v>25</v>
      </c>
      <c r="K353" s="13" t="s">
        <v>309</v>
      </c>
      <c r="L353" s="13" t="s">
        <v>2384</v>
      </c>
      <c r="M353" s="13" t="s">
        <v>2665</v>
      </c>
      <c r="N353" s="13"/>
      <c r="O353" s="13"/>
      <c r="P353" s="13" t="s">
        <v>84</v>
      </c>
      <c r="Q353" s="13"/>
      <c r="R353" s="13" t="s">
        <v>104</v>
      </c>
      <c r="S353" s="13"/>
      <c r="T353" s="13" t="s">
        <v>2666</v>
      </c>
      <c r="U353" s="13" t="s">
        <v>2667</v>
      </c>
      <c r="V353" s="13" t="s">
        <v>2668</v>
      </c>
      <c r="W353" s="13"/>
      <c r="X353" s="13" t="s">
        <v>187</v>
      </c>
      <c r="Y353" s="13" t="s">
        <v>2669</v>
      </c>
      <c r="Z353" s="13" t="s">
        <v>2670</v>
      </c>
      <c r="AA353" s="14" t="s">
        <v>190</v>
      </c>
      <c r="AB353" s="15" t="s">
        <v>191</v>
      </c>
      <c r="AC353" s="15"/>
      <c r="AD353" s="15"/>
    </row>
    <row r="354" customFormat="false" ht="22.35" hidden="false" customHeight="false" outlineLevel="0" collapsed="false">
      <c r="A354" s="13" t="n">
        <v>353</v>
      </c>
      <c r="B354" s="13" t="s">
        <v>2671</v>
      </c>
      <c r="C354" s="13" t="s">
        <v>41</v>
      </c>
      <c r="D354" s="13" t="s">
        <v>2662</v>
      </c>
      <c r="E354" s="13" t="s">
        <v>2672</v>
      </c>
      <c r="F354" s="13" t="s">
        <v>52</v>
      </c>
      <c r="G354" s="13" t="s">
        <v>2673</v>
      </c>
      <c r="H354" s="13" t="s">
        <v>388</v>
      </c>
      <c r="I354" s="13" t="s">
        <v>253</v>
      </c>
      <c r="J354" s="13" t="s">
        <v>25</v>
      </c>
      <c r="K354" s="13" t="s">
        <v>309</v>
      </c>
      <c r="L354" s="13" t="s">
        <v>1907</v>
      </c>
      <c r="M354" s="13" t="s">
        <v>2674</v>
      </c>
      <c r="N354" s="13"/>
      <c r="O354" s="13"/>
      <c r="P354" s="13"/>
      <c r="Q354" s="13"/>
      <c r="R354" s="13" t="s">
        <v>104</v>
      </c>
      <c r="S354" s="13"/>
      <c r="T354" s="13" t="s">
        <v>2675</v>
      </c>
      <c r="U354" s="13" t="s">
        <v>2676</v>
      </c>
      <c r="V354" s="13" t="s">
        <v>2677</v>
      </c>
      <c r="W354" s="13"/>
      <c r="X354" s="13" t="s">
        <v>202</v>
      </c>
      <c r="Y354" s="13"/>
      <c r="Z354" s="13" t="s">
        <v>2678</v>
      </c>
      <c r="AA354" s="14" t="s">
        <v>190</v>
      </c>
      <c r="AB354" s="15" t="s">
        <v>191</v>
      </c>
      <c r="AC354" s="15"/>
      <c r="AD354" s="15"/>
    </row>
    <row r="355" customFormat="false" ht="22.35" hidden="false" customHeight="false" outlineLevel="0" collapsed="false">
      <c r="A355" s="13" t="n">
        <v>354</v>
      </c>
      <c r="B355" s="13" t="s">
        <v>2679</v>
      </c>
      <c r="C355" s="13" t="s">
        <v>41</v>
      </c>
      <c r="D355" s="13" t="s">
        <v>2680</v>
      </c>
      <c r="E355" s="13" t="s">
        <v>2681</v>
      </c>
      <c r="F355" s="13" t="s">
        <v>55</v>
      </c>
      <c r="G355" s="13" t="s">
        <v>81</v>
      </c>
      <c r="H355" s="13" t="s">
        <v>2682</v>
      </c>
      <c r="I355" s="13" t="s">
        <v>397</v>
      </c>
      <c r="J355" s="13" t="s">
        <v>24</v>
      </c>
      <c r="K355" s="13" t="s">
        <v>309</v>
      </c>
      <c r="L355" s="13" t="s">
        <v>1941</v>
      </c>
      <c r="M355" s="13"/>
      <c r="N355" s="13"/>
      <c r="O355" s="13"/>
      <c r="P355" s="13" t="s">
        <v>81</v>
      </c>
      <c r="Q355" s="13"/>
      <c r="R355" s="13" t="s">
        <v>2683</v>
      </c>
      <c r="S355" s="13"/>
      <c r="T355" s="13" t="s">
        <v>2684</v>
      </c>
      <c r="U355" s="13" t="s">
        <v>2667</v>
      </c>
      <c r="V355" s="13" t="s">
        <v>2668</v>
      </c>
      <c r="W355" s="13"/>
      <c r="X355" s="13" t="s">
        <v>187</v>
      </c>
      <c r="Y355" s="13" t="s">
        <v>2685</v>
      </c>
      <c r="Z355" s="13" t="s">
        <v>2686</v>
      </c>
      <c r="AA355" s="14" t="s">
        <v>190</v>
      </c>
      <c r="AB355" s="15" t="s">
        <v>191</v>
      </c>
      <c r="AC355" s="15"/>
      <c r="AD355" s="15"/>
    </row>
    <row r="356" customFormat="false" ht="32.8" hidden="false" customHeight="false" outlineLevel="0" collapsed="false">
      <c r="A356" s="13" t="n">
        <v>355</v>
      </c>
      <c r="B356" s="13" t="s">
        <v>2687</v>
      </c>
      <c r="C356" s="13" t="s">
        <v>41</v>
      </c>
      <c r="D356" s="13" t="s">
        <v>2688</v>
      </c>
      <c r="E356" s="13" t="s">
        <v>2689</v>
      </c>
      <c r="F356" s="13" t="s">
        <v>56</v>
      </c>
      <c r="G356" s="13" t="s">
        <v>107</v>
      </c>
      <c r="H356" s="13" t="s">
        <v>2690</v>
      </c>
      <c r="I356" s="13" t="s">
        <v>397</v>
      </c>
      <c r="J356" s="13" t="s">
        <v>23</v>
      </c>
      <c r="K356" s="13" t="s">
        <v>309</v>
      </c>
      <c r="L356" s="13" t="s">
        <v>2691</v>
      </c>
      <c r="M356" s="13"/>
      <c r="N356" s="13"/>
      <c r="O356" s="13"/>
      <c r="P356" s="13" t="s">
        <v>2692</v>
      </c>
      <c r="Q356" s="13"/>
      <c r="R356" s="13" t="s">
        <v>107</v>
      </c>
      <c r="S356" s="13"/>
      <c r="T356" s="13"/>
      <c r="U356" s="13" t="s">
        <v>2657</v>
      </c>
      <c r="V356" s="13" t="s">
        <v>2658</v>
      </c>
      <c r="W356" s="13"/>
      <c r="X356" s="13" t="s">
        <v>187</v>
      </c>
      <c r="Y356" s="13" t="s">
        <v>2693</v>
      </c>
      <c r="Z356" s="13" t="s">
        <v>2694</v>
      </c>
      <c r="AA356" s="14" t="s">
        <v>190</v>
      </c>
      <c r="AB356" s="15" t="s">
        <v>191</v>
      </c>
      <c r="AC356" s="15"/>
      <c r="AD356" s="15"/>
    </row>
    <row r="357" customFormat="false" ht="32.8" hidden="false" customHeight="false" outlineLevel="0" collapsed="false">
      <c r="A357" s="13" t="n">
        <v>356</v>
      </c>
      <c r="B357" s="13" t="s">
        <v>2695</v>
      </c>
      <c r="C357" s="13" t="s">
        <v>41</v>
      </c>
      <c r="D357" s="13" t="s">
        <v>2696</v>
      </c>
      <c r="E357" s="13" t="s">
        <v>2697</v>
      </c>
      <c r="F357" s="13" t="s">
        <v>56</v>
      </c>
      <c r="G357" s="13" t="s">
        <v>115</v>
      </c>
      <c r="H357" s="13" t="s">
        <v>2698</v>
      </c>
      <c r="I357" s="13" t="s">
        <v>397</v>
      </c>
      <c r="J357" s="13" t="s">
        <v>24</v>
      </c>
      <c r="K357" s="13" t="s">
        <v>309</v>
      </c>
      <c r="L357" s="13" t="s">
        <v>2691</v>
      </c>
      <c r="M357" s="13"/>
      <c r="N357" s="13"/>
      <c r="O357" s="13"/>
      <c r="P357" s="13" t="s">
        <v>87</v>
      </c>
      <c r="Q357" s="13"/>
      <c r="R357" s="13" t="s">
        <v>2699</v>
      </c>
      <c r="S357" s="13"/>
      <c r="T357" s="13"/>
      <c r="U357" s="13" t="s">
        <v>2643</v>
      </c>
      <c r="V357" s="13" t="s">
        <v>2700</v>
      </c>
      <c r="W357" s="13"/>
      <c r="X357" s="13" t="s">
        <v>187</v>
      </c>
      <c r="Y357" s="13" t="s">
        <v>2701</v>
      </c>
      <c r="Z357" s="13" t="s">
        <v>2702</v>
      </c>
      <c r="AA357" s="14" t="s">
        <v>190</v>
      </c>
      <c r="AB357" s="15" t="s">
        <v>191</v>
      </c>
      <c r="AC357" s="15"/>
      <c r="AD357" s="15"/>
    </row>
    <row r="358" customFormat="false" ht="22.35" hidden="false" customHeight="false" outlineLevel="0" collapsed="false">
      <c r="A358" s="13" t="n">
        <v>357</v>
      </c>
      <c r="B358" s="13" t="s">
        <v>2703</v>
      </c>
      <c r="C358" s="13" t="s">
        <v>41</v>
      </c>
      <c r="D358" s="13" t="s">
        <v>2704</v>
      </c>
      <c r="E358" s="13" t="s">
        <v>2705</v>
      </c>
      <c r="F358" s="13" t="s">
        <v>56</v>
      </c>
      <c r="G358" s="13" t="s">
        <v>104</v>
      </c>
      <c r="H358" s="13" t="s">
        <v>2706</v>
      </c>
      <c r="I358" s="13" t="s">
        <v>397</v>
      </c>
      <c r="J358" s="13" t="s">
        <v>23</v>
      </c>
      <c r="K358" s="13" t="s">
        <v>309</v>
      </c>
      <c r="L358" s="13" t="s">
        <v>1941</v>
      </c>
      <c r="M358" s="13"/>
      <c r="N358" s="13"/>
      <c r="O358" s="13"/>
      <c r="P358" s="13" t="s">
        <v>84</v>
      </c>
      <c r="Q358" s="13"/>
      <c r="R358" s="13" t="s">
        <v>2707</v>
      </c>
      <c r="S358" s="13"/>
      <c r="T358" s="13" t="s">
        <v>2708</v>
      </c>
      <c r="U358" s="13" t="s">
        <v>1926</v>
      </c>
      <c r="V358" s="13" t="s">
        <v>2709</v>
      </c>
      <c r="W358" s="13"/>
      <c r="X358" s="13" t="s">
        <v>187</v>
      </c>
      <c r="Y358" s="13" t="s">
        <v>1865</v>
      </c>
      <c r="Z358" s="13" t="s">
        <v>2710</v>
      </c>
      <c r="AA358" s="14" t="s">
        <v>190</v>
      </c>
      <c r="AB358" s="15" t="s">
        <v>191</v>
      </c>
      <c r="AC358" s="15"/>
      <c r="AD358" s="15"/>
    </row>
    <row r="359" customFormat="false" ht="22.35" hidden="false" customHeight="false" outlineLevel="0" collapsed="false">
      <c r="A359" s="13" t="n">
        <v>358</v>
      </c>
      <c r="B359" s="13" t="s">
        <v>2711</v>
      </c>
      <c r="C359" s="13" t="s">
        <v>42</v>
      </c>
      <c r="D359" s="13" t="s">
        <v>2712</v>
      </c>
      <c r="E359" s="13" t="s">
        <v>2713</v>
      </c>
      <c r="F359" s="13" t="s">
        <v>55</v>
      </c>
      <c r="G359" s="13" t="s">
        <v>89</v>
      </c>
      <c r="H359" s="13" t="s">
        <v>2714</v>
      </c>
      <c r="I359" s="13" t="s">
        <v>397</v>
      </c>
      <c r="J359" s="13" t="s">
        <v>23</v>
      </c>
      <c r="K359" s="13" t="s">
        <v>885</v>
      </c>
      <c r="L359" s="13" t="s">
        <v>2691</v>
      </c>
      <c r="M359" s="13"/>
      <c r="N359" s="13"/>
      <c r="O359" s="13"/>
      <c r="P359" s="13" t="s">
        <v>89</v>
      </c>
      <c r="Q359" s="13"/>
      <c r="R359" s="13" t="s">
        <v>111</v>
      </c>
      <c r="S359" s="13"/>
      <c r="T359" s="13"/>
      <c r="U359" s="13" t="s">
        <v>1032</v>
      </c>
      <c r="V359" s="13" t="s">
        <v>1221</v>
      </c>
      <c r="W359" s="13"/>
      <c r="X359" s="13" t="s">
        <v>202</v>
      </c>
      <c r="Y359" s="13"/>
      <c r="Z359" s="13" t="s">
        <v>2715</v>
      </c>
      <c r="AA359" s="14" t="s">
        <v>190</v>
      </c>
      <c r="AB359" s="15" t="s">
        <v>191</v>
      </c>
      <c r="AC359" s="15"/>
      <c r="AD359" s="15"/>
    </row>
    <row r="360" customFormat="false" ht="32.8" hidden="false" customHeight="false" outlineLevel="0" collapsed="false">
      <c r="A360" s="13" t="n">
        <v>359</v>
      </c>
      <c r="B360" s="13" t="s">
        <v>2716</v>
      </c>
      <c r="C360" s="13" t="s">
        <v>42</v>
      </c>
      <c r="D360" s="13" t="s">
        <v>2717</v>
      </c>
      <c r="E360" s="13" t="s">
        <v>2718</v>
      </c>
      <c r="F360" s="13" t="s">
        <v>55</v>
      </c>
      <c r="G360" s="13" t="s">
        <v>78</v>
      </c>
      <c r="H360" s="13" t="s">
        <v>2719</v>
      </c>
      <c r="I360" s="13" t="s">
        <v>397</v>
      </c>
      <c r="J360" s="13" t="s">
        <v>23</v>
      </c>
      <c r="K360" s="13" t="s">
        <v>1260</v>
      </c>
      <c r="L360" s="13" t="s">
        <v>1941</v>
      </c>
      <c r="M360" s="13"/>
      <c r="N360" s="13"/>
      <c r="O360" s="13"/>
      <c r="P360" s="13" t="s">
        <v>2720</v>
      </c>
      <c r="Q360" s="13"/>
      <c r="R360" s="13" t="s">
        <v>2721</v>
      </c>
      <c r="S360" s="13"/>
      <c r="T360" s="13" t="s">
        <v>2722</v>
      </c>
      <c r="U360" s="13" t="s">
        <v>912</v>
      </c>
      <c r="V360" s="13" t="s">
        <v>2723</v>
      </c>
      <c r="W360" s="13"/>
      <c r="X360" s="13" t="s">
        <v>187</v>
      </c>
      <c r="Y360" s="13" t="s">
        <v>1946</v>
      </c>
      <c r="Z360" s="13" t="s">
        <v>2724</v>
      </c>
      <c r="AA360" s="14" t="s">
        <v>190</v>
      </c>
      <c r="AB360" s="15" t="s">
        <v>191</v>
      </c>
      <c r="AC360" s="15"/>
      <c r="AD360" s="15"/>
    </row>
    <row r="361" customFormat="false" ht="22.35" hidden="false" customHeight="false" outlineLevel="0" collapsed="false">
      <c r="A361" s="13" t="n">
        <v>360</v>
      </c>
      <c r="B361" s="13" t="s">
        <v>2725</v>
      </c>
      <c r="C361" s="13" t="s">
        <v>42</v>
      </c>
      <c r="D361" s="13" t="s">
        <v>2726</v>
      </c>
      <c r="E361" s="13" t="s">
        <v>2727</v>
      </c>
      <c r="F361" s="13" t="s">
        <v>55</v>
      </c>
      <c r="G361" s="13" t="s">
        <v>82</v>
      </c>
      <c r="H361" s="13" t="s">
        <v>2728</v>
      </c>
      <c r="I361" s="13" t="s">
        <v>397</v>
      </c>
      <c r="J361" s="13" t="s">
        <v>24</v>
      </c>
      <c r="K361" s="13" t="s">
        <v>1260</v>
      </c>
      <c r="L361" s="13" t="s">
        <v>875</v>
      </c>
      <c r="M361" s="13"/>
      <c r="N361" s="13" t="s">
        <v>96</v>
      </c>
      <c r="O361" s="13"/>
      <c r="P361" s="13" t="s">
        <v>2729</v>
      </c>
      <c r="Q361" s="13"/>
      <c r="R361" s="13" t="s">
        <v>121</v>
      </c>
      <c r="S361" s="13"/>
      <c r="T361" s="13"/>
      <c r="U361" s="13" t="s">
        <v>492</v>
      </c>
      <c r="V361" s="13" t="s">
        <v>2723</v>
      </c>
      <c r="W361" s="13"/>
      <c r="X361" s="13" t="s">
        <v>202</v>
      </c>
      <c r="Y361" s="13"/>
      <c r="Z361" s="13" t="s">
        <v>2730</v>
      </c>
      <c r="AA361" s="14" t="s">
        <v>190</v>
      </c>
      <c r="AB361" s="15" t="s">
        <v>191</v>
      </c>
      <c r="AC361" s="15"/>
      <c r="AD361" s="15"/>
    </row>
    <row r="362" customFormat="false" ht="32.8" hidden="false" customHeight="false" outlineLevel="0" collapsed="false">
      <c r="A362" s="13" t="n">
        <v>361</v>
      </c>
      <c r="B362" s="13" t="s">
        <v>2731</v>
      </c>
      <c r="C362" s="13" t="s">
        <v>42</v>
      </c>
      <c r="D362" s="13" t="s">
        <v>2732</v>
      </c>
      <c r="E362" s="13" t="s">
        <v>2733</v>
      </c>
      <c r="F362" s="13" t="s">
        <v>55</v>
      </c>
      <c r="G362" s="13" t="s">
        <v>86</v>
      </c>
      <c r="H362" s="13" t="s">
        <v>2734</v>
      </c>
      <c r="I362" s="13" t="s">
        <v>397</v>
      </c>
      <c r="J362" s="13" t="s">
        <v>25</v>
      </c>
      <c r="K362" s="13" t="s">
        <v>885</v>
      </c>
      <c r="L362" s="13" t="s">
        <v>2691</v>
      </c>
      <c r="M362" s="13"/>
      <c r="N362" s="13"/>
      <c r="O362" s="13"/>
      <c r="P362" s="13" t="s">
        <v>2735</v>
      </c>
      <c r="Q362" s="13"/>
      <c r="R362" s="13" t="s">
        <v>105</v>
      </c>
      <c r="S362" s="13"/>
      <c r="T362" s="13"/>
      <c r="U362" s="13" t="s">
        <v>1785</v>
      </c>
      <c r="V362" s="13" t="s">
        <v>209</v>
      </c>
      <c r="W362" s="13"/>
      <c r="X362" s="13" t="s">
        <v>187</v>
      </c>
      <c r="Y362" s="13" t="s">
        <v>2736</v>
      </c>
      <c r="Z362" s="13" t="s">
        <v>2737</v>
      </c>
      <c r="AA362" s="14" t="s">
        <v>190</v>
      </c>
      <c r="AB362" s="15" t="s">
        <v>191</v>
      </c>
      <c r="AC362" s="15"/>
      <c r="AD362" s="15"/>
    </row>
    <row r="363" customFormat="false" ht="32.8" hidden="false" customHeight="false" outlineLevel="0" collapsed="false">
      <c r="A363" s="13" t="n">
        <v>362</v>
      </c>
      <c r="B363" s="13" t="s">
        <v>2738</v>
      </c>
      <c r="C363" s="13" t="s">
        <v>42</v>
      </c>
      <c r="D363" s="13" t="s">
        <v>2739</v>
      </c>
      <c r="E363" s="13" t="s">
        <v>2740</v>
      </c>
      <c r="F363" s="13" t="s">
        <v>55</v>
      </c>
      <c r="G363" s="13" t="s">
        <v>2741</v>
      </c>
      <c r="H363" s="13" t="s">
        <v>2742</v>
      </c>
      <c r="I363" s="13" t="s">
        <v>397</v>
      </c>
      <c r="J363" s="13" t="s">
        <v>23</v>
      </c>
      <c r="K363" s="13" t="s">
        <v>406</v>
      </c>
      <c r="L363" s="13" t="s">
        <v>1941</v>
      </c>
      <c r="M363" s="13"/>
      <c r="N363" s="13"/>
      <c r="O363" s="13"/>
      <c r="P363" s="13" t="s">
        <v>2743</v>
      </c>
      <c r="Q363" s="13"/>
      <c r="R363" s="13" t="s">
        <v>120</v>
      </c>
      <c r="S363" s="13"/>
      <c r="T363" s="13" t="s">
        <v>2744</v>
      </c>
      <c r="U363" s="13" t="s">
        <v>2745</v>
      </c>
      <c r="V363" s="13" t="s">
        <v>2709</v>
      </c>
      <c r="W363" s="13"/>
      <c r="X363" s="13" t="s">
        <v>202</v>
      </c>
      <c r="Y363" s="13"/>
      <c r="Z363" s="13" t="s">
        <v>2746</v>
      </c>
      <c r="AA363" s="14" t="s">
        <v>190</v>
      </c>
      <c r="AB363" s="15" t="s">
        <v>191</v>
      </c>
      <c r="AC363" s="15"/>
      <c r="AD363" s="15"/>
    </row>
    <row r="364" customFormat="false" ht="22.35" hidden="false" customHeight="false" outlineLevel="0" collapsed="false">
      <c r="A364" s="13" t="n">
        <v>363</v>
      </c>
      <c r="B364" s="13" t="s">
        <v>2747</v>
      </c>
      <c r="C364" s="13" t="s">
        <v>42</v>
      </c>
      <c r="D364" s="13" t="s">
        <v>2748</v>
      </c>
      <c r="E364" s="13" t="s">
        <v>2749</v>
      </c>
      <c r="F364" s="13" t="s">
        <v>56</v>
      </c>
      <c r="G364" s="13" t="s">
        <v>105</v>
      </c>
      <c r="H364" s="13" t="s">
        <v>2750</v>
      </c>
      <c r="I364" s="13" t="s">
        <v>397</v>
      </c>
      <c r="J364" s="13" t="s">
        <v>24</v>
      </c>
      <c r="K364" s="13" t="s">
        <v>1260</v>
      </c>
      <c r="L364" s="13" t="s">
        <v>1941</v>
      </c>
      <c r="M364" s="13"/>
      <c r="N364" s="13"/>
      <c r="O364" s="13"/>
      <c r="P364" s="13" t="s">
        <v>2751</v>
      </c>
      <c r="Q364" s="13"/>
      <c r="R364" s="13" t="s">
        <v>105</v>
      </c>
      <c r="S364" s="13"/>
      <c r="T364" s="13" t="s">
        <v>2752</v>
      </c>
      <c r="U364" s="13" t="s">
        <v>475</v>
      </c>
      <c r="V364" s="13" t="s">
        <v>739</v>
      </c>
      <c r="W364" s="13"/>
      <c r="X364" s="13" t="s">
        <v>202</v>
      </c>
      <c r="Y364" s="13"/>
      <c r="Z364" s="13" t="s">
        <v>2753</v>
      </c>
      <c r="AA364" s="14" t="s">
        <v>190</v>
      </c>
      <c r="AB364" s="15" t="s">
        <v>191</v>
      </c>
      <c r="AC364" s="15"/>
      <c r="AD364" s="15"/>
    </row>
    <row r="365" customFormat="false" ht="22.35" hidden="false" customHeight="false" outlineLevel="0" collapsed="false">
      <c r="A365" s="13" t="n">
        <v>364</v>
      </c>
      <c r="B365" s="13" t="s">
        <v>2754</v>
      </c>
      <c r="C365" s="13" t="s">
        <v>42</v>
      </c>
      <c r="D365" s="13" t="s">
        <v>2755</v>
      </c>
      <c r="E365" s="13" t="s">
        <v>2756</v>
      </c>
      <c r="F365" s="13" t="s">
        <v>56</v>
      </c>
      <c r="G365" s="13" t="s">
        <v>108</v>
      </c>
      <c r="H365" s="13" t="s">
        <v>2757</v>
      </c>
      <c r="I365" s="13" t="s">
        <v>397</v>
      </c>
      <c r="J365" s="13" t="s">
        <v>25</v>
      </c>
      <c r="K365" s="13" t="s">
        <v>1260</v>
      </c>
      <c r="L365" s="13" t="s">
        <v>2691</v>
      </c>
      <c r="M365" s="13"/>
      <c r="N365" s="13"/>
      <c r="O365" s="13"/>
      <c r="P365" s="13" t="s">
        <v>89</v>
      </c>
      <c r="Q365" s="13"/>
      <c r="R365" s="13" t="s">
        <v>108</v>
      </c>
      <c r="S365" s="13"/>
      <c r="T365" s="13"/>
      <c r="U365" s="13" t="s">
        <v>1032</v>
      </c>
      <c r="V365" s="13" t="s">
        <v>1221</v>
      </c>
      <c r="W365" s="13"/>
      <c r="X365" s="13" t="s">
        <v>202</v>
      </c>
      <c r="Y365" s="13"/>
      <c r="Z365" s="13" t="s">
        <v>2758</v>
      </c>
      <c r="AA365" s="14" t="s">
        <v>190</v>
      </c>
      <c r="AB365" s="15" t="s">
        <v>191</v>
      </c>
      <c r="AC365" s="15"/>
      <c r="AD365" s="15"/>
    </row>
    <row r="366" customFormat="false" ht="32.8" hidden="false" customHeight="false" outlineLevel="0" collapsed="false">
      <c r="A366" s="13" t="n">
        <v>365</v>
      </c>
      <c r="B366" s="13" t="s">
        <v>2759</v>
      </c>
      <c r="C366" s="13" t="s">
        <v>43</v>
      </c>
      <c r="D366" s="13" t="s">
        <v>1697</v>
      </c>
      <c r="E366" s="13" t="s">
        <v>2760</v>
      </c>
      <c r="F366" s="13" t="s">
        <v>48</v>
      </c>
      <c r="G366" s="13" t="s">
        <v>2761</v>
      </c>
      <c r="H366" s="13" t="s">
        <v>196</v>
      </c>
      <c r="I366" s="13" t="s">
        <v>179</v>
      </c>
      <c r="J366" s="13" t="s">
        <v>24</v>
      </c>
      <c r="K366" s="13" t="s">
        <v>180</v>
      </c>
      <c r="L366" s="13" t="s">
        <v>234</v>
      </c>
      <c r="M366" s="13" t="s">
        <v>2762</v>
      </c>
      <c r="N366" s="13"/>
      <c r="O366" s="13"/>
      <c r="P366" s="13"/>
      <c r="Q366" s="13"/>
      <c r="R366" s="13"/>
      <c r="S366" s="13"/>
      <c r="T366" s="13"/>
      <c r="U366" s="13" t="s">
        <v>1193</v>
      </c>
      <c r="V366" s="13" t="s">
        <v>236</v>
      </c>
      <c r="W366" s="13"/>
      <c r="X366" s="13" t="s">
        <v>202</v>
      </c>
      <c r="Y366" s="13"/>
      <c r="Z366" s="13" t="s">
        <v>2763</v>
      </c>
      <c r="AA366" s="14" t="s">
        <v>190</v>
      </c>
      <c r="AB366" s="15" t="s">
        <v>191</v>
      </c>
      <c r="AC366" s="15"/>
      <c r="AD366" s="15"/>
    </row>
    <row r="367" customFormat="false" ht="32.8" hidden="false" customHeight="false" outlineLevel="0" collapsed="false">
      <c r="A367" s="13" t="n">
        <v>366</v>
      </c>
      <c r="B367" s="13" t="s">
        <v>2764</v>
      </c>
      <c r="C367" s="13" t="s">
        <v>43</v>
      </c>
      <c r="D367" s="13" t="s">
        <v>223</v>
      </c>
      <c r="E367" s="13" t="s">
        <v>2765</v>
      </c>
      <c r="F367" s="13" t="s">
        <v>48</v>
      </c>
      <c r="G367" s="13" t="s">
        <v>2766</v>
      </c>
      <c r="H367" s="13" t="s">
        <v>226</v>
      </c>
      <c r="I367" s="13" t="s">
        <v>179</v>
      </c>
      <c r="J367" s="13" t="s">
        <v>26</v>
      </c>
      <c r="K367" s="13" t="s">
        <v>180</v>
      </c>
      <c r="L367" s="13" t="s">
        <v>234</v>
      </c>
      <c r="M367" s="13" t="s">
        <v>2767</v>
      </c>
      <c r="N367" s="13"/>
      <c r="O367" s="13"/>
      <c r="P367" s="13"/>
      <c r="Q367" s="13"/>
      <c r="R367" s="13"/>
      <c r="S367" s="13"/>
      <c r="T367" s="13"/>
      <c r="U367" s="13" t="s">
        <v>229</v>
      </c>
      <c r="V367" s="13" t="s">
        <v>185</v>
      </c>
      <c r="W367" s="13"/>
      <c r="X367" s="13" t="s">
        <v>202</v>
      </c>
      <c r="Y367" s="13"/>
      <c r="Z367" s="13" t="s">
        <v>2768</v>
      </c>
      <c r="AA367" s="14" t="s">
        <v>190</v>
      </c>
      <c r="AB367" s="15" t="s">
        <v>191</v>
      </c>
      <c r="AC367" s="15"/>
      <c r="AD367" s="15"/>
    </row>
    <row r="368" customFormat="false" ht="32.8" hidden="false" customHeight="false" outlineLevel="0" collapsed="false">
      <c r="A368" s="13" t="n">
        <v>367</v>
      </c>
      <c r="B368" s="13" t="s">
        <v>2769</v>
      </c>
      <c r="C368" s="13" t="s">
        <v>43</v>
      </c>
      <c r="D368" s="13" t="s">
        <v>2770</v>
      </c>
      <c r="E368" s="13" t="s">
        <v>2771</v>
      </c>
      <c r="F368" s="13" t="s">
        <v>51</v>
      </c>
      <c r="G368" s="13" t="s">
        <v>2772</v>
      </c>
      <c r="H368" s="13" t="s">
        <v>287</v>
      </c>
      <c r="I368" s="13" t="s">
        <v>253</v>
      </c>
      <c r="J368" s="13" t="s">
        <v>26</v>
      </c>
      <c r="K368" s="13" t="s">
        <v>288</v>
      </c>
      <c r="L368" s="13" t="s">
        <v>2773</v>
      </c>
      <c r="M368" s="13" t="s">
        <v>2774</v>
      </c>
      <c r="N368" s="13"/>
      <c r="O368" s="13"/>
      <c r="P368" s="13"/>
      <c r="Q368" s="13"/>
      <c r="R368" s="13"/>
      <c r="S368" s="13"/>
      <c r="T368" s="13"/>
      <c r="U368" s="13" t="s">
        <v>229</v>
      </c>
      <c r="V368" s="13" t="s">
        <v>236</v>
      </c>
      <c r="W368" s="13"/>
      <c r="X368" s="13" t="s">
        <v>202</v>
      </c>
      <c r="Y368" s="13"/>
      <c r="Z368" s="13" t="s">
        <v>2775</v>
      </c>
      <c r="AA368" s="14" t="s">
        <v>190</v>
      </c>
      <c r="AB368" s="15" t="s">
        <v>191</v>
      </c>
      <c r="AC368" s="15"/>
      <c r="AD368" s="15"/>
    </row>
    <row r="369" customFormat="false" ht="32.8" hidden="false" customHeight="false" outlineLevel="0" collapsed="false">
      <c r="A369" s="13" t="n">
        <v>368</v>
      </c>
      <c r="B369" s="13" t="s">
        <v>2776</v>
      </c>
      <c r="C369" s="13" t="s">
        <v>43</v>
      </c>
      <c r="D369" s="13" t="s">
        <v>2777</v>
      </c>
      <c r="E369" s="13" t="s">
        <v>2778</v>
      </c>
      <c r="F369" s="13" t="s">
        <v>51</v>
      </c>
      <c r="G369" s="13" t="s">
        <v>2779</v>
      </c>
      <c r="H369" s="13" t="s">
        <v>287</v>
      </c>
      <c r="I369" s="13" t="s">
        <v>992</v>
      </c>
      <c r="J369" s="13" t="s">
        <v>25</v>
      </c>
      <c r="K369" s="13" t="s">
        <v>288</v>
      </c>
      <c r="L369" s="13" t="s">
        <v>2773</v>
      </c>
      <c r="M369" s="13" t="s">
        <v>2780</v>
      </c>
      <c r="N369" s="13"/>
      <c r="O369" s="13"/>
      <c r="P369" s="13"/>
      <c r="Q369" s="13"/>
      <c r="R369" s="13"/>
      <c r="S369" s="13"/>
      <c r="T369" s="13"/>
      <c r="U369" s="13" t="s">
        <v>229</v>
      </c>
      <c r="V369" s="13" t="s">
        <v>236</v>
      </c>
      <c r="W369" s="13"/>
      <c r="X369" s="13" t="s">
        <v>202</v>
      </c>
      <c r="Y369" s="13"/>
      <c r="Z369" s="13" t="s">
        <v>2781</v>
      </c>
      <c r="AA369" s="14" t="s">
        <v>190</v>
      </c>
      <c r="AB369" s="15" t="s">
        <v>191</v>
      </c>
      <c r="AC369" s="15"/>
      <c r="AD369" s="15"/>
    </row>
    <row r="370" customFormat="false" ht="32.8" hidden="false" customHeight="false" outlineLevel="0" collapsed="false">
      <c r="A370" s="13" t="n">
        <v>369</v>
      </c>
      <c r="B370" s="13" t="s">
        <v>2782</v>
      </c>
      <c r="C370" s="13" t="s">
        <v>43</v>
      </c>
      <c r="D370" s="13" t="s">
        <v>2783</v>
      </c>
      <c r="E370" s="13" t="s">
        <v>2784</v>
      </c>
      <c r="F370" s="13" t="s">
        <v>51</v>
      </c>
      <c r="G370" s="13" t="s">
        <v>2785</v>
      </c>
      <c r="H370" s="13" t="s">
        <v>287</v>
      </c>
      <c r="I370" s="13" t="s">
        <v>992</v>
      </c>
      <c r="J370" s="13" t="s">
        <v>25</v>
      </c>
      <c r="K370" s="13" t="s">
        <v>288</v>
      </c>
      <c r="L370" s="13" t="s">
        <v>2786</v>
      </c>
      <c r="M370" s="13" t="s">
        <v>2787</v>
      </c>
      <c r="N370" s="13"/>
      <c r="O370" s="13"/>
      <c r="P370" s="13" t="s">
        <v>86</v>
      </c>
      <c r="Q370" s="13"/>
      <c r="R370" s="13"/>
      <c r="S370" s="13"/>
      <c r="T370" s="13" t="s">
        <v>2788</v>
      </c>
      <c r="U370" s="13" t="s">
        <v>994</v>
      </c>
      <c r="V370" s="13" t="s">
        <v>1400</v>
      </c>
      <c r="W370" s="13"/>
      <c r="X370" s="13" t="s">
        <v>187</v>
      </c>
      <c r="Y370" s="13" t="s">
        <v>2789</v>
      </c>
      <c r="Z370" s="13" t="s">
        <v>2790</v>
      </c>
      <c r="AA370" s="14" t="s">
        <v>190</v>
      </c>
      <c r="AB370" s="15" t="s">
        <v>191</v>
      </c>
      <c r="AC370" s="15"/>
      <c r="AD370" s="15"/>
    </row>
    <row r="371" customFormat="false" ht="32.8" hidden="false" customHeight="false" outlineLevel="0" collapsed="false">
      <c r="A371" s="13" t="n">
        <v>370</v>
      </c>
      <c r="B371" s="13" t="s">
        <v>2791</v>
      </c>
      <c r="C371" s="13" t="s">
        <v>43</v>
      </c>
      <c r="D371" s="13" t="s">
        <v>2792</v>
      </c>
      <c r="E371" s="13" t="s">
        <v>2793</v>
      </c>
      <c r="F371" s="13" t="s">
        <v>51</v>
      </c>
      <c r="G371" s="13" t="s">
        <v>2794</v>
      </c>
      <c r="H371" s="13" t="s">
        <v>2795</v>
      </c>
      <c r="I371" s="13" t="s">
        <v>992</v>
      </c>
      <c r="J371" s="13" t="s">
        <v>25</v>
      </c>
      <c r="K371" s="13" t="s">
        <v>288</v>
      </c>
      <c r="L371" s="13" t="s">
        <v>2773</v>
      </c>
      <c r="M371" s="13" t="s">
        <v>2796</v>
      </c>
      <c r="N371" s="13"/>
      <c r="O371" s="13"/>
      <c r="P371" s="13"/>
      <c r="Q371" s="13"/>
      <c r="R371" s="13"/>
      <c r="S371" s="13"/>
      <c r="T371" s="13"/>
      <c r="U371" s="13" t="s">
        <v>2797</v>
      </c>
      <c r="V371" s="13" t="s">
        <v>2798</v>
      </c>
      <c r="W371" s="13"/>
      <c r="X371" s="13" t="s">
        <v>187</v>
      </c>
      <c r="Y371" s="13" t="s">
        <v>2799</v>
      </c>
      <c r="Z371" s="13" t="s">
        <v>2800</v>
      </c>
      <c r="AA371" s="14" t="s">
        <v>190</v>
      </c>
      <c r="AB371" s="15" t="s">
        <v>191</v>
      </c>
      <c r="AC371" s="15"/>
      <c r="AD371" s="15"/>
    </row>
    <row r="372" customFormat="false" ht="32.8" hidden="false" customHeight="false" outlineLevel="0" collapsed="false">
      <c r="A372" s="13" t="n">
        <v>371</v>
      </c>
      <c r="B372" s="13" t="s">
        <v>2801</v>
      </c>
      <c r="C372" s="13" t="s">
        <v>43</v>
      </c>
      <c r="D372" s="13" t="s">
        <v>2792</v>
      </c>
      <c r="E372" s="13" t="s">
        <v>2802</v>
      </c>
      <c r="F372" s="13" t="s">
        <v>51</v>
      </c>
      <c r="G372" s="13" t="s">
        <v>2803</v>
      </c>
      <c r="H372" s="13" t="s">
        <v>2795</v>
      </c>
      <c r="I372" s="13" t="s">
        <v>179</v>
      </c>
      <c r="J372" s="13" t="s">
        <v>25</v>
      </c>
      <c r="K372" s="13" t="s">
        <v>288</v>
      </c>
      <c r="L372" s="13" t="s">
        <v>2773</v>
      </c>
      <c r="M372" s="13" t="s">
        <v>2804</v>
      </c>
      <c r="N372" s="13"/>
      <c r="O372" s="13"/>
      <c r="P372" s="13"/>
      <c r="Q372" s="13"/>
      <c r="R372" s="13"/>
      <c r="S372" s="13"/>
      <c r="T372" s="13"/>
      <c r="U372" s="13" t="s">
        <v>229</v>
      </c>
      <c r="V372" s="13" t="s">
        <v>236</v>
      </c>
      <c r="W372" s="13"/>
      <c r="X372" s="13" t="s">
        <v>202</v>
      </c>
      <c r="Y372" s="13"/>
      <c r="Z372" s="13" t="s">
        <v>2805</v>
      </c>
      <c r="AA372" s="14" t="s">
        <v>190</v>
      </c>
      <c r="AB372" s="15" t="s">
        <v>191</v>
      </c>
      <c r="AC372" s="15"/>
      <c r="AD372" s="15"/>
    </row>
    <row r="373" customFormat="false" ht="32.8" hidden="false" customHeight="false" outlineLevel="0" collapsed="false">
      <c r="A373" s="13" t="n">
        <v>372</v>
      </c>
      <c r="B373" s="13" t="s">
        <v>2806</v>
      </c>
      <c r="C373" s="13" t="s">
        <v>43</v>
      </c>
      <c r="D373" s="13" t="s">
        <v>2792</v>
      </c>
      <c r="E373" s="13" t="s">
        <v>2807</v>
      </c>
      <c r="F373" s="13" t="s">
        <v>51</v>
      </c>
      <c r="G373" s="13" t="s">
        <v>2808</v>
      </c>
      <c r="H373" s="13" t="s">
        <v>2795</v>
      </c>
      <c r="I373" s="13" t="s">
        <v>179</v>
      </c>
      <c r="J373" s="13" t="s">
        <v>24</v>
      </c>
      <c r="K373" s="13" t="s">
        <v>288</v>
      </c>
      <c r="L373" s="13" t="s">
        <v>2773</v>
      </c>
      <c r="M373" s="13" t="s">
        <v>2809</v>
      </c>
      <c r="N373" s="13"/>
      <c r="O373" s="13"/>
      <c r="P373" s="13"/>
      <c r="Q373" s="13"/>
      <c r="R373" s="13"/>
      <c r="S373" s="13"/>
      <c r="T373" s="13"/>
      <c r="U373" s="13" t="s">
        <v>1466</v>
      </c>
      <c r="V373" s="13" t="s">
        <v>1467</v>
      </c>
      <c r="W373" s="13"/>
      <c r="X373" s="13" t="s">
        <v>187</v>
      </c>
      <c r="Y373" s="13" t="s">
        <v>2810</v>
      </c>
      <c r="Z373" s="13" t="s">
        <v>2811</v>
      </c>
      <c r="AA373" s="14" t="s">
        <v>190</v>
      </c>
      <c r="AB373" s="15" t="s">
        <v>191</v>
      </c>
      <c r="AC373" s="15"/>
      <c r="AD373" s="15"/>
    </row>
    <row r="374" customFormat="false" ht="32.8" hidden="false" customHeight="false" outlineLevel="0" collapsed="false">
      <c r="A374" s="13" t="n">
        <v>373</v>
      </c>
      <c r="B374" s="13" t="s">
        <v>2812</v>
      </c>
      <c r="C374" s="13" t="s">
        <v>43</v>
      </c>
      <c r="D374" s="13" t="s">
        <v>2813</v>
      </c>
      <c r="E374" s="13" t="s">
        <v>2814</v>
      </c>
      <c r="F374" s="13" t="s">
        <v>51</v>
      </c>
      <c r="G374" s="13" t="s">
        <v>2815</v>
      </c>
      <c r="H374" s="13" t="s">
        <v>2795</v>
      </c>
      <c r="I374" s="13" t="s">
        <v>179</v>
      </c>
      <c r="J374" s="13" t="s">
        <v>23</v>
      </c>
      <c r="K374" s="13" t="s">
        <v>288</v>
      </c>
      <c r="L374" s="13" t="s">
        <v>2816</v>
      </c>
      <c r="M374" s="13" t="s">
        <v>2817</v>
      </c>
      <c r="N374" s="13" t="s">
        <v>92</v>
      </c>
      <c r="O374" s="13" t="s">
        <v>76</v>
      </c>
      <c r="P374" s="13"/>
      <c r="Q374" s="13"/>
      <c r="R374" s="13" t="s">
        <v>113</v>
      </c>
      <c r="S374" s="13"/>
      <c r="T374" s="13"/>
      <c r="U374" s="13" t="s">
        <v>1793</v>
      </c>
      <c r="V374" s="13" t="s">
        <v>461</v>
      </c>
      <c r="W374" s="13"/>
      <c r="X374" s="13" t="s">
        <v>187</v>
      </c>
      <c r="Y374" s="13" t="s">
        <v>2818</v>
      </c>
      <c r="Z374" s="13" t="s">
        <v>2819</v>
      </c>
      <c r="AA374" s="14" t="s">
        <v>190</v>
      </c>
      <c r="AB374" s="15" t="s">
        <v>191</v>
      </c>
      <c r="AC374" s="15"/>
      <c r="AD374" s="15"/>
    </row>
    <row r="375" customFormat="false" ht="32.8" hidden="false" customHeight="false" outlineLevel="0" collapsed="false">
      <c r="A375" s="13" t="n">
        <v>374</v>
      </c>
      <c r="B375" s="13" t="s">
        <v>2820</v>
      </c>
      <c r="C375" s="13" t="s">
        <v>43</v>
      </c>
      <c r="D375" s="13" t="s">
        <v>2813</v>
      </c>
      <c r="E375" s="13" t="s">
        <v>2821</v>
      </c>
      <c r="F375" s="13" t="s">
        <v>51</v>
      </c>
      <c r="G375" s="13" t="s">
        <v>2822</v>
      </c>
      <c r="H375" s="13" t="s">
        <v>2795</v>
      </c>
      <c r="I375" s="13" t="s">
        <v>179</v>
      </c>
      <c r="J375" s="13" t="s">
        <v>24</v>
      </c>
      <c r="K375" s="13" t="s">
        <v>288</v>
      </c>
      <c r="L375" s="13" t="s">
        <v>2816</v>
      </c>
      <c r="M375" s="13" t="s">
        <v>2823</v>
      </c>
      <c r="N375" s="13" t="s">
        <v>92</v>
      </c>
      <c r="O375" s="13" t="s">
        <v>76</v>
      </c>
      <c r="P375" s="13"/>
      <c r="Q375" s="13"/>
      <c r="R375" s="13" t="s">
        <v>113</v>
      </c>
      <c r="S375" s="13"/>
      <c r="T375" s="13"/>
      <c r="U375" s="13" t="s">
        <v>994</v>
      </c>
      <c r="V375" s="13" t="s">
        <v>461</v>
      </c>
      <c r="W375" s="13"/>
      <c r="X375" s="13" t="s">
        <v>187</v>
      </c>
      <c r="Y375" s="13" t="s">
        <v>2824</v>
      </c>
      <c r="Z375" s="13" t="s">
        <v>2825</v>
      </c>
      <c r="AA375" s="14" t="s">
        <v>190</v>
      </c>
      <c r="AB375" s="15" t="s">
        <v>191</v>
      </c>
      <c r="AC375" s="15"/>
      <c r="AD375" s="15"/>
    </row>
    <row r="376" customFormat="false" ht="32.8" hidden="false" customHeight="false" outlineLevel="0" collapsed="false">
      <c r="A376" s="13" t="n">
        <v>375</v>
      </c>
      <c r="B376" s="13" t="s">
        <v>2826</v>
      </c>
      <c r="C376" s="13" t="s">
        <v>43</v>
      </c>
      <c r="D376" s="13" t="s">
        <v>2813</v>
      </c>
      <c r="E376" s="13" t="s">
        <v>1509</v>
      </c>
      <c r="F376" s="13" t="s">
        <v>51</v>
      </c>
      <c r="G376" s="13" t="s">
        <v>2827</v>
      </c>
      <c r="H376" s="13" t="s">
        <v>2795</v>
      </c>
      <c r="I376" s="13" t="s">
        <v>179</v>
      </c>
      <c r="J376" s="13" t="s">
        <v>25</v>
      </c>
      <c r="K376" s="13" t="s">
        <v>288</v>
      </c>
      <c r="L376" s="13" t="s">
        <v>2816</v>
      </c>
      <c r="M376" s="13" t="s">
        <v>2828</v>
      </c>
      <c r="N376" s="13" t="s">
        <v>92</v>
      </c>
      <c r="O376" s="13" t="s">
        <v>76</v>
      </c>
      <c r="P376" s="13"/>
      <c r="Q376" s="13"/>
      <c r="R376" s="13" t="s">
        <v>113</v>
      </c>
      <c r="S376" s="13"/>
      <c r="T376" s="13"/>
      <c r="U376" s="13" t="s">
        <v>994</v>
      </c>
      <c r="V376" s="13" t="s">
        <v>461</v>
      </c>
      <c r="W376" s="13"/>
      <c r="X376" s="13" t="s">
        <v>187</v>
      </c>
      <c r="Y376" s="13" t="s">
        <v>2829</v>
      </c>
      <c r="Z376" s="13" t="s">
        <v>2830</v>
      </c>
      <c r="AA376" s="14" t="s">
        <v>190</v>
      </c>
      <c r="AB376" s="15" t="s">
        <v>191</v>
      </c>
      <c r="AC376" s="15"/>
      <c r="AD376" s="15"/>
    </row>
    <row r="377" customFormat="false" ht="32.8" hidden="false" customHeight="false" outlineLevel="0" collapsed="false">
      <c r="A377" s="13" t="n">
        <v>376</v>
      </c>
      <c r="B377" s="13" t="s">
        <v>2831</v>
      </c>
      <c r="C377" s="13" t="s">
        <v>43</v>
      </c>
      <c r="D377" s="13" t="s">
        <v>2813</v>
      </c>
      <c r="E377" s="13" t="s">
        <v>2832</v>
      </c>
      <c r="F377" s="13" t="s">
        <v>51</v>
      </c>
      <c r="G377" s="13" t="s">
        <v>2833</v>
      </c>
      <c r="H377" s="13" t="s">
        <v>2795</v>
      </c>
      <c r="I377" s="13" t="s">
        <v>179</v>
      </c>
      <c r="J377" s="13" t="s">
        <v>25</v>
      </c>
      <c r="K377" s="13" t="s">
        <v>288</v>
      </c>
      <c r="L377" s="13" t="s">
        <v>2816</v>
      </c>
      <c r="M377" s="13" t="s">
        <v>2834</v>
      </c>
      <c r="N377" s="13" t="s">
        <v>92</v>
      </c>
      <c r="O377" s="13" t="s">
        <v>76</v>
      </c>
      <c r="P377" s="13"/>
      <c r="Q377" s="13"/>
      <c r="R377" s="13" t="s">
        <v>113</v>
      </c>
      <c r="S377" s="13"/>
      <c r="T377" s="13"/>
      <c r="U377" s="13" t="s">
        <v>229</v>
      </c>
      <c r="V377" s="13" t="s">
        <v>461</v>
      </c>
      <c r="W377" s="13"/>
      <c r="X377" s="13" t="s">
        <v>202</v>
      </c>
      <c r="Y377" s="13"/>
      <c r="Z377" s="13" t="s">
        <v>2835</v>
      </c>
      <c r="AA377" s="14" t="s">
        <v>190</v>
      </c>
      <c r="AB377" s="15" t="s">
        <v>191</v>
      </c>
      <c r="AC377" s="15"/>
      <c r="AD377" s="15"/>
    </row>
    <row r="378" customFormat="false" ht="32.8" hidden="false" customHeight="false" outlineLevel="0" collapsed="false">
      <c r="A378" s="13" t="n">
        <v>377</v>
      </c>
      <c r="B378" s="13" t="s">
        <v>2836</v>
      </c>
      <c r="C378" s="13" t="s">
        <v>43</v>
      </c>
      <c r="D378" s="13" t="s">
        <v>2813</v>
      </c>
      <c r="E378" s="13" t="s">
        <v>2837</v>
      </c>
      <c r="F378" s="13" t="s">
        <v>51</v>
      </c>
      <c r="G378" s="13" t="s">
        <v>2838</v>
      </c>
      <c r="H378" s="13" t="s">
        <v>2795</v>
      </c>
      <c r="I378" s="13" t="s">
        <v>179</v>
      </c>
      <c r="J378" s="13" t="s">
        <v>26</v>
      </c>
      <c r="K378" s="13" t="s">
        <v>288</v>
      </c>
      <c r="L378" s="13" t="s">
        <v>2816</v>
      </c>
      <c r="M378" s="13" t="s">
        <v>2839</v>
      </c>
      <c r="N378" s="13" t="s">
        <v>92</v>
      </c>
      <c r="O378" s="13" t="s">
        <v>76</v>
      </c>
      <c r="P378" s="13"/>
      <c r="Q378" s="13"/>
      <c r="R378" s="13" t="s">
        <v>113</v>
      </c>
      <c r="S378" s="13"/>
      <c r="T378" s="13"/>
      <c r="U378" s="13" t="s">
        <v>994</v>
      </c>
      <c r="V378" s="13" t="s">
        <v>461</v>
      </c>
      <c r="W378" s="13"/>
      <c r="X378" s="13" t="s">
        <v>187</v>
      </c>
      <c r="Y378" s="13" t="s">
        <v>2840</v>
      </c>
      <c r="Z378" s="13" t="s">
        <v>2835</v>
      </c>
      <c r="AA378" s="14" t="s">
        <v>190</v>
      </c>
      <c r="AB378" s="15" t="s">
        <v>191</v>
      </c>
      <c r="AC378" s="15"/>
      <c r="AD378" s="15"/>
    </row>
    <row r="379" customFormat="false" ht="32.8" hidden="false" customHeight="false" outlineLevel="0" collapsed="false">
      <c r="A379" s="13" t="n">
        <v>378</v>
      </c>
      <c r="B379" s="13" t="s">
        <v>2841</v>
      </c>
      <c r="C379" s="13" t="s">
        <v>43</v>
      </c>
      <c r="D379" s="13" t="s">
        <v>2813</v>
      </c>
      <c r="E379" s="13" t="s">
        <v>2842</v>
      </c>
      <c r="F379" s="13" t="s">
        <v>51</v>
      </c>
      <c r="G379" s="13" t="s">
        <v>2843</v>
      </c>
      <c r="H379" s="13" t="s">
        <v>2795</v>
      </c>
      <c r="I379" s="13" t="s">
        <v>179</v>
      </c>
      <c r="J379" s="13" t="s">
        <v>25</v>
      </c>
      <c r="K379" s="13" t="s">
        <v>288</v>
      </c>
      <c r="L379" s="13" t="s">
        <v>2816</v>
      </c>
      <c r="M379" s="13" t="s">
        <v>2844</v>
      </c>
      <c r="N379" s="13" t="s">
        <v>92</v>
      </c>
      <c r="O379" s="13" t="s">
        <v>76</v>
      </c>
      <c r="P379" s="13"/>
      <c r="Q379" s="13"/>
      <c r="R379" s="13" t="s">
        <v>113</v>
      </c>
      <c r="S379" s="13"/>
      <c r="T379" s="13"/>
      <c r="U379" s="13" t="s">
        <v>1032</v>
      </c>
      <c r="V379" s="13" t="s">
        <v>461</v>
      </c>
      <c r="W379" s="13"/>
      <c r="X379" s="13" t="s">
        <v>187</v>
      </c>
      <c r="Y379" s="13" t="s">
        <v>2845</v>
      </c>
      <c r="Z379" s="13" t="s">
        <v>2846</v>
      </c>
      <c r="AA379" s="14" t="s">
        <v>190</v>
      </c>
      <c r="AB379" s="15" t="s">
        <v>191</v>
      </c>
      <c r="AC379" s="15"/>
      <c r="AD379" s="15"/>
    </row>
    <row r="380" customFormat="false" ht="32.8" hidden="false" customHeight="false" outlineLevel="0" collapsed="false">
      <c r="A380" s="13" t="n">
        <v>379</v>
      </c>
      <c r="B380" s="13" t="s">
        <v>2847</v>
      </c>
      <c r="C380" s="13" t="s">
        <v>43</v>
      </c>
      <c r="D380" s="13" t="s">
        <v>2813</v>
      </c>
      <c r="E380" s="13" t="s">
        <v>2848</v>
      </c>
      <c r="F380" s="13" t="s">
        <v>51</v>
      </c>
      <c r="G380" s="13" t="s">
        <v>2849</v>
      </c>
      <c r="H380" s="13" t="s">
        <v>2795</v>
      </c>
      <c r="I380" s="13" t="s">
        <v>179</v>
      </c>
      <c r="J380" s="13" t="s">
        <v>26</v>
      </c>
      <c r="K380" s="13" t="s">
        <v>288</v>
      </c>
      <c r="L380" s="13" t="s">
        <v>2816</v>
      </c>
      <c r="M380" s="13" t="s">
        <v>2850</v>
      </c>
      <c r="N380" s="13" t="s">
        <v>92</v>
      </c>
      <c r="O380" s="13" t="s">
        <v>76</v>
      </c>
      <c r="P380" s="13"/>
      <c r="Q380" s="13"/>
      <c r="R380" s="13" t="s">
        <v>113</v>
      </c>
      <c r="S380" s="13"/>
      <c r="T380" s="13"/>
      <c r="U380" s="13" t="s">
        <v>229</v>
      </c>
      <c r="V380" s="13" t="s">
        <v>236</v>
      </c>
      <c r="W380" s="13"/>
      <c r="X380" s="13" t="s">
        <v>187</v>
      </c>
      <c r="Y380" s="13" t="s">
        <v>2851</v>
      </c>
      <c r="Z380" s="13" t="s">
        <v>2835</v>
      </c>
      <c r="AA380" s="14" t="s">
        <v>190</v>
      </c>
      <c r="AB380" s="15" t="s">
        <v>191</v>
      </c>
      <c r="AC380" s="15"/>
      <c r="AD380" s="15"/>
    </row>
    <row r="381" customFormat="false" ht="43.25" hidden="false" customHeight="false" outlineLevel="0" collapsed="false">
      <c r="A381" s="13" t="n">
        <v>380</v>
      </c>
      <c r="B381" s="13" t="s">
        <v>2852</v>
      </c>
      <c r="C381" s="13" t="s">
        <v>43</v>
      </c>
      <c r="D381" s="13" t="s">
        <v>1460</v>
      </c>
      <c r="E381" s="13" t="s">
        <v>2853</v>
      </c>
      <c r="F381" s="13" t="s">
        <v>51</v>
      </c>
      <c r="G381" s="13" t="s">
        <v>2854</v>
      </c>
      <c r="H381" s="13" t="s">
        <v>2795</v>
      </c>
      <c r="I381" s="13" t="s">
        <v>179</v>
      </c>
      <c r="J381" s="13" t="s">
        <v>23</v>
      </c>
      <c r="K381" s="13" t="s">
        <v>288</v>
      </c>
      <c r="L381" s="13" t="s">
        <v>2855</v>
      </c>
      <c r="M381" s="13" t="s">
        <v>2856</v>
      </c>
      <c r="N381" s="13" t="s">
        <v>95</v>
      </c>
      <c r="O381" s="13" t="s">
        <v>67</v>
      </c>
      <c r="P381" s="13" t="s">
        <v>77</v>
      </c>
      <c r="Q381" s="13"/>
      <c r="R381" s="13" t="s">
        <v>113</v>
      </c>
      <c r="S381" s="13" t="s">
        <v>126</v>
      </c>
      <c r="T381" s="13" t="s">
        <v>2857</v>
      </c>
      <c r="U381" s="13" t="s">
        <v>475</v>
      </c>
      <c r="V381" s="13" t="s">
        <v>720</v>
      </c>
      <c r="W381" s="13"/>
      <c r="X381" s="13" t="s">
        <v>187</v>
      </c>
      <c r="Y381" s="13" t="s">
        <v>2858</v>
      </c>
      <c r="Z381" s="13" t="s">
        <v>2859</v>
      </c>
      <c r="AA381" s="14" t="s">
        <v>190</v>
      </c>
      <c r="AB381" s="15" t="s">
        <v>191</v>
      </c>
      <c r="AC381" s="15"/>
      <c r="AD381" s="15"/>
    </row>
    <row r="382" customFormat="false" ht="43.25" hidden="false" customHeight="false" outlineLevel="0" collapsed="false">
      <c r="A382" s="13" t="n">
        <v>381</v>
      </c>
      <c r="B382" s="13" t="s">
        <v>2860</v>
      </c>
      <c r="C382" s="13" t="s">
        <v>43</v>
      </c>
      <c r="D382" s="13" t="s">
        <v>1460</v>
      </c>
      <c r="E382" s="13" t="s">
        <v>2861</v>
      </c>
      <c r="F382" s="13" t="s">
        <v>51</v>
      </c>
      <c r="G382" s="13" t="s">
        <v>2862</v>
      </c>
      <c r="H382" s="13" t="s">
        <v>2795</v>
      </c>
      <c r="I382" s="13" t="s">
        <v>253</v>
      </c>
      <c r="J382" s="13" t="s">
        <v>23</v>
      </c>
      <c r="K382" s="13" t="s">
        <v>288</v>
      </c>
      <c r="L382" s="13" t="s">
        <v>2855</v>
      </c>
      <c r="M382" s="13" t="s">
        <v>2863</v>
      </c>
      <c r="N382" s="13" t="s">
        <v>95</v>
      </c>
      <c r="O382" s="13" t="s">
        <v>67</v>
      </c>
      <c r="P382" s="13" t="s">
        <v>77</v>
      </c>
      <c r="Q382" s="13"/>
      <c r="R382" s="13" t="s">
        <v>113</v>
      </c>
      <c r="S382" s="13" t="s">
        <v>127</v>
      </c>
      <c r="T382" s="13" t="s">
        <v>2857</v>
      </c>
      <c r="U382" s="13" t="s">
        <v>475</v>
      </c>
      <c r="V382" s="13" t="s">
        <v>476</v>
      </c>
      <c r="W382" s="13"/>
      <c r="X382" s="13" t="s">
        <v>187</v>
      </c>
      <c r="Y382" s="13" t="s">
        <v>2864</v>
      </c>
      <c r="Z382" s="13" t="s">
        <v>2865</v>
      </c>
      <c r="AA382" s="14" t="s">
        <v>190</v>
      </c>
      <c r="AB382" s="15" t="s">
        <v>191</v>
      </c>
      <c r="AC382" s="15"/>
      <c r="AD382" s="15"/>
    </row>
    <row r="383" customFormat="false" ht="43.25" hidden="false" customHeight="false" outlineLevel="0" collapsed="false">
      <c r="A383" s="13" t="n">
        <v>382</v>
      </c>
      <c r="B383" s="13" t="s">
        <v>2866</v>
      </c>
      <c r="C383" s="13" t="s">
        <v>43</v>
      </c>
      <c r="D383" s="13" t="s">
        <v>1460</v>
      </c>
      <c r="E383" s="13" t="s">
        <v>2867</v>
      </c>
      <c r="F383" s="13" t="s">
        <v>51</v>
      </c>
      <c r="G383" s="13" t="s">
        <v>2868</v>
      </c>
      <c r="H383" s="13" t="s">
        <v>2795</v>
      </c>
      <c r="I383" s="13" t="s">
        <v>179</v>
      </c>
      <c r="J383" s="13" t="s">
        <v>23</v>
      </c>
      <c r="K383" s="13" t="s">
        <v>288</v>
      </c>
      <c r="L383" s="13" t="s">
        <v>2855</v>
      </c>
      <c r="M383" s="13" t="s">
        <v>2869</v>
      </c>
      <c r="N383" s="13" t="s">
        <v>95</v>
      </c>
      <c r="O383" s="13" t="s">
        <v>67</v>
      </c>
      <c r="P383" s="13" t="s">
        <v>2870</v>
      </c>
      <c r="Q383" s="13"/>
      <c r="R383" s="13" t="s">
        <v>888</v>
      </c>
      <c r="S383" s="13" t="s">
        <v>435</v>
      </c>
      <c r="T383" s="13" t="s">
        <v>2857</v>
      </c>
      <c r="U383" s="13" t="s">
        <v>2871</v>
      </c>
      <c r="V383" s="13" t="s">
        <v>2872</v>
      </c>
      <c r="W383" s="13"/>
      <c r="X383" s="13" t="s">
        <v>202</v>
      </c>
      <c r="Y383" s="13"/>
      <c r="Z383" s="13" t="s">
        <v>2873</v>
      </c>
      <c r="AA383" s="14" t="s">
        <v>190</v>
      </c>
      <c r="AB383" s="15" t="s">
        <v>191</v>
      </c>
      <c r="AC383" s="15"/>
      <c r="AD383" s="15"/>
    </row>
    <row r="384" customFormat="false" ht="32.8" hidden="false" customHeight="false" outlineLevel="0" collapsed="false">
      <c r="A384" s="13" t="n">
        <v>383</v>
      </c>
      <c r="B384" s="13" t="s">
        <v>2874</v>
      </c>
      <c r="C384" s="13" t="s">
        <v>43</v>
      </c>
      <c r="D384" s="13" t="s">
        <v>2875</v>
      </c>
      <c r="E384" s="13" t="s">
        <v>2876</v>
      </c>
      <c r="F384" s="13" t="s">
        <v>53</v>
      </c>
      <c r="G384" s="13" t="s">
        <v>76</v>
      </c>
      <c r="H384" s="13" t="s">
        <v>2877</v>
      </c>
      <c r="I384" s="13" t="s">
        <v>397</v>
      </c>
      <c r="J384" s="13" t="s">
        <v>23</v>
      </c>
      <c r="K384" s="13" t="s">
        <v>1260</v>
      </c>
      <c r="L384" s="13" t="s">
        <v>1368</v>
      </c>
      <c r="M384" s="13"/>
      <c r="N384" s="13" t="s">
        <v>92</v>
      </c>
      <c r="O384" s="13" t="s">
        <v>76</v>
      </c>
      <c r="P384" s="13"/>
      <c r="Q384" s="13"/>
      <c r="R384" s="13" t="s">
        <v>113</v>
      </c>
      <c r="S384" s="13"/>
      <c r="T384" s="13" t="s">
        <v>958</v>
      </c>
      <c r="U384" s="13" t="s">
        <v>1032</v>
      </c>
      <c r="V384" s="13" t="s">
        <v>461</v>
      </c>
      <c r="W384" s="13"/>
      <c r="X384" s="13" t="s">
        <v>187</v>
      </c>
      <c r="Y384" s="13" t="s">
        <v>1506</v>
      </c>
      <c r="Z384" s="13" t="s">
        <v>2878</v>
      </c>
      <c r="AA384" s="14" t="s">
        <v>190</v>
      </c>
      <c r="AB384" s="15" t="s">
        <v>191</v>
      </c>
      <c r="AC384" s="15"/>
      <c r="AD384" s="15"/>
    </row>
    <row r="385" customFormat="false" ht="32.8" hidden="false" customHeight="false" outlineLevel="0" collapsed="false">
      <c r="A385" s="13" t="n">
        <v>384</v>
      </c>
      <c r="B385" s="13" t="s">
        <v>2879</v>
      </c>
      <c r="C385" s="13" t="s">
        <v>43</v>
      </c>
      <c r="D385" s="13" t="s">
        <v>2880</v>
      </c>
      <c r="E385" s="13" t="s">
        <v>2881</v>
      </c>
      <c r="F385" s="13" t="s">
        <v>53</v>
      </c>
      <c r="G385" s="13" t="s">
        <v>2882</v>
      </c>
      <c r="H385" s="13" t="s">
        <v>2883</v>
      </c>
      <c r="I385" s="13" t="s">
        <v>397</v>
      </c>
      <c r="J385" s="13" t="s">
        <v>24</v>
      </c>
      <c r="K385" s="13" t="s">
        <v>1260</v>
      </c>
      <c r="L385" s="13" t="s">
        <v>1278</v>
      </c>
      <c r="M385" s="13"/>
      <c r="N385" s="13" t="s">
        <v>94</v>
      </c>
      <c r="O385" s="13" t="s">
        <v>2882</v>
      </c>
      <c r="P385" s="13"/>
      <c r="Q385" s="13"/>
      <c r="R385" s="13" t="s">
        <v>2884</v>
      </c>
      <c r="S385" s="13"/>
      <c r="T385" s="13"/>
      <c r="U385" s="13" t="s">
        <v>2885</v>
      </c>
      <c r="V385" s="13" t="s">
        <v>185</v>
      </c>
      <c r="W385" s="13"/>
      <c r="X385" s="13" t="s">
        <v>187</v>
      </c>
      <c r="Y385" s="13" t="s">
        <v>1492</v>
      </c>
      <c r="Z385" s="13" t="s">
        <v>2886</v>
      </c>
      <c r="AA385" s="14" t="s">
        <v>190</v>
      </c>
      <c r="AB385" s="15" t="s">
        <v>191</v>
      </c>
      <c r="AC385" s="15"/>
      <c r="AD385" s="15"/>
    </row>
    <row r="386" customFormat="false" ht="32.8" hidden="false" customHeight="false" outlineLevel="0" collapsed="false">
      <c r="A386" s="13" t="n">
        <v>385</v>
      </c>
      <c r="B386" s="13" t="s">
        <v>2887</v>
      </c>
      <c r="C386" s="13" t="s">
        <v>43</v>
      </c>
      <c r="D386" s="13" t="s">
        <v>2888</v>
      </c>
      <c r="E386" s="13" t="s">
        <v>2889</v>
      </c>
      <c r="F386" s="13" t="s">
        <v>54</v>
      </c>
      <c r="G386" s="13" t="s">
        <v>94</v>
      </c>
      <c r="H386" s="13" t="s">
        <v>2890</v>
      </c>
      <c r="I386" s="13" t="s">
        <v>397</v>
      </c>
      <c r="J386" s="13" t="s">
        <v>24</v>
      </c>
      <c r="K386" s="13" t="s">
        <v>1260</v>
      </c>
      <c r="L386" s="13" t="s">
        <v>1368</v>
      </c>
      <c r="M386" s="13"/>
      <c r="N386" s="13" t="s">
        <v>95</v>
      </c>
      <c r="O386" s="13" t="s">
        <v>68</v>
      </c>
      <c r="P386" s="13"/>
      <c r="Q386" s="13"/>
      <c r="R386" s="13" t="s">
        <v>110</v>
      </c>
      <c r="S386" s="13"/>
      <c r="T386" s="13" t="s">
        <v>507</v>
      </c>
      <c r="U386" s="13" t="s">
        <v>508</v>
      </c>
      <c r="V386" s="13" t="s">
        <v>509</v>
      </c>
      <c r="W386" s="13"/>
      <c r="X386" s="13" t="s">
        <v>187</v>
      </c>
      <c r="Y386" s="13" t="s">
        <v>2316</v>
      </c>
      <c r="Z386" s="13" t="s">
        <v>2891</v>
      </c>
      <c r="AA386" s="14" t="s">
        <v>190</v>
      </c>
      <c r="AB386" s="15" t="s">
        <v>191</v>
      </c>
      <c r="AC386" s="15"/>
      <c r="AD386" s="15"/>
    </row>
    <row r="387" customFormat="false" ht="32.8" hidden="false" customHeight="false" outlineLevel="0" collapsed="false">
      <c r="A387" s="13" t="n">
        <v>386</v>
      </c>
      <c r="B387" s="13" t="s">
        <v>2892</v>
      </c>
      <c r="C387" s="13" t="s">
        <v>43</v>
      </c>
      <c r="D387" s="13" t="s">
        <v>2893</v>
      </c>
      <c r="E387" s="13" t="s">
        <v>2894</v>
      </c>
      <c r="F387" s="13" t="s">
        <v>54</v>
      </c>
      <c r="G387" s="13" t="s">
        <v>94</v>
      </c>
      <c r="H387" s="13" t="s">
        <v>2890</v>
      </c>
      <c r="I387" s="13" t="s">
        <v>397</v>
      </c>
      <c r="J387" s="13" t="s">
        <v>24</v>
      </c>
      <c r="K387" s="13" t="s">
        <v>1260</v>
      </c>
      <c r="L387" s="13" t="s">
        <v>2895</v>
      </c>
      <c r="M387" s="13"/>
      <c r="N387" s="13" t="s">
        <v>95</v>
      </c>
      <c r="O387" s="13" t="s">
        <v>76</v>
      </c>
      <c r="P387" s="13" t="s">
        <v>77</v>
      </c>
      <c r="Q387" s="13"/>
      <c r="R387" s="13" t="s">
        <v>918</v>
      </c>
      <c r="S387" s="13"/>
      <c r="T387" s="13"/>
      <c r="U387" s="13" t="s">
        <v>1032</v>
      </c>
      <c r="V387" s="13" t="s">
        <v>461</v>
      </c>
      <c r="W387" s="13"/>
      <c r="X387" s="13" t="s">
        <v>187</v>
      </c>
      <c r="Y387" s="13" t="s">
        <v>2896</v>
      </c>
      <c r="Z387" s="13" t="s">
        <v>2897</v>
      </c>
      <c r="AA387" s="14" t="s">
        <v>190</v>
      </c>
      <c r="AB387" s="15" t="s">
        <v>191</v>
      </c>
      <c r="AC387" s="15"/>
      <c r="AD387" s="15"/>
    </row>
  </sheetData>
  <autoFilter ref="A1:AD387"/>
  <conditionalFormatting sqref="J2:J387">
    <cfRule type="cellIs" priority="2" operator="equal" aboveAverage="0" equalAverage="0" bottom="0" percent="0" rank="0" text="" dxfId="12">
      <formula>"Critical"</formula>
    </cfRule>
    <cfRule type="cellIs" priority="3" operator="equal" aboveAverage="0" equalAverage="0" bottom="0" percent="0" rank="0" text="" dxfId="13">
      <formula>"High"</formula>
    </cfRule>
    <cfRule type="cellIs" priority="4" operator="equal" aboveAverage="0" equalAverage="0" bottom="0" percent="0" rank="0" text="" dxfId="14">
      <formula>"Medium"</formula>
    </cfRule>
    <cfRule type="cellIs" priority="5" operator="equal" aboveAverage="0" equalAverage="0" bottom="0" percent="0" rank="0" text="" dxfId="15">
      <formula>"Low"</formula>
    </cfRule>
  </conditionalFormatting>
  <conditionalFormatting sqref="X2:X387">
    <cfRule type="cellIs" priority="6" operator="equal" aboveAverage="0" equalAverage="0" bottom="0" percent="0" rank="0" text="" dxfId="16">
      <formula>"Duplicate"</formula>
    </cfRule>
    <cfRule type="cellIs" priority="7" operator="equal" aboveAverage="0" equalAverage="0" bottom="0" percent="0" rank="0" text="" dxfId="17">
      <formula>"Related"</formula>
    </cfRule>
  </conditionalFormatting>
  <dataValidations count="2">
    <dataValidation allowBlank="true" errorStyle="stop" operator="between" showDropDown="false" showErrorMessage="false" showInputMessage="false" sqref="AB2:AB387" type="list">
      <formula1>"Not started,In progress,Implemented,Partially implemented,Not applicable,Risk accepted"</formula1>
      <formula2>0</formula2>
    </dataValidation>
    <dataValidation allowBlank="false" errorStyle="stop" operator="between" showDropDown="false" showErrorMessage="false" showInputMessage="false" sqref="J2:J387" type="list">
      <formula1>"Critical,High,Medium,Low"</formula1>
      <formula2>0</formula2>
    </dataValidation>
  </dataValidations>
  <hyperlinks>
    <hyperlink ref="AA2" r:id="rId1" location="req-implement-basic-security" display="Open source"/>
    <hyperlink ref="AA3" r:id="rId2" location="req-document-protocol-analysis" display="Open source"/>
    <hyperlink ref="AA4" r:id="rId3" location="req-monitor-protocol-changes" display="Open source"/>
    <hyperlink ref="AA5" r:id="rId4" location="req-follow-relevant-regulation" display="Open source"/>
    <hyperlink ref="AA6" r:id="rId5" location="req-document-insurance" display="Open source"/>
    <hyperlink ref="AA7" r:id="rId6" location="req-document-exit-procedures" display="Open source"/>
    <hyperlink ref="AA8" r:id="rId7" location="req-communicate-securely" display="Open source"/>
    <hyperlink ref="AA9" r:id="rId8" display="Open source"/>
    <hyperlink ref="AA10" r:id="rId9" display="Open source"/>
    <hyperlink ref="AA11" r:id="rId10" display="Open source"/>
    <hyperlink ref="AA12" r:id="rId11" display="Open source"/>
    <hyperlink ref="AA13" r:id="rId12" location="req-assess-risk-regularly" display="Open source"/>
    <hyperlink ref="AA14" r:id="rId13" location="req-update-security-process" display="Open source"/>
    <hyperlink ref="AA15" r:id="rId14" location="req-treat-blockchain-risk" display="Open source"/>
    <hyperlink ref="AA16" r:id="rId15" location="req-risk-register" display="Open source"/>
    <hyperlink ref="AA17" r:id="rId16" location="req-assign-governance" display="Open source"/>
    <hyperlink ref="AA18" r:id="rId17" location="req-publish-trust-info" display="Open source"/>
    <hyperlink ref="AA19" r:id="rId18" location="req-monitor-regulation" display="Open source"/>
    <hyperlink ref="AA20" r:id="rId19" location="req-monitor-crypto" display="Open source"/>
    <hyperlink ref="AA21" r:id="rId20" location="req-assess-risks" display="Open source"/>
    <hyperlink ref="AA22" r:id="rId21" location="req-document-funds-risks" display="Open source"/>
    <hyperlink ref="AA23" r:id="rId22" location="req-assess-ecosystem-risk" display="Open source"/>
    <hyperlink ref="AA24" r:id="rId23" location="req-crypto-agility" display="Open source"/>
    <hyperlink ref="AA25" r:id="rId24" display="Open source"/>
    <hyperlink ref="AA26" r:id="rId25" display="Open source"/>
    <hyperlink ref="AA27" r:id="rId26" display="Open source"/>
    <hyperlink ref="AA28" r:id="rId27" location="req-manage-key-security" display="Open source"/>
    <hyperlink ref="AA29" r:id="rId28" location="req-use-remote-signers" display="Open source"/>
    <hyperlink ref="AA30" r:id="rId29" location="req-remote-signer-alternatives" display="Open source"/>
    <hyperlink ref="AA31" r:id="rId30" location="req-deliver-exit-transactions-securely" display="Open source"/>
    <hyperlink ref="AA32" r:id="rId31" display="Open source"/>
    <hyperlink ref="AA33" r:id="rId32" display="Open source"/>
    <hyperlink ref="AA34" r:id="rId33" display="Open source"/>
    <hyperlink ref="AA35" r:id="rId34" display="Open source"/>
    <hyperlink ref="AA36" r:id="rId35" display="Open source"/>
    <hyperlink ref="AA37" r:id="rId36" display="Open source"/>
    <hyperlink ref="AA38" r:id="rId37" display="Open source"/>
    <hyperlink ref="AA39" r:id="rId38" display="Open source"/>
    <hyperlink ref="AA40" r:id="rId39" display="Open source"/>
    <hyperlink ref="AA41" r:id="rId40" display="Open source"/>
    <hyperlink ref="AA42" r:id="rId41" display="Open source"/>
    <hyperlink ref="AA43" r:id="rId42" display="Open source"/>
    <hyperlink ref="AA44" r:id="rId43" display="Open source"/>
    <hyperlink ref="AA45" r:id="rId44" display="Open source"/>
    <hyperlink ref="AA46" r:id="rId45" display="Open source"/>
    <hyperlink ref="AA47" r:id="rId46" display="Open source"/>
    <hyperlink ref="AA48" r:id="rId47" display="Open source"/>
    <hyperlink ref="AA49" r:id="rId48" display="Open source"/>
    <hyperlink ref="AA50" r:id="rId49" display="Open source"/>
    <hyperlink ref="AA51" r:id="rId50" display="Open source"/>
    <hyperlink ref="AA52" r:id="rId51" display="Open source"/>
    <hyperlink ref="AA53" r:id="rId52" display="Open source"/>
    <hyperlink ref="AA54" r:id="rId53" display="Open source"/>
    <hyperlink ref="AA55" r:id="rId54" display="Open source"/>
    <hyperlink ref="AA56" r:id="rId55" display="Open source"/>
    <hyperlink ref="AA57" r:id="rId56" display="Open source"/>
    <hyperlink ref="AA58" r:id="rId57" display="Open source"/>
    <hyperlink ref="AA59" r:id="rId58" display="Open source"/>
    <hyperlink ref="AA60" r:id="rId59" display="Open source"/>
    <hyperlink ref="AA61" r:id="rId60" display="Open source"/>
    <hyperlink ref="AA62" r:id="rId61" display="Open source"/>
    <hyperlink ref="AA63" r:id="rId62" display="Open source"/>
    <hyperlink ref="AA64" r:id="rId63" display="Open source"/>
    <hyperlink ref="AA65" r:id="rId64" display="Open source"/>
    <hyperlink ref="AA66" r:id="rId65" display="Open source"/>
    <hyperlink ref="AA67" r:id="rId66" display="Open source"/>
    <hyperlink ref="AA68" r:id="rId67" display="Open source"/>
    <hyperlink ref="AA69" r:id="rId68" display="Open source"/>
    <hyperlink ref="AA70" r:id="rId69" display="Open source"/>
    <hyperlink ref="AA71" r:id="rId70" display="Open source"/>
    <hyperlink ref="AA72" r:id="rId71" display="Open source"/>
    <hyperlink ref="AA73" r:id="rId72" display="Open source"/>
    <hyperlink ref="AA74" r:id="rId73" display="Open source"/>
    <hyperlink ref="AA75" r:id="rId74" display="Open source"/>
    <hyperlink ref="AA76" r:id="rId75" display="Open source"/>
    <hyperlink ref="AA77" r:id="rId76" display="Open source"/>
    <hyperlink ref="AA78" r:id="rId77" display="Open source"/>
    <hyperlink ref="AA79" r:id="rId78" display="Open source"/>
    <hyperlink ref="AA80" r:id="rId79" display="Open source"/>
    <hyperlink ref="AA81" r:id="rId80" display="Open source"/>
    <hyperlink ref="AA82" r:id="rId81" display="Open source"/>
    <hyperlink ref="AA83" r:id="rId82" display="Open source"/>
    <hyperlink ref="AA84" r:id="rId83" display="Open source"/>
    <hyperlink ref="AA85" r:id="rId84" display="Open source"/>
    <hyperlink ref="AA86" r:id="rId85" display="Open source"/>
    <hyperlink ref="AA87" r:id="rId86" display="Open source"/>
    <hyperlink ref="AA88" r:id="rId87" display="Open source"/>
    <hyperlink ref="AA89" r:id="rId88" display="Open source"/>
    <hyperlink ref="AA90" r:id="rId89" display="Open source"/>
    <hyperlink ref="AA91" r:id="rId90" display="Open source"/>
    <hyperlink ref="AA92" r:id="rId91" display="Open source"/>
    <hyperlink ref="AA93" r:id="rId92" display="Open source"/>
    <hyperlink ref="AA94" r:id="rId93" display="Open source"/>
    <hyperlink ref="AA95" r:id="rId94" location="req-protect-keys" display="Open source"/>
    <hyperlink ref="AA96" r:id="rId95" display="Open source"/>
    <hyperlink ref="AA97" r:id="rId96" display="Open source"/>
    <hyperlink ref="AA98" r:id="rId97" display="Open source"/>
    <hyperlink ref="AA99" r:id="rId98" display="Open source"/>
    <hyperlink ref="AA100" r:id="rId99" display="Open source"/>
    <hyperlink ref="AA101" r:id="rId100" display="Open source"/>
    <hyperlink ref="AA102" r:id="rId101" display="Open source"/>
    <hyperlink ref="AA103" r:id="rId102" display="Open source"/>
    <hyperlink ref="AA104" r:id="rId103" display="Open source"/>
    <hyperlink ref="AA105" r:id="rId104" display="Open source"/>
    <hyperlink ref="AA106" r:id="rId105" location="req-use-clear-names" display="Open source"/>
    <hyperlink ref="AA107" r:id="rId106" location="req-use-glossary" display="Open source"/>
    <hyperlink ref="AA108" r:id="rId107" location="req-use-language-styleguide" display="Open source"/>
    <hyperlink ref="AA109" r:id="rId108" location="req-use-styleguide" display="Open source"/>
    <hyperlink ref="AA110" r:id="rId109" location="req-use-modular-code" display="Open source"/>
    <hyperlink ref="AA111" r:id="rId110" location="req-use-concise-methods" display="Open source"/>
    <hyperlink ref="AA112" r:id="rId111" location="req-document-dependencies" display="Open source"/>
    <hyperlink ref="AA113" r:id="rId112" location="req-use-open-source" display="Open source"/>
    <hyperlink ref="AA114" r:id="rId113" location="req-use-consistent-steps" display="Open source"/>
    <hyperlink ref="AA115" r:id="rId114" location="req-document-external-dependencies" display="Open source"/>
    <hyperlink ref="AA116" r:id="rId115" location="req-use-oracles-carefully" display="Open source"/>
    <hyperlink ref="AA117" r:id="rId116" location="req-use-version-control" display="Open source"/>
    <hyperlink ref="AA118" r:id="rId117" location="req-make-atomic-commits" display="Open source"/>
    <hyperlink ref="AA119" r:id="rId118" location="req-tag-releases" display="Open source"/>
    <hyperlink ref="AA120" r:id="rId119" location="req-tag-verifiable-source" display="Open source"/>
    <hyperlink ref="AA121" r:id="rId120" location="req-log-automation" display="Open source"/>
    <hyperlink ref="AA122" r:id="rId121" location="req-document-public-api" display="Open source"/>
    <hyperlink ref="AA123" r:id="rId122" location="req-document-sensitive-functions" display="Open source"/>
    <hyperlink ref="AA124" r:id="rId123" location="req-explain-functions-inline" display="Open source"/>
    <hyperlink ref="AA125" r:id="rId124" location="req-document-cryptography" display="Open source"/>
    <hyperlink ref="AA126" r:id="rId125" location="req-allow-cryptography-upgrades" display="Open source"/>
    <hyperlink ref="AA127" r:id="rId126" location="req-assess-cryptography-risk" display="Open source"/>
    <hyperlink ref="AA128" r:id="rId127" location="req-provide-tests" display="Open source"/>
    <hyperlink ref="AA129" r:id="rId128" location="req-independent-tests" display="Open source"/>
    <hyperlink ref="AA130" r:id="rId129" location="req-define-invariants" display="Open source"/>
    <hyperlink ref="AA131" r:id="rId130" location="req-updated-test-suite" display="Open source"/>
    <hyperlink ref="AA132" r:id="rId131" location="req-test-edge-cases" display="Open source"/>
    <hyperlink ref="AA133" r:id="rId132" location="req-run-tests-locally" display="Open source"/>
    <hyperlink ref="AA134" r:id="rId133" location="req-use-test-helpers" display="Open source"/>
    <hyperlink ref="AA135" r:id="rId134" location="req-use-testing-standards" display="Open source"/>
    <hyperlink ref="AA136" r:id="rId135" location="req-security-audit" display="Open source"/>
    <hyperlink ref="AA137" r:id="rId136" location="req-independent-auditors" display="Open source"/>
    <hyperlink ref="AA138" r:id="rId137" location="req-scope-audit-sufficiently" display="Open source"/>
    <hyperlink ref="AA139" r:id="rId138" location="req-publish-code-audits" display="Open source"/>
    <hyperlink ref="AA140" r:id="rId139" location="req-reaudit-changes" display="Open source"/>
    <hyperlink ref="AA141" r:id="rId140" location="req-use-testnets" display="Open source"/>
    <hyperlink ref="AA142" r:id="rId141" location="req-document-networks" display="Open source"/>
    <hyperlink ref="AA143" r:id="rId142" location="req-deterministic-compilation" display="Open source"/>
    <hyperlink ref="AA144" r:id="rId143" location="req-provide-compilation-metadata" display="Open source"/>
    <hyperlink ref="AA145" r:id="rId144" location="req-pub-verification" display="Open source"/>
    <hyperlink ref="AA146" r:id="rId145" location="req-use-transaction-screening" display="Open source"/>
    <hyperlink ref="AA147" r:id="rId146" location="req-monitor-code" display="Open source"/>
    <hyperlink ref="AA148" r:id="rId147" location="req-analyze-code" display="Open source"/>
    <hyperlink ref="AA149" r:id="rId148" location="req-error-handling" display="Open source"/>
    <hyperlink ref="AA150" r:id="rId149" location="req-review-software" display="Open source"/>
    <hyperlink ref="AA151" r:id="rId150" display="Open source"/>
    <hyperlink ref="AA152" r:id="rId151" display="Open source"/>
    <hyperlink ref="AA153" r:id="rId152" display="Open source"/>
    <hyperlink ref="AA154" r:id="rId153" display="Open source"/>
    <hyperlink ref="AA155" r:id="rId154" display="Open source"/>
    <hyperlink ref="AA156" r:id="rId155" display="Open source"/>
    <hyperlink ref="AA157" r:id="rId156" display="Open source"/>
    <hyperlink ref="AA158" r:id="rId157" display="Open source"/>
    <hyperlink ref="AA159" r:id="rId158" display="Open source"/>
    <hyperlink ref="AA160" r:id="rId159" display="Open source"/>
    <hyperlink ref="AA161" r:id="rId160" display="Open source"/>
    <hyperlink ref="AA162" r:id="rId161" display="Open source"/>
    <hyperlink ref="AA163" r:id="rId162" display="Open source"/>
    <hyperlink ref="AA164" r:id="rId163" display="Open source"/>
    <hyperlink ref="AA165" r:id="rId164" display="Open source"/>
    <hyperlink ref="AA166" r:id="rId165" display="Open source"/>
    <hyperlink ref="AA167" r:id="rId166" display="Open source"/>
    <hyperlink ref="AA168" r:id="rId167" display="Open source"/>
    <hyperlink ref="AA169" r:id="rId168" location="sec-general-information" display="Open source"/>
    <hyperlink ref="AA170" r:id="rId169" location="sec-general-information" display="Open source"/>
    <hyperlink ref="AA171" r:id="rId170" location="sec-general-information" display="Open source"/>
    <hyperlink ref="AA172" r:id="rId171" location="sec-general-information" display="Open source"/>
    <hyperlink ref="AA173" r:id="rId172" location="sec-general-information" display="Open source"/>
    <hyperlink ref="AA174" r:id="rId173" location="sec-general-information" display="Open source"/>
    <hyperlink ref="AA175" r:id="rId174" location="sec-general-information" display="Open source"/>
    <hyperlink ref="AA176" r:id="rId175" location="sec-general-information" display="Open source"/>
    <hyperlink ref="AA177" r:id="rId176" location="sec-general-information" display="Open source"/>
    <hyperlink ref="AA178" r:id="rId177" location="sec-general-information" display="Open source"/>
    <hyperlink ref="AA179" r:id="rId178" location="sec-general-information" display="Open source"/>
    <hyperlink ref="AA180" r:id="rId179" location="sec-general-information" display="Open source"/>
    <hyperlink ref="AA181" r:id="rId180" location="sec-governance" display="Open source"/>
    <hyperlink ref="AA182" r:id="rId181" location="sec-governance" display="Open source"/>
    <hyperlink ref="AA183" r:id="rId182" location="sec-governance" display="Open source"/>
    <hyperlink ref="AA184" r:id="rId183" location="sec-governance" display="Open source"/>
    <hyperlink ref="AA185" r:id="rId184" location="sec-governance" display="Open source"/>
    <hyperlink ref="AA186" r:id="rId185" location="sec-upgradability" display="Open source"/>
    <hyperlink ref="AA187" r:id="rId186" location="sec-upgradability" display="Open source"/>
    <hyperlink ref="AA188" r:id="rId187" location="sec-upgradability" display="Open source"/>
    <hyperlink ref="AA189" r:id="rId188" location="sec-upgradability" display="Open source"/>
    <hyperlink ref="AA190" r:id="rId189" location="sec-upgradability" display="Open source"/>
    <hyperlink ref="AA191" r:id="rId190" location="sec-upgradability" display="Open source"/>
    <hyperlink ref="AA192" r:id="rId191" location="sec-upgradability" display="Open source"/>
    <hyperlink ref="AA193" r:id="rId192" location="sec-upgradability" display="Open source"/>
    <hyperlink ref="AA194" r:id="rId193" location="sec-upgradability" display="Open source"/>
    <hyperlink ref="AA195" r:id="rId194" location="sec-security-posture" display="Open source"/>
    <hyperlink ref="AA196" r:id="rId195" location="sec-security-posture" display="Open source"/>
    <hyperlink ref="AA197" r:id="rId196" location="sec-security-posture" display="Open source"/>
    <hyperlink ref="AA198" r:id="rId197" location="sec-security-posture" display="Open source"/>
    <hyperlink ref="AA199" r:id="rId198" location="sec-security-posture" display="Open source"/>
    <hyperlink ref="AA200" r:id="rId199" location="sec-token-behaviors" display="Open source"/>
    <hyperlink ref="AA201" r:id="rId200" location="req-balance-changes-create-transfer-events" display="Open source"/>
    <hyperlink ref="AA202" r:id="rId201" location="sec-token-behaviors" display="Open source"/>
    <hyperlink ref="AA203" r:id="rId202" location="sec-token-behaviors" display="Open source"/>
    <hyperlink ref="AA204" r:id="rId203" location="sec-token-behaviors" display="Open source"/>
    <hyperlink ref="AA205" r:id="rId204" location="sec-token-behaviors" display="Open source"/>
    <hyperlink ref="AA206" r:id="rId205" location="sec-token-behaviors" display="Open source"/>
    <hyperlink ref="AA207" r:id="rId206" location="sec-token-behaviors" display="Open source"/>
    <hyperlink ref="AA208" r:id="rId207" location="sec-token-behaviors" display="Open source"/>
    <hyperlink ref="AA209" r:id="rId208" location="sec-token-behaviors" display="Open source"/>
    <hyperlink ref="AA210" r:id="rId209" location="sec-token-behaviors" display="Open source"/>
    <hyperlink ref="AA211" r:id="rId210" location="sec-token-behaviors" display="Open source"/>
    <hyperlink ref="AA212" r:id="rId211" location="sec-token-behaviors" display="Open source"/>
    <hyperlink ref="AA213" r:id="rId212" location="sec-token-behaviors" display="Open source"/>
    <hyperlink ref="AA214" r:id="rId213" location="sec-token-behaviors" display="Open source"/>
    <hyperlink ref="AA215" r:id="rId214" location="sec-token-behaviors" display="Open source"/>
    <hyperlink ref="AA216" r:id="rId215" location="sec-token-behaviors" display="Open source"/>
    <hyperlink ref="AA217" r:id="rId216" location="sec-token-behaviors" display="Open source"/>
    <hyperlink ref="AA218" r:id="rId217" location="sec-token-behaviors" display="Open source"/>
    <hyperlink ref="AA219" r:id="rId218" location="req-document-protocol-responsibilities" display="Open source"/>
    <hyperlink ref="AA220" r:id="rId219" location="req-use-testnet" display="Open source"/>
    <hyperlink ref="AA221" r:id="rId220" location="req-document-protocol-crypto" display="Open source"/>
    <hyperlink ref="AA222" r:id="rId221" location="req-evaluate-protocol-pqc-plan" display="Open source"/>
    <hyperlink ref="AA223" r:id="rId222" location="req-follow-protocol-conventions" display="Open source"/>
    <hyperlink ref="AA224" r:id="rId223" location="req-follow-protocol-consensus" display="Open source"/>
    <hyperlink ref="AA225" r:id="rId224" location="req-follow-protocol-consensus" display="Open source"/>
    <hyperlink ref="AA226" r:id="rId225" location="req-follow-reward-conventions" display="Open source"/>
    <hyperlink ref="AA227" r:id="rId226" location="req-log-rewards" display="Open source"/>
    <hyperlink ref="AA228" r:id="rId227" location="req-document-doublesign-controls" display="Open source"/>
    <hyperlink ref="AA229" r:id="rId228" location="req-document-anti-slashing-controls" display="Open source"/>
    <hyperlink ref="AA230" r:id="rId229" location="req-maintain-boot-peers" display="Open source"/>
    <hyperlink ref="AA231" r:id="rId230" location="req-configure-discovery" display="Open source"/>
    <hyperlink ref="AA232" r:id="rId231" location="req-verify-discovery-configuration" display="Open source"/>
    <hyperlink ref="AA233" r:id="rId232" location="req-limit-consensus-power" display="Open source"/>
    <hyperlink ref="AA234" r:id="rId233" location="req-use-multiple-clients" display="Open source"/>
    <hyperlink ref="AA235" r:id="rId234" location="req-no-client-supermajority" display="Open source"/>
    <hyperlink ref="AA236" r:id="rId235" location="req-document-recovery" display="Open source"/>
    <hyperlink ref="AA237" r:id="rId236" location="req-document-procedural-deviation" display="Open source"/>
    <hyperlink ref="AA238" r:id="rId237" location="req-document-crypto-migration" display="Open source"/>
    <hyperlink ref="AA239" r:id="rId238" location="req-prepare-crypto-migration" display="Open source"/>
    <hyperlink ref="AA240" r:id="rId239" location="req-provision-nodes" display="Open source"/>
    <hyperlink ref="AA241" r:id="rId240" location="req-resilient-nodes" display="Open source"/>
    <hyperlink ref="AA242" r:id="rId241" location="req-secure-node-communication" display="Open source"/>
    <hyperlink ref="AA243" r:id="rId242" location="req-document-plaintext-communication" display="Open source"/>
    <hyperlink ref="AA244" r:id="rId243" location="req-restrict-control-access" display="Open source"/>
    <hyperlink ref="AA245" r:id="rId244" display="Open source"/>
    <hyperlink ref="AA246" r:id="rId245" display="Open source"/>
    <hyperlink ref="AA247" r:id="rId246" display="Open source"/>
    <hyperlink ref="AA248" r:id="rId247" display="Open source"/>
    <hyperlink ref="AA249" r:id="rId248" display="Open source"/>
    <hyperlink ref="AA250" r:id="rId249" location="req-least-privilege" display="Open source"/>
    <hyperlink ref="AA251" r:id="rId250" location="req-review-access" display="Open source"/>
    <hyperlink ref="AA252" r:id="rId251" location="req-review-individual-access" display="Open source"/>
    <hyperlink ref="AA253" r:id="rId252" location="req-verify-privileged-access" display="Open source"/>
    <hyperlink ref="AA254" r:id="rId253" location="req-password-standards" display="Open source"/>
    <hyperlink ref="AA255" r:id="rId254" display="Open source"/>
    <hyperlink ref="AA256" r:id="rId255" location="req-retain-logs" display="Open source"/>
    <hyperlink ref="AA257" r:id="rId256" location="req-aggregate-logs" display="Open source"/>
    <hyperlink ref="AA258" r:id="rId257" location="req-dont-log-pii" display="Open source"/>
    <hyperlink ref="AA259" r:id="rId258" location="req-restrict-log-access" display="Open source"/>
    <hyperlink ref="AA260" r:id="rId259" location="req-log-access" display="Open source"/>
    <hyperlink ref="AA261" r:id="rId260" display="Open source"/>
    <hyperlink ref="AA262" r:id="rId261" display="Open source"/>
    <hyperlink ref="AA263" r:id="rId262" display="Open source"/>
    <hyperlink ref="AA264" r:id="rId263" display="Open source"/>
    <hyperlink ref="AA265" r:id="rId264" display="Open source"/>
    <hyperlink ref="AA266" r:id="rId265" display="Open source"/>
    <hyperlink ref="AA267" r:id="rId266" location="req-use-monitoring" display="Open source"/>
    <hyperlink ref="AA268" r:id="rId267" location="req-monitor-threat-intel" display="Open source"/>
    <hyperlink ref="AA269" r:id="rId268" location="req-hunt-threats" display="Open source"/>
    <hyperlink ref="AA270" r:id="rId269" location="req-share-threat-intel" display="Open source"/>
    <hyperlink ref="AA271" r:id="rId270" location="req-event-logs" display="Open source"/>
    <hyperlink ref="AA272" r:id="rId271" location="req-monitor-realtime" display="Open source"/>
    <hyperlink ref="AA273" r:id="rId272" location="req-intrusion-detection" display="Open source"/>
    <hyperlink ref="AA274" r:id="rId273" location="req-document-failover" display="Open source"/>
    <hyperlink ref="AA275" r:id="rId274" location="req-document-uptime" display="Open source"/>
    <hyperlink ref="AA276" r:id="rId275" location="req-document-fault-tolerance" display="Open source"/>
    <hyperlink ref="AA277" r:id="rId276" location="req-distribute-nodes" display="Open source"/>
    <hyperlink ref="AA278" r:id="rId277" location="req-document-irp" display="Open source"/>
    <hyperlink ref="AA279" r:id="rId278" location="req-follow-irp" display="Open source"/>
    <hyperlink ref="AA280" r:id="rId279" display="Open source"/>
    <hyperlink ref="AA281" r:id="rId280" display="Open source"/>
    <hyperlink ref="AA282" r:id="rId281" display="Open source"/>
    <hyperlink ref="AA283" r:id="rId282" display="Open source"/>
    <hyperlink ref="AA284" r:id="rId283" display="Open source"/>
    <hyperlink ref="AA285" r:id="rId284" display="Open source"/>
    <hyperlink ref="AA286" r:id="rId285" display="Open source"/>
    <hyperlink ref="AA287" r:id="rId286" display="Open source"/>
    <hyperlink ref="AA288" r:id="rId287" display="Open source"/>
    <hyperlink ref="AA289" r:id="rId288" display="Open source"/>
    <hyperlink ref="AA290" r:id="rId289" location="req-identify-security-contact" display="Open source"/>
    <hyperlink ref="AA291" r:id="rId290" location="req-document-security-contact" display="Open source"/>
    <hyperlink ref="AA292" r:id="rId291" location="req-24-7-security-response" display="Open source"/>
    <hyperlink ref="AA293" r:id="rId292" location="req-monitoring-triggers-response" display="Open source"/>
    <hyperlink ref="AA294" r:id="rId293" location="req-vulnerability-disclosure" display="Open source"/>
    <hyperlink ref="AA295" r:id="rId294" location="req-bug-bounty" display="Open source"/>
    <hyperlink ref="AA296" r:id="rId295" location="req-plan-incident-response" display="Open source"/>
    <hyperlink ref="AA297" r:id="rId296" location="req-maintain-incident-response" display="Open source"/>
    <hyperlink ref="AA298" r:id="rId297" location="req-responsible-reporting" display="Open source"/>
    <hyperlink ref="AA299" r:id="rId298" location="req-process-reports" display="Open source"/>
    <hyperlink ref="AA300" r:id="rId299" location="req-implement-irp" display="Open source"/>
    <hyperlink ref="AA301" r:id="rId300" location="req-maintain-irp" display="Open source"/>
    <hyperlink ref="AA302" r:id="rId301" location="req-analyze-incidents" display="Open source"/>
    <hyperlink ref="AA303" r:id="rId302" location="req-document-continuity-plan" display="Open source"/>
    <hyperlink ref="AA304" r:id="rId303" location="req-document-disaster-recovery" display="Open source"/>
    <hyperlink ref="AA305" r:id="rId304" location="req-test-recovery-plans" display="Open source"/>
    <hyperlink ref="AA306" r:id="rId305" display="Open source"/>
    <hyperlink ref="AA307" r:id="rId306" display="Open source"/>
    <hyperlink ref="AA308" r:id="rId307" display="Open source"/>
    <hyperlink ref="AA309" r:id="rId308" location="req-minimize-network-exposure" display="Open source"/>
    <hyperlink ref="AA310" r:id="rId309" display="Open source"/>
    <hyperlink ref="AA311" r:id="rId310" display="Open source"/>
    <hyperlink ref="AA312" r:id="rId311" display="Open source"/>
    <hyperlink ref="AA313" r:id="rId312" display="Open source"/>
    <hyperlink ref="AA314" r:id="rId313" location="req-manage-vulnerabilities" display="Open source"/>
    <hyperlink ref="AA315" r:id="rId314" location="req-use-seecure-comms" display="Open source"/>
    <hyperlink ref="AA316" r:id="rId315" location="req-managed-devices" display="Open source"/>
    <hyperlink ref="AA317" r:id="rId316" location="req-anti-virus" display="Open source"/>
    <hyperlink ref="AA318" r:id="rId317" location="req-test-penetration" display="Open source"/>
    <hyperlink ref="AA319" r:id="rId318" display="Open source"/>
    <hyperlink ref="AA320" r:id="rId319" display="Open source"/>
    <hyperlink ref="AA321" r:id="rId320" display="Open source"/>
    <hyperlink ref="AA322" r:id="rId321" display="Open source"/>
    <hyperlink ref="AA323" r:id="rId322" display="Open source"/>
    <hyperlink ref="AA324" r:id="rId323" display="Open source"/>
    <hyperlink ref="AA325" r:id="rId324" location="req-document-supply-chains" display="Open source"/>
    <hyperlink ref="AA326" r:id="rId325" location="req-use-official-software" display="Open source"/>
    <hyperlink ref="AA327" r:id="rId326" location="req-document-protocol-software-security" display="Open source"/>
    <hyperlink ref="AA328" r:id="rId327" display="Open source"/>
    <hyperlink ref="AA329" r:id="rId328" display="Open source"/>
    <hyperlink ref="AA330" r:id="rId329" location="req-manage-dependencies-externally" display="Open source"/>
    <hyperlink ref="AA331" r:id="rId330" location="req-manage-vendors" display="Open source"/>
    <hyperlink ref="AA332" r:id="rId331" location="req-monitor-dependencies" display="Open source"/>
    <hyperlink ref="AA333" r:id="rId332" location="req-secure-software" display="Open source"/>
    <hyperlink ref="AA334" r:id="rId333" display="Open source"/>
    <hyperlink ref="AA335" r:id="rId334" display="Open source"/>
    <hyperlink ref="AA336" r:id="rId335" display="Open source"/>
    <hyperlink ref="AA337" r:id="rId336" display="Open source"/>
    <hyperlink ref="AA338" r:id="rId337" location="req-define-data-risk" display="Open source"/>
    <hyperlink ref="AA339" r:id="rId338" location="req-restrict-pii" display="Open source"/>
    <hyperlink ref="AA340" r:id="rId339" location="req-prevent-exfiltration" display="Open source"/>
    <hyperlink ref="AA341" r:id="rId340" location="req-protect-customer-data" display="Open source"/>
    <hyperlink ref="AA342" r:id="rId341" location="req-comply-privacy-regulation" display="Open source"/>
    <hyperlink ref="AA343" r:id="rId342" location="req-manage-pii" display="Open source"/>
    <hyperlink ref="AA344" r:id="rId343" location="req-define-pii-use" display="Open source"/>
    <hyperlink ref="AA345" r:id="rId344" location="req-follow-usage-policy" display="Open source"/>
    <hyperlink ref="AA346" r:id="rId345" location="req-renew-consent" display="Open source"/>
    <hyperlink ref="AA347" r:id="rId346" location="req-pii-use-transparency" display="Open source"/>
    <hyperlink ref="AA348" r:id="rId347" location="req-minimize-pii-stored" display="Open source"/>
    <hyperlink ref="AA349" r:id="rId348" display="Open source"/>
    <hyperlink ref="AA350" r:id="rId349" display="Open source"/>
    <hyperlink ref="AA351" r:id="rId350" display="Open source"/>
    <hyperlink ref="AA352" r:id="rId351" location="req-background-checks" display="Open source"/>
    <hyperlink ref="AA353" r:id="rId352" location="req-train-everyone" display="Open source"/>
    <hyperlink ref="AA354" r:id="rId353" location="req-security-training" display="Open source"/>
    <hyperlink ref="AA355" r:id="rId354" display="Open source"/>
    <hyperlink ref="AA356" r:id="rId355" display="Open source"/>
    <hyperlink ref="AA357" r:id="rId356" display="Open source"/>
    <hyperlink ref="AA358" r:id="rId357" display="Open source"/>
    <hyperlink ref="AA359" r:id="rId358" display="Open source"/>
    <hyperlink ref="AA360" r:id="rId359" display="Open source"/>
    <hyperlink ref="AA361" r:id="rId360" display="Open source"/>
    <hyperlink ref="AA362" r:id="rId361" display="Open source"/>
    <hyperlink ref="AA363" r:id="rId362" display="Open source"/>
    <hyperlink ref="AA364" r:id="rId363" display="Open source"/>
    <hyperlink ref="AA365" r:id="rId364" display="Open source"/>
    <hyperlink ref="AA366" r:id="rId365" location="req-document-protocol-operation" display="Open source"/>
    <hyperlink ref="AA367" r:id="rId366" location="req-document-governance-positions" display="Open source"/>
    <hyperlink ref="AA368" r:id="rId367" location="req-publish-source" display="Open source"/>
    <hyperlink ref="AA369" r:id="rId368" location="req-document-overall-system" display="Open source"/>
    <hyperlink ref="AA370" r:id="rId369" location="req-identify-contracts-used" display="Open source"/>
    <hyperlink ref="AA371" r:id="rId370" location="req-document-governance" display="Open source"/>
    <hyperlink ref="AA372" r:id="rId371" location="req-update-documentation" display="Open source"/>
    <hyperlink ref="AA373" r:id="rId372" location="req-identify-governance-participants" display="Open source"/>
    <hyperlink ref="AA374" r:id="rId373" location="req-use-safeguards" display="Open source"/>
    <hyperlink ref="AA375" r:id="rId374" location="req-document-upgradability" display="Open source"/>
    <hyperlink ref="AA376" r:id="rId375" location="req-document-upgradable-components" display="Open source"/>
    <hyperlink ref="AA377" r:id="rId376" location="req-document-upgrade-safeguards" display="Open source"/>
    <hyperlink ref="AA378" r:id="rId377" location="req-document-upgrade-logic" display="Open source"/>
    <hyperlink ref="AA379" r:id="rId378" location="req-document-upgrade-process" display="Open source"/>
    <hyperlink ref="AA380" r:id="rId379" location="req-document-upgrade-comms" display="Open source"/>
    <hyperlink ref="AA381" r:id="rId380" location="req-limit-privileged-roles" display="Open source"/>
    <hyperlink ref="AA382" r:id="rId381" location="req-decentralize-privileged-roles" display="Open source"/>
    <hyperlink ref="AA383" r:id="rId382" location="req-secure-privileged-roles" display="Open source"/>
    <hyperlink ref="AA384" r:id="rId383" display="Open source"/>
    <hyperlink ref="AA385" r:id="rId384" display="Open source"/>
    <hyperlink ref="AA386" r:id="rId385" display="Open source"/>
    <hyperlink ref="AA387" r:id="rId386" display="Open sour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8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6" t="s">
        <v>63</v>
      </c>
      <c r="B1" s="16" t="s">
        <v>2898</v>
      </c>
      <c r="C1" s="16" t="s">
        <v>2899</v>
      </c>
      <c r="D1" s="16" t="s">
        <v>2900</v>
      </c>
      <c r="E1" s="16" t="s">
        <v>2901</v>
      </c>
    </row>
    <row r="2" customFormat="false" ht="15" hidden="false" customHeight="false" outlineLevel="0" collapsed="false">
      <c r="A2" s="13" t="s">
        <v>2902</v>
      </c>
      <c r="B2" s="13" t="s">
        <v>2903</v>
      </c>
      <c r="C2" s="14" t="s">
        <v>2904</v>
      </c>
      <c r="D2" s="13" t="s">
        <v>2905</v>
      </c>
      <c r="E2" s="13" t="s">
        <v>2906</v>
      </c>
    </row>
    <row r="3" customFormat="false" ht="15" hidden="false" customHeight="false" outlineLevel="0" collapsed="false">
      <c r="A3" s="13" t="s">
        <v>2907</v>
      </c>
      <c r="B3" s="13" t="s">
        <v>2908</v>
      </c>
      <c r="C3" s="14" t="s">
        <v>2909</v>
      </c>
      <c r="D3" s="13" t="s">
        <v>2910</v>
      </c>
      <c r="E3" s="13" t="s">
        <v>2911</v>
      </c>
    </row>
    <row r="4" customFormat="false" ht="15" hidden="false" customHeight="false" outlineLevel="0" collapsed="false">
      <c r="A4" s="13" t="s">
        <v>2912</v>
      </c>
      <c r="B4" s="13" t="s">
        <v>2908</v>
      </c>
      <c r="C4" s="14" t="s">
        <v>2913</v>
      </c>
      <c r="D4" s="13" t="s">
        <v>2910</v>
      </c>
      <c r="E4" s="13" t="s">
        <v>2914</v>
      </c>
    </row>
    <row r="5" customFormat="false" ht="15" hidden="false" customHeight="false" outlineLevel="0" collapsed="false">
      <c r="A5" s="13" t="s">
        <v>2915</v>
      </c>
      <c r="B5" s="13" t="s">
        <v>2916</v>
      </c>
      <c r="C5" s="14" t="s">
        <v>2917</v>
      </c>
      <c r="D5" s="13" t="s">
        <v>2910</v>
      </c>
      <c r="E5" s="13" t="s">
        <v>2918</v>
      </c>
    </row>
    <row r="6" customFormat="false" ht="15" hidden="false" customHeight="false" outlineLevel="0" collapsed="false">
      <c r="A6" s="13" t="s">
        <v>2919</v>
      </c>
      <c r="B6" s="13" t="s">
        <v>2903</v>
      </c>
      <c r="C6" s="14" t="s">
        <v>2920</v>
      </c>
      <c r="D6" s="13" t="s">
        <v>2910</v>
      </c>
      <c r="E6" s="13" t="s">
        <v>2921</v>
      </c>
    </row>
    <row r="7" customFormat="false" ht="15" hidden="false" customHeight="false" outlineLevel="0" collapsed="false">
      <c r="A7" s="13" t="s">
        <v>2922</v>
      </c>
      <c r="B7" s="13" t="s">
        <v>2923</v>
      </c>
      <c r="C7" s="14" t="s">
        <v>2924</v>
      </c>
      <c r="D7" s="13" t="s">
        <v>2925</v>
      </c>
      <c r="E7" s="13" t="s">
        <v>2926</v>
      </c>
    </row>
    <row r="8" customFormat="false" ht="22.35" hidden="false" customHeight="false" outlineLevel="0" collapsed="false">
      <c r="A8" s="13" t="s">
        <v>2927</v>
      </c>
      <c r="B8" s="13" t="s">
        <v>2928</v>
      </c>
      <c r="C8" s="14" t="s">
        <v>2929</v>
      </c>
      <c r="D8" s="13" t="s">
        <v>2930</v>
      </c>
      <c r="E8" s="13" t="s">
        <v>2931</v>
      </c>
    </row>
    <row r="9" customFormat="false" ht="15" hidden="false" customHeight="false" outlineLevel="0" collapsed="false">
      <c r="A9" s="13" t="s">
        <v>2932</v>
      </c>
      <c r="B9" s="13" t="s">
        <v>2933</v>
      </c>
      <c r="C9" s="14" t="s">
        <v>2934</v>
      </c>
      <c r="D9" s="13" t="s">
        <v>2925</v>
      </c>
      <c r="E9" s="13" t="s">
        <v>2935</v>
      </c>
    </row>
    <row r="10" customFormat="false" ht="32.8" hidden="false" customHeight="false" outlineLevel="0" collapsed="false">
      <c r="A10" s="13" t="s">
        <v>2936</v>
      </c>
      <c r="B10" s="13" t="s">
        <v>2937</v>
      </c>
      <c r="C10" s="14" t="s">
        <v>2938</v>
      </c>
      <c r="D10" s="13" t="s">
        <v>2939</v>
      </c>
      <c r="E10" s="13" t="s">
        <v>2940</v>
      </c>
    </row>
    <row r="11" customFormat="false" ht="15" hidden="false" customHeight="false" outlineLevel="0" collapsed="false">
      <c r="A11" s="13" t="s">
        <v>2941</v>
      </c>
      <c r="B11" s="13" t="s">
        <v>2942</v>
      </c>
      <c r="C11" s="14" t="s">
        <v>2943</v>
      </c>
      <c r="D11" s="13" t="s">
        <v>2925</v>
      </c>
      <c r="E11" s="13" t="s">
        <v>2944</v>
      </c>
    </row>
    <row r="12" customFormat="false" ht="22.35" hidden="false" customHeight="false" outlineLevel="0" collapsed="false">
      <c r="A12" s="13" t="s">
        <v>2945</v>
      </c>
      <c r="B12" s="13" t="s">
        <v>2946</v>
      </c>
      <c r="C12" s="14" t="s">
        <v>2947</v>
      </c>
      <c r="D12" s="13" t="s">
        <v>2948</v>
      </c>
      <c r="E12" s="13" t="s">
        <v>2949</v>
      </c>
    </row>
    <row r="13" customFormat="false" ht="15" hidden="false" customHeight="false" outlineLevel="0" collapsed="false">
      <c r="A13" s="13" t="s">
        <v>2950</v>
      </c>
      <c r="B13" s="13" t="s">
        <v>2951</v>
      </c>
      <c r="C13" s="14" t="s">
        <v>2952</v>
      </c>
      <c r="D13" s="13" t="s">
        <v>2953</v>
      </c>
      <c r="E13" s="13" t="s">
        <v>2954</v>
      </c>
    </row>
    <row r="14" customFormat="false" ht="15" hidden="false" customHeight="false" outlineLevel="0" collapsed="false">
      <c r="A14" s="13" t="s">
        <v>2955</v>
      </c>
      <c r="B14" s="13" t="s">
        <v>2956</v>
      </c>
      <c r="C14" s="14" t="s">
        <v>2957</v>
      </c>
      <c r="D14" s="13" t="s">
        <v>2958</v>
      </c>
      <c r="E14" s="13" t="s">
        <v>2959</v>
      </c>
    </row>
    <row r="15" customFormat="false" ht="15" hidden="false" customHeight="false" outlineLevel="0" collapsed="false">
      <c r="A15" s="13" t="s">
        <v>2960</v>
      </c>
      <c r="B15" s="13" t="s">
        <v>2961</v>
      </c>
      <c r="C15" s="14" t="s">
        <v>2962</v>
      </c>
      <c r="D15" s="13" t="s">
        <v>2963</v>
      </c>
      <c r="E15" s="13" t="s">
        <v>2959</v>
      </c>
    </row>
    <row r="16" customFormat="false" ht="15" hidden="false" customHeight="false" outlineLevel="0" collapsed="false">
      <c r="A16" s="13" t="s">
        <v>2964</v>
      </c>
      <c r="B16" s="13" t="s">
        <v>2965</v>
      </c>
      <c r="C16" s="14" t="s">
        <v>2966</v>
      </c>
      <c r="D16" s="13" t="s">
        <v>2967</v>
      </c>
      <c r="E16" s="13" t="s">
        <v>2968</v>
      </c>
    </row>
    <row r="17" customFormat="false" ht="15" hidden="false" customHeight="false" outlineLevel="0" collapsed="false">
      <c r="A17" s="13" t="s">
        <v>2969</v>
      </c>
      <c r="B17" s="13" t="s">
        <v>2970</v>
      </c>
      <c r="C17" s="14" t="s">
        <v>2971</v>
      </c>
      <c r="D17" s="13" t="s">
        <v>2967</v>
      </c>
      <c r="E17" s="13" t="s">
        <v>2968</v>
      </c>
    </row>
    <row r="18" customFormat="false" ht="15" hidden="false" customHeight="false" outlineLevel="0" collapsed="false">
      <c r="A18" s="13" t="s">
        <v>2972</v>
      </c>
      <c r="B18" s="13" t="s">
        <v>2973</v>
      </c>
      <c r="C18" s="14" t="s">
        <v>2974</v>
      </c>
      <c r="D18" s="13" t="s">
        <v>2975</v>
      </c>
      <c r="E18" s="13" t="s">
        <v>411</v>
      </c>
    </row>
  </sheetData>
  <hyperlinks>
    <hyperlink ref="C2" r:id="rId1" display="https://specs.blockchainssc.org/nos/"/>
    <hyperlink ref="C3" r:id="rId2" display="https://specs.blockchainssc.org/tis/"/>
    <hyperlink ref="C4" r:id="rId3" display="https://specs.blockchainssc.org/kms/"/>
    <hyperlink ref="C5" r:id="rId4" display="https://specs.blockchainssc.org/scs/"/>
    <hyperlink ref="C6" r:id="rId5" display="https://specs.blockchainssc.org/gsp/"/>
    <hyperlink ref="C7" r:id="rId6" display="https://scs.owasp.org/sctop10"/>
    <hyperlink ref="C8" r:id="rId7" display="https://scs.owasp.org/SCSVS/"/>
    <hyperlink ref="C9" r:id="rId8" display="https://scs.owasp.org/sctop10/Web3-Attack-Vectors-Top15/"/>
    <hyperlink ref="C10" r:id="rId9" display="https://github.com/w3c-cg/EthTrust"/>
    <hyperlink ref="C11" r:id="rId10" display="https://frameworks.securityalliance.org/"/>
    <hyperlink ref="C12" r:id="rId11" display="https://cryptoconsortium.org/"/>
    <hyperlink ref="C13" r:id="rId12" display="https://www.cisecurity.org/controls/cis-controls-list"/>
    <hyperlink ref="C14" r:id="rId13" display="https://www.nist.gov/cyberframework"/>
    <hyperlink ref="C15" r:id="rId14" display="https://www.iso.org/standard/27001"/>
    <hyperlink ref="C16" r:id="rId15" display="https://eur-lex.europa.eu/eli/reg/2022/2554/oj"/>
    <hyperlink ref="C17" r:id="rId16" display="https://eur-lex.europa.eu/eli/reg/2023/1114/oj"/>
    <hyperlink ref="C18" r:id="rId17" display="https://www.fatf-gafi.or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2026-10-20T21:33:29Z</dcterms:created>
  <dc:creator>openpyxl</dc:creator>
  <dc:description/>
  <dc:language>en-US</dc:language>
  <cp:lastModifiedBy/>
  <dcterms:modified xsi:type="dcterms:W3CDTF">2026-10-20T21:33:29Z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