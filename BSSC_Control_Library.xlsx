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ll Controls" sheetId="3" state="visible" r:id="rId5"/>
    <sheet name="NOS" sheetId="4" state="visible" r:id="rId6"/>
    <sheet name="TIS" sheetId="5" state="visible" r:id="rId7"/>
    <sheet name="KMS" sheetId="6" state="visible" r:id="rId8"/>
    <sheet name="SCS" sheetId="7" state="visible" r:id="rId9"/>
    <sheet name="GSP" sheetId="8" state="visible" r:id="rId10"/>
  </sheets>
  <definedNames>
    <definedName function="false" hidden="true" localSheetId="2" name="_xlnm._FilterDatabase" vbProcedure="false">'All Controls'!$A$1:$R$326</definedName>
    <definedName function="false" hidden="true" localSheetId="7" name="_xlnm._FilterDatabase" vbProcedure="false">GSP!$A$1:$R$57</definedName>
    <definedName function="false" hidden="true" localSheetId="5" name="_xlnm._FilterDatabase" vbProcedure="false">KMS!$A$1:$R$97</definedName>
    <definedName function="false" hidden="true" localSheetId="3" name="_xlnm._FilterDatabase" vbProcedure="false">NOS!$A$1:$R$55</definedName>
    <definedName function="false" hidden="true" localSheetId="6" name="_xlnm._FilterDatabase" vbProcedure="false">SCS!$A$1:$R$70</definedName>
    <definedName function="false" hidden="true" localSheetId="4" name="_xlnm._FilterDatabase" vbProcedure="false">TIS!$A$1:$R$51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<sst xmlns="http://schemas.openxmlformats.org/spreadsheetml/2006/main" count="10582" uniqueCount="1776">
  <si>
    <t xml:space="preserve">BSSC Control Library — Recommended Controls</t>
  </si>
  <si>
    <t xml:space="preserve">Prepared 2026-10-19 by Blockchain Security Architecture (drafted with Claude). Scope: all organisation profiles — exchange/custodian, protocol/dApp/token issuer, node/validator operator, enterprise baseline.</t>
  </si>
  <si>
    <t xml:space="preserve">Source standards (Blockchain Security Standards Council, https://blockchainssc.org/standards/)</t>
  </si>
  <si>
    <t xml:space="preserve">NOS — Node Operation Standard, v2 (2026-05-14) — https://specs.blockchainssc.org/nos/</t>
  </si>
  <si>
    <t xml:space="preserve">TIS — Token Integration Standard, v1 (2025-05-13) — https://specs.blockchainssc.org/tis/</t>
  </si>
  <si>
    <t xml:space="preserve">KMS — Key Management Standard, v1 (2025-05-13) — https://specs.blockchainssc.org/kms/</t>
  </si>
  <si>
    <t xml:space="preserve">SCS — Smart Contract Security Standard, v1 (2026-05-14) — https://specs.blockchainssc.org/scs/</t>
  </si>
  <si>
    <t xml:space="preserve">GSP — General Security &amp; Privacy Guidelines, v2 (2026-05-14) — https://specs.blockchainssc.org/gsp/</t>
  </si>
  <si>
    <t xml:space="preserve">How the library is built</t>
  </si>
  <si>
    <t xml:space="preserve">• Comprehensive: one recommended control per normative BSSC requirement (MUST / MUST NOT / SHOULD / SHOULD NOT / MAY), rewritten as an implementable, testable control.</t>
  </si>
  <si>
    <t xml:space="preserve">• Verified: requirement anchors for NOS (53), SCS (69) and GSP (56) were cross-checked against the live specs; TIS and KMS were checked heading-by-heading.</t>
  </si>
  <si>
    <t xml:space="preserve">• Reference Standard / BSSC Requirement ID: NOS, SCS and GSP use the spec's own req- anchors (Source Link deep-links to them). TIS has only one req- anchor, so other rows cite the spec heading. KMS defines no IDs, so IDs KMS-GEN/KG/KD/KS/KDI/KU/KR/KX-nn were assigned here in document order.</t>
  </si>
  <si>
    <t xml:space="preserve">• Priority (architect judgement): Critical = control whose failure can directly cause key or fund loss, slashing or bypass of core safeguards; High = most other MUSTs and high-impact SHOULDs; Medium = SHOULD or documentation MUSTs; Low = MAY or hygiene items. Adjust per your risk appetite (dropdown).</t>
  </si>
  <si>
    <t xml:space="preserve">• Cross-framework map is indicative (NIST CSF 2.0 subcategories, ISO/IEC 27001:2022 Annex A / clauses, CryptoCurrency Security Standard aspects for key-related items). Validate against your own mappings before audit use.</t>
  </si>
  <si>
    <t xml:space="preserve">How to use</t>
  </si>
  <si>
    <t xml:space="preserve">• Yellow cells (Implementation Status, Control Owner, Notes) are for you to fill in. Status uses a dropdown; the Summary tab updates automatically.</t>
  </si>
  <si>
    <t xml:space="preserve">• Filter 'Applies To' to scope the library to a business line (e.g., Node operator → NOS + KMS + GSP; Token listing → TIS; Protocol → SCS + KMS + GSP).</t>
  </si>
  <si>
    <t xml:space="preserve">• Example: NOS-024 (req-limit-consensus-power) — set Status = Implemented, Owner = Head of Staking, Notes = 'Stake share 18% on Ethereum as of Q3'.</t>
  </si>
  <si>
    <t xml:space="preserve">Source issues found during verification (report to BSSC)</t>
  </si>
  <si>
    <t xml:space="preserve">• SCS 'This version' link text says scs/v1.html but the hyperlink targets gsp/v2.html.</t>
  </si>
  <si>
    <t xml:space="preserve">• SCS Transaction Screening links to #req-trigger-automated-response, which is not defined; SCS Governance refers to a non-existent 'Domain 4: Upgradability'.</t>
  </si>
  <si>
    <t xml:space="preserve">• NOS change history links to #req-use-testnets but the anchor is #req-use-testnet.</t>
  </si>
  <si>
    <t xml:space="preserve">• GSP anchor is spelled req-use-seecure-comms in the source (kept as-is so links resolve).</t>
  </si>
  <si>
    <t xml:space="preserve">• KMS cites FIPS 140-3 but the text says 'FIPS 140-2 Level 3'; controls here say 'FIPS 140 Level 3' to cover both.</t>
  </si>
  <si>
    <t xml:space="preserve">• TIS Domain 3 (L1 Network Security) contains no normative requirements; L1 risk is covered via TIS-007 and GSP req-assess-ecosystem-risk.</t>
  </si>
  <si>
    <t xml:space="preserve">Disclaimer: this library interprets BSSC standards for implementation planning. It is not an official BSSC conformance assessment; consult the normative specs for audit and compliance claims.</t>
  </si>
  <si>
    <t xml:space="preserve">BSSC Control Library — Coverage Summary</t>
  </si>
  <si>
    <t xml:space="preserve">All counts are live formulas over the 'All Controls' tab; they update as you edit Priority and Implementation Status.</t>
  </si>
  <si>
    <t xml:space="preserve">Standard</t>
  </si>
  <si>
    <t xml:space="preserve">Name</t>
  </si>
  <si>
    <t xml:space="preserve">Version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</si>
  <si>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</si>
  <si>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</si>
  <si>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</si>
  <si>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</si>
  <si>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</si>
  <si>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Implemented</t>
  </si>
  <si>
    <t xml:space="preserve">% Implemented</t>
  </si>
  <si>
    <t xml:space="preserve">Not applicable / Risk accepted</t>
  </si>
  <si>
    <t xml:space="preserve">NOS</t>
  </si>
  <si>
    <t xml:space="preserve">Node Operation Standard</t>
  </si>
  <si>
    <t xml:space="preserve">v2 (2026-05-14)</t>
  </si>
  <si>
    <t xml:space="preserve">TIS</t>
  </si>
  <si>
    <t xml:space="preserve">Token Integration Standard</t>
  </si>
  <si>
    <t xml:space="preserve">v1 (2025-05-13)</t>
  </si>
  <si>
    <t xml:space="preserve">KMS</t>
  </si>
  <si>
    <t xml:space="preserve">Key Management Standard</t>
  </si>
  <si>
    <t xml:space="preserve">SCS</t>
  </si>
  <si>
    <t xml:space="preserve">Smart Contract Security Standard</t>
  </si>
  <si>
    <t xml:space="preserve">v1 (2026-05-14)</t>
  </si>
  <si>
    <t xml:space="preserve">GSP</t>
  </si>
  <si>
    <t xml:space="preserve">General Security &amp; Privacy Guidelines</t>
  </si>
  <si>
    <t xml:space="preserve">By BSSC keyword level</t>
  </si>
  <si>
    <t xml:space="preserve">Level</t>
  </si>
  <si>
    <t xml:space="preserve">MUST</t>
  </si>
  <si>
    <t xml:space="preserve">MUST NOT</t>
  </si>
  <si>
    <t xml:space="preserve">SHOULD</t>
  </si>
  <si>
    <t xml:space="preserve">SHOULD NOT</t>
  </si>
  <si>
    <t xml:space="preserve">MAY</t>
  </si>
  <si>
    <t xml:space="preserve">MUST / SHOULD</t>
  </si>
  <si>
    <t xml:space="preserve">SHOULD / MUST</t>
  </si>
  <si>
    <t xml:space="preserve">SHOULD / MAY</t>
  </si>
  <si>
    <t xml:space="preserve">MUST / MUST NOT</t>
  </si>
  <si>
    <t xml:space="preserve">Check: level total equals control total →</t>
  </si>
  <si>
    <t xml:space="preserve">Control ID</t>
  </si>
  <si>
    <t xml:space="preserve">Domain</t>
  </si>
  <si>
    <t xml:space="preserve">Area</t>
  </si>
  <si>
    <t xml:space="preserve">Recommended Control</t>
  </si>
  <si>
    <t xml:space="preserve">Reference Standard</t>
  </si>
  <si>
    <t xml:space="preserve">BSSC Requirement ID</t>
  </si>
  <si>
    <t xml:space="preserve">BSSC Level (RFC 2119)</t>
  </si>
  <si>
    <t xml:space="preserve">Priority</t>
  </si>
  <si>
    <t xml:space="preserve">Applies To</t>
  </si>
  <si>
    <t xml:space="preserve">NIST CSF 2.0</t>
  </si>
  <si>
    <t xml:space="preserve">ISO/IEC 27001:2022</t>
  </si>
  <si>
    <t xml:space="preserve">CCSS Aspect (indicative)</t>
  </si>
  <si>
    <t xml:space="preserve">Verification Method / Evidence</t>
  </si>
  <si>
    <t xml:space="preserve">Source Link</t>
  </si>
  <si>
    <t xml:space="preserve">Implementation Status</t>
  </si>
  <si>
    <t xml:space="preserve">Control Owner</t>
  </si>
  <si>
    <t xml:space="preserve">Notes</t>
  </si>
  <si>
    <t xml:space="preserve">NOS-001</t>
  </si>
  <si>
    <t xml:space="preserve">0. Basic Security</t>
  </si>
  <si>
    <t xml:space="preserve">Key security</t>
  </si>
  <si>
    <t xml:space="preserve">Manage all node, validator, withdrawal and signing keys under the BSSC Key Management Standard (or a documented equivalent); maintain a KMS conformance mapping.</t>
  </si>
  <si>
    <t xml:space="preserve">BSSC NOS v2 — 0. Basic Security</t>
  </si>
  <si>
    <t xml:space="preserve">req-manage-key-security</t>
  </si>
  <si>
    <t xml:space="preserve">Node/validator operator; Exchange/Custodian running nodes</t>
  </si>
  <si>
    <t xml:space="preserve">PR.AA-01; PR.DS-01</t>
  </si>
  <si>
    <t xml:space="preserve">A.8.24</t>
  </si>
  <si>
    <t xml:space="preserve">1.01-1.06</t>
  </si>
  <si>
    <t xml:space="preserve">Review KMS conformance matrix; sample key lifecycle records; interview key custodians.</t>
  </si>
  <si>
    <t xml:space="preserve">Open spec</t>
  </si>
  <si>
    <t xml:space="preserve">Not started</t>
  </si>
  <si>
    <t xml:space="preserve">NOS-002</t>
  </si>
  <si>
    <t xml:space="preserve">Baseline security program</t>
  </si>
  <si>
    <t xml:space="preserve">Implement the BSSC General Security &amp; Privacy Guidelines (or ISO 27001 / SOC 2 equivalent) as the baseline security program for node operations.</t>
  </si>
  <si>
    <t xml:space="preserve">req-implement-basic-security</t>
  </si>
  <si>
    <t xml:space="preserve">GV.PO-01</t>
  </si>
  <si>
    <t xml:space="preserve">A.5.1</t>
  </si>
  <si>
    <t xml:space="preserve">—</t>
  </si>
  <si>
    <t xml:space="preserve">Review GSP gap assessment or ISO/SOC 2 report scope covering node infrastructure.</t>
  </si>
  <si>
    <t xml:space="preserve">NOS-003</t>
  </si>
  <si>
    <t xml:space="preserve">1. Protocol Onboarding</t>
  </si>
  <si>
    <t xml:space="preserve">Risk assessment</t>
  </si>
  <si>
    <t xml:space="preserve">Run a documented protocol selection and risk analysis (consensus, economics, client maturity, slashing exposure) before onboarding any new network.</t>
  </si>
  <si>
    <t xml:space="preserve">BSSC NOS v2 — 1. Protocol Onboarding</t>
  </si>
  <si>
    <t xml:space="preserve">req-document-protocol-analysis</t>
  </si>
  <si>
    <t xml:space="preserve">ID.RA-01; GV.RM-03</t>
  </si>
  <si>
    <t xml:space="preserve">A.5.8</t>
  </si>
  <si>
    <t xml:space="preserve">Inspect onboarding risk assessments and approval sign-off for each supported protocol.</t>
  </si>
  <si>
    <t xml:space="preserve">NOS-004</t>
  </si>
  <si>
    <t xml:space="preserve">Continuously monitor protocol forks, upgrades and governance changes (release feeds, EIPs/BIPs, dev calls) and refresh the protocol risk assessment on each material change.</t>
  </si>
  <si>
    <t xml:space="preserve">req-monitor-protocol-changes</t>
  </si>
  <si>
    <t xml:space="preserve">ID.RA-03; ID.RA-07</t>
  </si>
  <si>
    <t xml:space="preserve">A.5.7</t>
  </si>
  <si>
    <t xml:space="preserve">Show change-tracking log, subscriptions, and risk-assessment revision history.</t>
  </si>
  <si>
    <t xml:space="preserve">NOS-005</t>
  </si>
  <si>
    <t xml:space="preserve">Software supply chain</t>
  </si>
  <si>
    <t xml:space="preserve">Maintain an SBOM and supply-chain risk analysis for all node components (clients, signers, sidecars, MEV relays, OS images, containers).</t>
  </si>
  <si>
    <t xml:space="preserve">req-document-supply-chains</t>
  </si>
  <si>
    <t xml:space="preserve">GV.SC-04; ID.AM-02</t>
  </si>
  <si>
    <t xml:space="preserve">A.5.21</t>
  </si>
  <si>
    <t xml:space="preserve">Review SBOMs per node build and supply-chain risk register.</t>
  </si>
  <si>
    <t xml:space="preserve">NOS-006</t>
  </si>
  <si>
    <t xml:space="preserve">Obtain node software only from official sources; verify release signatures/checksums and pin versions in build pipelines.</t>
  </si>
  <si>
    <t xml:space="preserve">req-use-official-software</t>
  </si>
  <si>
    <t xml:space="preserve">PR.PS-02; GV.SC-05</t>
  </si>
  <si>
    <t xml:space="preserve">A.8.19</t>
  </si>
  <si>
    <t xml:space="preserve">Inspect build pipeline for signature/hash verification; trace deployed binaries to official releases.</t>
  </si>
  <si>
    <t xml:space="preserve">NOS-007</t>
  </si>
  <si>
    <t xml:space="preserve">Define and follow a security assessment procedure (audit status, CVE history, code review) for every new protocol-related software package.</t>
  </si>
  <si>
    <t xml:space="preserve">req-document-protocol-software-security</t>
  </si>
  <si>
    <t xml:space="preserve">GV.SC-07; ID.RA-01</t>
  </si>
  <si>
    <t xml:space="preserve">A.5.22</t>
  </si>
  <si>
    <t xml:space="preserve">Review completed software assessments for recently added packages.</t>
  </si>
  <si>
    <t xml:space="preserve">NOS-008</t>
  </si>
  <si>
    <t xml:space="preserve">Protocol assessment</t>
  </si>
  <si>
    <t xml:space="preserve">Document technical and non-technical responsibilities to each protocol (duties, SLAs, governance participation, disclosure).</t>
  </si>
  <si>
    <t xml:space="preserve">req-document-protocol-responsibilities</t>
  </si>
  <si>
    <t xml:space="preserve">GV.RR-02</t>
  </si>
  <si>
    <t xml:space="preserve">A.5.2</t>
  </si>
  <si>
    <t xml:space="preserve">Review responsibility matrix (RACI) per protocol.</t>
  </si>
  <si>
    <t xml:space="preserve">NOS-009</t>
  </si>
  <si>
    <t xml:space="preserve">Document protocol mechanics: upgrade path, governance and voting, kill-switches/emergency halts, and operator actions for each.</t>
  </si>
  <si>
    <t xml:space="preserve">req-document-protocol-operation</t>
  </si>
  <si>
    <t xml:space="preserve">ID.AM-03</t>
  </si>
  <si>
    <t xml:space="preserve">A.5.37</t>
  </si>
  <si>
    <t xml:space="preserve">Review protocol runbooks for upgrade, vote and halt scenarios.</t>
  </si>
  <si>
    <t xml:space="preserve">NOS-010</t>
  </si>
  <si>
    <t xml:space="preserve">Pilot every new protocol and client version on an official/controlled testnet to validate performance, interoperability and security before mainnet.</t>
  </si>
  <si>
    <t xml:space="preserve">req-use-testnet</t>
  </si>
  <si>
    <t xml:space="preserve">PR.PS-06; ID.IM-02</t>
  </si>
  <si>
    <t xml:space="preserve">A.8.31; A.8.29</t>
  </si>
  <si>
    <t xml:space="preserve">Inspect testnet run evidence (metrics, test reports) preceding each mainnet deployment.</t>
  </si>
  <si>
    <t xml:space="preserve">NOS-011</t>
  </si>
  <si>
    <t xml:space="preserve">Compliance</t>
  </si>
  <si>
    <t xml:space="preserve">Screen counterparties and addresses against applicable AML/sanctions blacklists (e.g., OFAC SDN) where required; document jurisdictional obligations.</t>
  </si>
  <si>
    <t xml:space="preserve">req-follow-relevant-regulation</t>
  </si>
  <si>
    <t xml:space="preserve">GV.OC-03</t>
  </si>
  <si>
    <t xml:space="preserve">A.5.31</t>
  </si>
  <si>
    <t xml:space="preserve">Test screening tooling against known sanctioned addresses; review compliance register.</t>
  </si>
  <si>
    <t xml:space="preserve">NOS-012</t>
  </si>
  <si>
    <t xml:space="preserve">Cryptographic agility</t>
  </si>
  <si>
    <t xml:space="preserve">Maintain a cryptographic inventory per protocol (signature schemes, hash functions, key exchange).</t>
  </si>
  <si>
    <t xml:space="preserve">req-document-protocol-crypto</t>
  </si>
  <si>
    <t xml:space="preserve">ID.AM-08; PR.DS-01</t>
  </si>
  <si>
    <t xml:space="preserve">Review crypto inventory completeness against protocol specs.</t>
  </si>
  <si>
    <t xml:space="preserve">NOS-013</t>
  </si>
  <si>
    <t xml:space="preserve">Assess each protocol's crypto-agility and post-quantum migration roadmap as part of onboarding risk.</t>
  </si>
  <si>
    <t xml:space="preserve">req-evaluate-protocol-pqc-plan</t>
  </si>
  <si>
    <t xml:space="preserve">ID.RA-01</t>
  </si>
  <si>
    <t xml:space="preserve">Review PQC readiness section in protocol risk assessments.</t>
  </si>
  <si>
    <t xml:space="preserve">NOS-014</t>
  </si>
  <si>
    <t xml:space="preserve">2. Network Participation</t>
  </si>
  <si>
    <t xml:space="preserve">Consensus</t>
  </si>
  <si>
    <t xml:space="preserve">Perform all node duties (attesting, proposing, executing) strictly per each network's documented best practices; codify in config baselines.</t>
  </si>
  <si>
    <t xml:space="preserve">BSSC NOS v2 — 2. Network Participation</t>
  </si>
  <si>
    <t xml:space="preserve">req-follow-protocol-conventions</t>
  </si>
  <si>
    <t xml:space="preserve">PR.PS-01</t>
  </si>
  <si>
    <t xml:space="preserve">A.8.9</t>
  </si>
  <si>
    <t xml:space="preserve">Compare node configs to protocol-recommended baselines; review duty performance metrics.</t>
  </si>
  <si>
    <t xml:space="preserve">NOS-015</t>
  </si>
  <si>
    <t xml:space="preserve">Ensure nodes track the canonical/most recent accepted chain; alert on forks or head divergence.</t>
  </si>
  <si>
    <t xml:space="preserve">req-follow-protocol-consensus</t>
  </si>
  <si>
    <t xml:space="preserve">DE.CM-09</t>
  </si>
  <si>
    <t xml:space="preserve">A.8.16</t>
  </si>
  <si>
    <t xml:space="preserve">Review chain-head monitoring alerts and fork-handling runbook.</t>
  </si>
  <si>
    <t xml:space="preserve">NOS-016</t>
  </si>
  <si>
    <t xml:space="preserve">For non-attesting nodes, log chain-head data so it can be verified against independent reference sources.</t>
  </si>
  <si>
    <t xml:space="preserve">(explanatory text under req-follow-protocol-consensus)</t>
  </si>
  <si>
    <t xml:space="preserve">A.8.15</t>
  </si>
  <si>
    <t xml:space="preserve">Sample chain-head logs and compare to independent explorer/reference node.</t>
  </si>
  <si>
    <t xml:space="preserve">NOS-017</t>
  </si>
  <si>
    <t xml:space="preserve">Rewards and slashing</t>
  </si>
  <si>
    <t xml:space="preserve">Configure fee recipients/reward addresses so incentives are received per the chain's established protocol.</t>
  </si>
  <si>
    <t xml:space="preserve">req-follow-reward-conventions</t>
  </si>
  <si>
    <t xml:space="preserve">Reconcile configured reward addresses against on-chain receipts.</t>
  </si>
  <si>
    <t xml:space="preserve">NOS-018</t>
  </si>
  <si>
    <t xml:space="preserve">Maintain a verifiable, tamper-evident log of all reward and incentive events, reconciled to on-chain data.</t>
  </si>
  <si>
    <t xml:space="preserve">req-log-rewards</t>
  </si>
  <si>
    <t xml:space="preserve">DE.CM-09; PR.PS-04</t>
  </si>
  <si>
    <t xml:space="preserve">1.10</t>
  </si>
  <si>
    <t xml:space="preserve">Perform reward reconciliation for a sample period.</t>
  </si>
  <si>
    <t xml:space="preserve">NOS-019</t>
  </si>
  <si>
    <t xml:space="preserve">Implement and document double-signing protections (slashing-protection DB, single-active-signer locks, fencing) especially during failover.</t>
  </si>
  <si>
    <t xml:space="preserve">req-document-doublesign-controls</t>
  </si>
  <si>
    <t xml:space="preserve">PR.IR-03</t>
  </si>
  <si>
    <t xml:space="preserve">A.8.14</t>
  </si>
  <si>
    <t xml:space="preserve">Review slashing-protection config; observe a failover test with no duplicate signing.</t>
  </si>
  <si>
    <t xml:space="preserve">NOS-020</t>
  </si>
  <si>
    <t xml:space="preserve">Implement and document controls preventing slashing/penalties for missed duties (liveness monitoring, redundancy, maintenance windows).</t>
  </si>
  <si>
    <t xml:space="preserve">req-document-anti-slashing-controls</t>
  </si>
  <si>
    <t xml:space="preserve">PR.IR-03; DE.CM-01</t>
  </si>
  <si>
    <t xml:space="preserve">Review penalty history and liveness alerting configuration.</t>
  </si>
  <si>
    <t xml:space="preserve">NOS-021</t>
  </si>
  <si>
    <t xml:space="preserve">Network topology</t>
  </si>
  <si>
    <t xml:space="preserve">Maintain curated, diverse boot-peer lists to protect against eclipse/network fragmentation.</t>
  </si>
  <si>
    <t xml:space="preserve">req-maintain-boot-peers</t>
  </si>
  <si>
    <t xml:space="preserve">PR.IR-01</t>
  </si>
  <si>
    <t xml:space="preserve">A.8.20</t>
  </si>
  <si>
    <t xml:space="preserve">Inspect boot-peer lists and review cadence.</t>
  </si>
  <si>
    <t xml:space="preserve">NOS-022</t>
  </si>
  <si>
    <t xml:space="preserve">Configure peer discovery appropriately per node role (enable on discoverable nodes; disable on sentry-protected validators).</t>
  </si>
  <si>
    <t xml:space="preserve">req-configure-discovery</t>
  </si>
  <si>
    <t xml:space="preserve">Review discovery flags per node role.</t>
  </si>
  <si>
    <t xml:space="preserve">NOS-023</t>
  </si>
  <si>
    <t xml:space="preserve">Periodically verify the discoverability configuration of all nodes (external scans vs intended state).</t>
  </si>
  <si>
    <t xml:space="preserve">req-verify-discovery-configuration</t>
  </si>
  <si>
    <t xml:space="preserve">DE.CM-01</t>
  </si>
  <si>
    <t xml:space="preserve">Review external peer-scan results versus config inventory.</t>
  </si>
  <si>
    <t xml:space="preserve">NOS-024</t>
  </si>
  <si>
    <t xml:space="preserve">Decentralization</t>
  </si>
  <si>
    <t xml:space="preserve">Cap controlled consensus power at ≤50% hash power (PoW) and ≤33% stake (PoS), with equivalent limits on bridge validators; count subsidiaries, white-label and sub-operator arrangements.</t>
  </si>
  <si>
    <t xml:space="preserve">req-limit-consensus-power</t>
  </si>
  <si>
    <t xml:space="preserve">GV.RM-04</t>
  </si>
  <si>
    <t xml:space="preserve">Compute aggregated stake/hash share across all controlled entities; review governance limits.</t>
  </si>
  <si>
    <t xml:space="preserve">NOS-025</t>
  </si>
  <si>
    <t xml:space="preserve">3. Resilience and Performance</t>
  </si>
  <si>
    <t xml:space="preserve">Client diversity</t>
  </si>
  <si>
    <t xml:space="preserve">Deploy diverse client implementations (execution and consensus) where available.</t>
  </si>
  <si>
    <t xml:space="preserve">BSSC NOS v2 — 3. Resilience and Performance</t>
  </si>
  <si>
    <t xml:space="preserve">req-use-multiple-clients</t>
  </si>
  <si>
    <t xml:space="preserve">Review client distribution report.</t>
  </si>
  <si>
    <t xml:space="preserve">NOS-026</t>
  </si>
  <si>
    <t xml:space="preserve">Do not run any single client on more than two-thirds of the deployment; alert when the threshold is approached.</t>
  </si>
  <si>
    <t xml:space="preserve">req-no-client-supermajority</t>
  </si>
  <si>
    <t xml:space="preserve">Compute client share per network; check threshold alerting.</t>
  </si>
  <si>
    <t xml:space="preserve">NOS-027</t>
  </si>
  <si>
    <t xml:space="preserve">Resilience</t>
  </si>
  <si>
    <t xml:space="preserve">Document continuity and failover procedures for each node type, including safe-failover (no double-sign).</t>
  </si>
  <si>
    <t xml:space="preserve">req-document-failover</t>
  </si>
  <si>
    <t xml:space="preserve">RC.RP-01; PR.IR-03</t>
  </si>
  <si>
    <t xml:space="preserve">A.5.30</t>
  </si>
  <si>
    <t xml:space="preserve">Review failover runbooks and latest test results.</t>
  </si>
  <si>
    <t xml:space="preserve">NOS-028</t>
  </si>
  <si>
    <t xml:space="preserve">Monitor node uptime/health with alerting and documented remediation procedures.</t>
  </si>
  <si>
    <t xml:space="preserve">req-document-uptime</t>
  </si>
  <si>
    <t xml:space="preserve">Review monitoring dashboards, alert rules and incident tickets.</t>
  </si>
  <si>
    <t xml:space="preserve">NOS-029</t>
  </si>
  <si>
    <t xml:space="preserve">Document fault-tolerance strategies (redundant infra, sentry nodes, DVT, hot/cold standby).</t>
  </si>
  <si>
    <t xml:space="preserve">req-document-fault-tolerance</t>
  </si>
  <si>
    <t xml:space="preserve">Review architecture docs for single points of failure.</t>
  </si>
  <si>
    <t xml:space="preserve">NOS-030</t>
  </si>
  <si>
    <t xml:space="preserve">Distribute nodes across multiple hosting providers, data centres and geographic regions.</t>
  </si>
  <si>
    <t xml:space="preserve">req-distribute-nodes</t>
  </si>
  <si>
    <t xml:space="preserve">Review node inventory by provider/region; concentration metrics.</t>
  </si>
  <si>
    <t xml:space="preserve">NOS-031</t>
  </si>
  <si>
    <t xml:space="preserve">Software updates</t>
  </si>
  <si>
    <t xml:space="preserve">Document procedures for deploying, recovering and updating nodes (IaC, snapshots, resync).</t>
  </si>
  <si>
    <t xml:space="preserve">req-document-recovery</t>
  </si>
  <si>
    <t xml:space="preserve">RC.RP-01; PR.PS-02</t>
  </si>
  <si>
    <t xml:space="preserve">A.8.32</t>
  </si>
  <si>
    <t xml:space="preserve">Review runbooks; observe a rebuild-from-scratch exercise.</t>
  </si>
  <si>
    <t xml:space="preserve">NOS-032</t>
  </si>
  <si>
    <t xml:space="preserve">Record and justify any deviation from documented deployment, recovery or update procedures.</t>
  </si>
  <si>
    <t xml:space="preserve">req-document-procedural-deviation</t>
  </si>
  <si>
    <t xml:space="preserve">ID.IM-03</t>
  </si>
  <si>
    <t xml:space="preserve">Sample change tickets for deviation records.</t>
  </si>
  <si>
    <t xml:space="preserve">NOS-033</t>
  </si>
  <si>
    <t xml:space="preserve">Document contingency procedures for cryptographic migration, including post-quantum transitions.</t>
  </si>
  <si>
    <t xml:space="preserve">req-document-crypto-migration</t>
  </si>
  <si>
    <t xml:space="preserve">ID.IM-04</t>
  </si>
  <si>
    <t xml:space="preserve">Review crypto-migration plan.</t>
  </si>
  <si>
    <t xml:space="preserve">NOS-034</t>
  </si>
  <si>
    <t xml:space="preserve">Maintain operational readiness to adopt updated cryptographic schemes on protocol governance timelines.</t>
  </si>
  <si>
    <t xml:space="preserve">req-prepare-crypto-migration</t>
  </si>
  <si>
    <t xml:space="preserve">Review readiness assessment / tabletop on crypto upgrade.</t>
  </si>
  <si>
    <t xml:space="preserve">NOS-035</t>
  </si>
  <si>
    <t xml:space="preserve">Node capacity</t>
  </si>
  <si>
    <t xml:space="preserve">Provision sufficient CPU, memory, disk space/IOPS and bandwidth per protocol requirements with capacity alerts.</t>
  </si>
  <si>
    <t xml:space="preserve">req-provision-nodes</t>
  </si>
  <si>
    <t xml:space="preserve">PR.IR-04</t>
  </si>
  <si>
    <t xml:space="preserve">A.8.6</t>
  </si>
  <si>
    <t xml:space="preserve">Compare node specs to protocol requirements; review capacity alerts.</t>
  </si>
  <si>
    <t xml:space="preserve">NOS-036</t>
  </si>
  <si>
    <t xml:space="preserve">Document how nodes withstand activity spikes (forks, rushes) and reassess at least annually.</t>
  </si>
  <si>
    <t xml:space="preserve">req-resilient-nodes</t>
  </si>
  <si>
    <t xml:space="preserve">Review load test results and annual reassessment record.</t>
  </si>
  <si>
    <t xml:space="preserve">NOS-037</t>
  </si>
  <si>
    <t xml:space="preserve">4. Security and Access Control</t>
  </si>
  <si>
    <t xml:space="preserve">Access control</t>
  </si>
  <si>
    <t xml:space="preserve">Use remote signers/HSM-backed signing so key material is not on network-connected nodes; isolate the signer network.</t>
  </si>
  <si>
    <t xml:space="preserve">BSSC NOS v2 — 4. Security and Access Control</t>
  </si>
  <si>
    <t xml:space="preserve">req-use-remote-signers</t>
  </si>
  <si>
    <t xml:space="preserve">PR.AA-05; PR.DS-01</t>
  </si>
  <si>
    <t xml:space="preserve">A.8.24; A.8.22</t>
  </si>
  <si>
    <t xml:space="preserve">1.03; 1.04</t>
  </si>
  <si>
    <t xml:space="preserve">Verify no keystores on beacon/validator hosts; review signer network segmentation.</t>
  </si>
  <si>
    <t xml:space="preserve">NOS-038</t>
  </si>
  <si>
    <t xml:space="preserve">Where remote signers are unsupported, apply compensating key protections (encrypted keystores, TEEs, host hardening, strict access).</t>
  </si>
  <si>
    <t xml:space="preserve">req-remote-signer-alternatives</t>
  </si>
  <si>
    <t xml:space="preserve">PR.DS-01; PR.PS-01</t>
  </si>
  <si>
    <t xml:space="preserve">1.03</t>
  </si>
  <si>
    <t xml:space="preserve">Review compensating controls and risk acceptance for each protocol lacking remote signing.</t>
  </si>
  <si>
    <t xml:space="preserve">NOS-039</t>
  </si>
  <si>
    <t xml:space="preserve">Encrypt/authenticate node-to-node and node-to-signer communication (mTLS, VPN, private links) against MITM and DoS.</t>
  </si>
  <si>
    <t xml:space="preserve">req-secure-node-communication</t>
  </si>
  <si>
    <t xml:space="preserve">PR.DS-02</t>
  </si>
  <si>
    <t xml:space="preserve">A.8.20; A.8.21</t>
  </si>
  <si>
    <t xml:space="preserve">Inspect TLS/mTLS configuration and network diagrams.</t>
  </si>
  <si>
    <t xml:space="preserve">NOS-040</t>
  </si>
  <si>
    <t xml:space="preserve">Register any unencrypted channel used for performance reasons with a documented risk assessment.</t>
  </si>
  <si>
    <t xml:space="preserve">req-document-plaintext-communication</t>
  </si>
  <si>
    <t xml:space="preserve">ID.RA-05</t>
  </si>
  <si>
    <t xml:space="preserve">A.8.21</t>
  </si>
  <si>
    <t xml:space="preserve">Review plaintext channel register and risk acceptances.</t>
  </si>
  <si>
    <t xml:space="preserve">NOS-041</t>
  </si>
  <si>
    <t xml:space="preserve">Restrict node control planes (admin APIs, SSH, orchestration) to authorized personnel via MFA, bastions and RBAC.</t>
  </si>
  <si>
    <t xml:space="preserve">req-restrict-control-access</t>
  </si>
  <si>
    <t xml:space="preserve">PR.AA-05</t>
  </si>
  <si>
    <t xml:space="preserve">A.8.2; A.8.5</t>
  </si>
  <si>
    <t xml:space="preserve">1.06</t>
  </si>
  <si>
    <t xml:space="preserve">Review access lists, MFA enforcement and bastion logs.</t>
  </si>
  <si>
    <t xml:space="preserve">NOS-042</t>
  </si>
  <si>
    <t xml:space="preserve">Expose only services essential to network operation (P2P ports); block RPC/admin/metrics from the internet.</t>
  </si>
  <si>
    <t xml:space="preserve">req-minimize-network-exposure</t>
  </si>
  <si>
    <t xml:space="preserve">A.8.20; A.8.22</t>
  </si>
  <si>
    <t xml:space="preserve">External port scan vs. approved exposure list.</t>
  </si>
  <si>
    <t xml:space="preserve">NOS-043</t>
  </si>
  <si>
    <t xml:space="preserve">Activity logging</t>
  </si>
  <si>
    <t xml:space="preserve">Retain node logs ≥90 days (or longer per regulation/policy) and security-relevant logs (access, auth, config changes) ≥180 days.</t>
  </si>
  <si>
    <t xml:space="preserve">req-retain-logs</t>
  </si>
  <si>
    <t xml:space="preserve">PR.PS-04</t>
  </si>
  <si>
    <t xml:space="preserve">Verify retention settings in log platform; retrieve a 180-day-old security log.</t>
  </si>
  <si>
    <t xml:space="preserve">NOS-044</t>
  </si>
  <si>
    <t xml:space="preserve">Aggregate node logs into a central SIEM/log platform.</t>
  </si>
  <si>
    <t xml:space="preserve">req-aggregate-logs</t>
  </si>
  <si>
    <t xml:space="preserve">DE.AE-03</t>
  </si>
  <si>
    <t xml:space="preserve">A.8.15; A.8.16</t>
  </si>
  <si>
    <t xml:space="preserve">Confirm all nodes forward logs to SIEM.</t>
  </si>
  <si>
    <t xml:space="preserve">NOS-045</t>
  </si>
  <si>
    <t xml:space="preserve">Suppress or sanitize keys, secrets and PII in logs; scan logs for leaked secrets.</t>
  </si>
  <si>
    <t xml:space="preserve">req-dont-log-pii</t>
  </si>
  <si>
    <t xml:space="preserve">PR.DS-01</t>
  </si>
  <si>
    <t xml:space="preserve">A.8.11; A.8.15</t>
  </si>
  <si>
    <t xml:space="preserve">Run secret/PII scanner on log samples.</t>
  </si>
  <si>
    <t xml:space="preserve">NOS-046</t>
  </si>
  <si>
    <t xml:space="preserve">Apply strict RBAC and immutability to logging systems.</t>
  </si>
  <si>
    <t xml:space="preserve">req-restrict-log-access</t>
  </si>
  <si>
    <t xml:space="preserve">PR.AA-05; PR.PS-04</t>
  </si>
  <si>
    <t xml:space="preserve">Review log platform access lists and immutability settings.</t>
  </si>
  <si>
    <t xml:space="preserve">NOS-047</t>
  </si>
  <si>
    <t xml:space="preserve">Log all access events to nodes and control planes and review them regularly for unauthorized activity.</t>
  </si>
  <si>
    <t xml:space="preserve">req-log-access</t>
  </si>
  <si>
    <t xml:space="preserve">DE.CM-03</t>
  </si>
  <si>
    <t xml:space="preserve">Review access-log review records and alerts.</t>
  </si>
  <si>
    <t xml:space="preserve">NOS-048</t>
  </si>
  <si>
    <t xml:space="preserve">Incident response</t>
  </si>
  <si>
    <t xml:space="preserve">Maintain a node-specific incident response plan (key compromise, slashing, client bug, chain split).</t>
  </si>
  <si>
    <t xml:space="preserve">req-document-irp</t>
  </si>
  <si>
    <t xml:space="preserve">RS.MA-01</t>
  </si>
  <si>
    <t xml:space="preserve">A.5.24</t>
  </si>
  <si>
    <t xml:space="preserve">1.05</t>
  </si>
  <si>
    <t xml:space="preserve">Review IRP coverage of node scenarios.</t>
  </si>
  <si>
    <t xml:space="preserve">NOS-049</t>
  </si>
  <si>
    <t xml:space="preserve">Execute the documented IRP during incidents to maintain availability and return safely to operations; keep incident records.</t>
  </si>
  <si>
    <t xml:space="preserve">req-follow-irp</t>
  </si>
  <si>
    <t xml:space="preserve">RS.MA-01; RC.RP-01</t>
  </si>
  <si>
    <t xml:space="preserve">A.5.26</t>
  </si>
  <si>
    <t xml:space="preserve">Review recent incident tickets for adherence to IRP steps.</t>
  </si>
  <si>
    <t xml:space="preserve">NOS-050</t>
  </si>
  <si>
    <t xml:space="preserve">5. Transparency</t>
  </si>
  <si>
    <t xml:space="preserve">Transparency</t>
  </si>
  <si>
    <t xml:space="preserve">Disclose scope and terms of insurance covering slashing, downtime and compromise, or state clearly that none exists.</t>
  </si>
  <si>
    <t xml:space="preserve">BSSC NOS v2 — 5. Transparency</t>
  </si>
  <si>
    <t xml:space="preserve">req-document-insurance</t>
  </si>
  <si>
    <t xml:space="preserve">GV.OC-02</t>
  </si>
  <si>
    <t xml:space="preserve">A.5.34</t>
  </si>
  <si>
    <t xml:space="preserve">Review published insurance disclosure.</t>
  </si>
  <si>
    <t xml:space="preserve">NOS-051</t>
  </si>
  <si>
    <t xml:space="preserve">Deliver pre-signed exit transactions to clients only through cryptographically secure, confidential channels.</t>
  </si>
  <si>
    <t xml:space="preserve">req-deliver-exit-transactions-securely</t>
  </si>
  <si>
    <t xml:space="preserve">A.5.14</t>
  </si>
  <si>
    <t xml:space="preserve">1.04</t>
  </si>
  <si>
    <t xml:space="preserve">Inspect delivery mechanism (encrypted, authenticated); sample delivery logs.</t>
  </si>
  <si>
    <t xml:space="preserve">NOS-052</t>
  </si>
  <si>
    <t xml:space="preserve">Document exit triggers, notification timelines, stored-transaction handling, unbonding/withdrawal penalties and delay conditions.</t>
  </si>
  <si>
    <t xml:space="preserve">req-document-exit-procedures</t>
  </si>
  <si>
    <t xml:space="preserve">Review client-facing exit documentation.</t>
  </si>
  <si>
    <t xml:space="preserve">NOS-053</t>
  </si>
  <si>
    <t xml:space="preserve">Use only industry-standard encrypted communication methods with clients and partners.</t>
  </si>
  <si>
    <t xml:space="preserve">req-communicate-securely</t>
  </si>
  <si>
    <t xml:space="preserve">Review approved communications channels list.</t>
  </si>
  <si>
    <t xml:space="preserve">NOS-054</t>
  </si>
  <si>
    <t xml:space="preserve">Disclose governance participation criteria, proposal criteria, voting history (where safe) and conflicts of interest including abstentions.</t>
  </si>
  <si>
    <t xml:space="preserve">req-document-governance-positions</t>
  </si>
  <si>
    <t xml:space="preserve">Review published governance disclosures.</t>
  </si>
  <si>
    <t xml:space="preserve">TIS-001</t>
  </si>
  <si>
    <t xml:space="preserve">1. General Information</t>
  </si>
  <si>
    <t xml:space="preserve">Disclosure package</t>
  </si>
  <si>
    <t xml:space="preserve">Require a complete token information package from the issuer before integration; block listing until all items are provided.</t>
  </si>
  <si>
    <t xml:space="preserve">BSSC TIS v1 — 1. General Information</t>
  </si>
  <si>
    <t xml:space="preserve">Heading: General Information (lead-in)</t>
  </si>
  <si>
    <t xml:space="preserve">Token issuer (provide); Exchange/Custodian/DeFi integrator (verify at listing)</t>
  </si>
  <si>
    <t xml:space="preserve">GV.SC-06</t>
  </si>
  <si>
    <t xml:space="preserve">A.5.19</t>
  </si>
  <si>
    <t xml:space="preserve">Listing due-diligence checklist: confirm all General Information items present and signed off.</t>
  </si>
  <si>
    <t xml:space="preserve">TIS-002</t>
  </si>
  <si>
    <t xml:space="preserve">Obtain token allocations and vesting schedules; reconcile against on-chain holder distribution.</t>
  </si>
  <si>
    <t xml:space="preserve">Heading: Token allocation</t>
  </si>
  <si>
    <t xml:space="preserve">Listing due-diligence checklist: compare stated allocation to on-chain top-holder analysis.</t>
  </si>
  <si>
    <t xml:space="preserve">TIS-003</t>
  </si>
  <si>
    <t xml:space="preserve">Token identity</t>
  </si>
  <si>
    <t xml:space="preserve">Verify that disclosed name and symbol exactly match on-chain name() and symbol() return values.</t>
  </si>
  <si>
    <t xml:space="preserve">Heading: Name and Symbol</t>
  </si>
  <si>
    <t xml:space="preserve">ID.AM-02</t>
  </si>
  <si>
    <t xml:space="preserve">A.5.9</t>
  </si>
  <si>
    <t xml:space="preserve">Call name()/symbol() on each deployment; compare to listing record.</t>
  </si>
  <si>
    <t xml:space="preserve">TIS-004</t>
  </si>
  <si>
    <t xml:space="preserve">Obtain and archive a link to the token's technical documentation.</t>
  </si>
  <si>
    <t xml:space="preserve">Heading: Technical Documentation</t>
  </si>
  <si>
    <t xml:space="preserve">Listing due-diligence checklist: archive link and snapshot.</t>
  </si>
  <si>
    <t xml:space="preserve">TIS-005</t>
  </si>
  <si>
    <t xml:space="preserve">Record verified contact details for the managing team, including a security contact.</t>
  </si>
  <si>
    <t xml:space="preserve">Heading: Contact Information</t>
  </si>
  <si>
    <t xml:space="preserve">A.5.5</t>
  </si>
  <si>
    <t xml:space="preserve">Test contact channel response.</t>
  </si>
  <si>
    <t xml:space="preserve">TIS-006</t>
  </si>
  <si>
    <t xml:space="preserve">Maintain an allow-listed registry of official contract addresses per chain; reject unregistered contracts.</t>
  </si>
  <si>
    <t xml:space="preserve">Heading: Deployment Address</t>
  </si>
  <si>
    <t xml:space="preserve">Verify address registry against issuer-signed list and block explorers.</t>
  </si>
  <si>
    <t xml:space="preserve">TIS-007</t>
  </si>
  <si>
    <t xml:space="preserve">Classify each token as native, bridged or wrapped and assess the bridge/wrapper trust model.</t>
  </si>
  <si>
    <t xml:space="preserve">Heading: Is it native, bridged, wrapped?</t>
  </si>
  <si>
    <t xml:space="preserve">Review classification and bridge risk assessment.</t>
  </si>
  <si>
    <t xml:space="preserve">TIS-008</t>
  </si>
  <si>
    <t xml:space="preserve">Token behaviour</t>
  </si>
  <si>
    <t xml:space="preserve">Identify rebasing behaviour and adapt ledger/accounting (share-based balances) before integration.</t>
  </si>
  <si>
    <t xml:space="preserve">Heading: Token Rebasing</t>
  </si>
  <si>
    <t xml:space="preserve">A.8.25</t>
  </si>
  <si>
    <t xml:space="preserve">Test deposits/withdrawals across a rebase event on testnet.</t>
  </si>
  <si>
    <t xml:space="preserve">TIS-009</t>
  </si>
  <si>
    <t xml:space="preserve">Upgradability</t>
  </si>
  <si>
    <t xml:space="preserve">Record whether the contract is upgradeable (proxy pattern, admin) as a listing risk factor.</t>
  </si>
  <si>
    <t xml:space="preserve">Heading: Document Upgradability</t>
  </si>
  <si>
    <t xml:space="preserve">Inspect proxy storage slots / admin on-chain.</t>
  </si>
  <si>
    <t xml:space="preserve">TIS-010</t>
  </si>
  <si>
    <t xml:space="preserve">Market risk</t>
  </si>
  <si>
    <t xml:space="preserve">Obtain trading and TVL history since deployment for liquidity and manipulation risk review.</t>
  </si>
  <si>
    <t xml:space="preserve">Heading: Trading History</t>
  </si>
  <si>
    <t xml:space="preserve">Review market data analysis in listing memo.</t>
  </si>
  <si>
    <t xml:space="preserve">TIS-011</t>
  </si>
  <si>
    <t xml:space="preserve">Where minting/burning is supported, obtain and assess the automated price discovery mechanism.</t>
  </si>
  <si>
    <t xml:space="preserve">Heading: Price discovery mechanism</t>
  </si>
  <si>
    <t xml:space="preserve">Review economic analysis of price discovery.</t>
  </si>
  <si>
    <t xml:space="preserve">TIS-012</t>
  </si>
  <si>
    <t xml:space="preserve">For stablecoins, obtain and assess stabilisation/backing mechanism and attestations.</t>
  </si>
  <si>
    <t xml:space="preserve">Heading: Stablecoin Backing</t>
  </si>
  <si>
    <t xml:space="preserve">1.09</t>
  </si>
  <si>
    <t xml:space="preserve">Review reserve attestations and stabilisation mechanism analysis.</t>
  </si>
  <si>
    <t xml:space="preserve">TIS-013</t>
  </si>
  <si>
    <t xml:space="preserve">2. Governance</t>
  </si>
  <si>
    <t xml:space="preserve">Privileged roles</t>
  </si>
  <si>
    <t xml:space="preserve">Obtain documentation of token governance and a full list of privileged roles; verify against on-chain role assignments.</t>
  </si>
  <si>
    <t xml:space="preserve">BSSC TIS v1 — 2. Governance</t>
  </si>
  <si>
    <t xml:space="preserve">Heading: Governance (lead-in)</t>
  </si>
  <si>
    <t xml:space="preserve">Enumerate on-chain roles (e.g., AccessControl events) and reconcile.</t>
  </si>
  <si>
    <t xml:space="preserve">TIS-014</t>
  </si>
  <si>
    <t xml:space="preserve">Prefer tokens whose privileged roles are held by multisig (or MPC) rather than single EOAs; flag EOA-held admin as high risk.</t>
  </si>
  <si>
    <t xml:space="preserve">Heading: Decentralize Privileged Roles</t>
  </si>
  <si>
    <t xml:space="preserve">A.5.3</t>
  </si>
  <si>
    <t xml:space="preserve">Check role holders on-chain are contracts with threshold signing.</t>
  </si>
  <si>
    <t xml:space="preserve">TIS-015</t>
  </si>
  <si>
    <t xml:space="preserve">Critical actions</t>
  </si>
  <si>
    <t xml:space="preserve">Identify the parties/contracts controlling pause, allow/deny lists, upgrades, minting, burning on behalf of users and role management.</t>
  </si>
  <si>
    <t xml:space="preserve">Heading: Identify Parties Controlling Critical Actions</t>
  </si>
  <si>
    <t xml:space="preserve">Map each critical function to its controller on-chain.</t>
  </si>
  <si>
    <t xml:space="preserve">TIS-016</t>
  </si>
  <si>
    <t xml:space="preserve">Record multisig address, signer count, quorum and signer independence; monitor for signer/threshold changes.</t>
  </si>
  <si>
    <t xml:space="preserve">Heading: Document Multisig</t>
  </si>
  <si>
    <t xml:space="preserve">GV.RR-02; DE.CM-09</t>
  </si>
  <si>
    <t xml:space="preserve">Verify threshold on-chain; confirm alerting on owner/threshold changes.</t>
  </si>
  <si>
    <t xml:space="preserve">TIS-017</t>
  </si>
  <si>
    <t xml:space="preserve">Where a DAO controls critical functions, document controllers, proposal/voting process, parameters and any project override capability.</t>
  </si>
  <si>
    <t xml:space="preserve">Heading: Document DAO Governance</t>
  </si>
  <si>
    <t xml:space="preserve">Review DAO governance docs and on-chain governor parameters.</t>
  </si>
  <si>
    <t xml:space="preserve">TIS-018</t>
  </si>
  <si>
    <t xml:space="preserve">4. Upgradability</t>
  </si>
  <si>
    <t xml:space="preserve">Upgrade risk</t>
  </si>
  <si>
    <t xml:space="preserve">Prefer immutable token contracts; treat upgradeability as elevated risk requiring compensating controls.</t>
  </si>
  <si>
    <t xml:space="preserve">BSSC TIS v1 — 4. Upgradability</t>
  </si>
  <si>
    <t xml:space="preserve">Heading: Not upgradable</t>
  </si>
  <si>
    <t xml:space="preserve">Risk rating reflects upgradeability.</t>
  </si>
  <si>
    <t xml:space="preserve">TIS-019</t>
  </si>
  <si>
    <t xml:space="preserve">Upgrade documentation</t>
  </si>
  <si>
    <t xml:space="preserve">If upgradeable, require the full upgrade documentation set below before integration.</t>
  </si>
  <si>
    <t xml:space="preserve">Heading: Not upgradable (conditional lead-in)</t>
  </si>
  <si>
    <t xml:space="preserve">Listing due-diligence checklist: confirm all upgrade items present.</t>
  </si>
  <si>
    <t xml:space="preserve">TIS-020</t>
  </si>
  <si>
    <t xml:space="preserve">Identify which components are upgradeable.</t>
  </si>
  <si>
    <t xml:space="preserve">Heading: Document upgradable components</t>
  </si>
  <si>
    <t xml:space="preserve">Compare documentation with proxy/implementation inspection.</t>
  </si>
  <si>
    <t xml:space="preserve">TIS-021</t>
  </si>
  <si>
    <t xml:space="preserve">Determine whether holders can upgrade voluntarily and plan integrator handling.</t>
  </si>
  <si>
    <t xml:space="preserve">Heading: Can users upgrade voluntarily</t>
  </si>
  <si>
    <t xml:space="preserve">Review issuer statement.</t>
  </si>
  <si>
    <t xml:space="preserve">TIS-022</t>
  </si>
  <si>
    <t xml:space="preserve">Determine where upgrades are instant vs time-locked; require timelock for integrations where possible and monitor queued actions.</t>
  </si>
  <si>
    <t xml:space="preserve">Heading: Document Timelocks</t>
  </si>
  <si>
    <t xml:space="preserve">ID.RA-01; DE.CM-09</t>
  </si>
  <si>
    <t xml:space="preserve">Inspect timelock contract delay; verify monitoring of queued transactions.</t>
  </si>
  <si>
    <t xml:space="preserve">TIS-023</t>
  </si>
  <si>
    <t xml:space="preserve">Obtain the design logic of the upgrade mechanism.</t>
  </si>
  <si>
    <t xml:space="preserve">Heading: Document upgrade logic</t>
  </si>
  <si>
    <t xml:space="preserve">Review design doc.</t>
  </si>
  <si>
    <t xml:space="preserve">TIS-024</t>
  </si>
  <si>
    <t xml:space="preserve">Obtain how upgrades are approved and implemented (signers, reviews, audits).</t>
  </si>
  <si>
    <t xml:space="preserve">Heading: Document upgrade process</t>
  </si>
  <si>
    <t xml:space="preserve">Review upgrade approval process.</t>
  </si>
  <si>
    <t xml:space="preserve">TIS-025</t>
  </si>
  <si>
    <t xml:space="preserve">Establish an issuer→integrator channel for advance notice of upgrades.</t>
  </si>
  <si>
    <t xml:space="preserve">Heading: Document upgrade communication</t>
  </si>
  <si>
    <t xml:space="preserve">A.5.20</t>
  </si>
  <si>
    <t xml:space="preserve">Confirm notification channel and SLA in issuer agreement.</t>
  </si>
  <si>
    <t xml:space="preserve">TIS-026</t>
  </si>
  <si>
    <t xml:space="preserve">Determine whether the ERC-20 implementation is direct or behind a proxy.</t>
  </si>
  <si>
    <t xml:space="preserve">Heading: Document ERC-20 upgradability</t>
  </si>
  <si>
    <t xml:space="preserve">Bytecode/proxy inspection.</t>
  </si>
  <si>
    <t xml:space="preserve">TIS-027</t>
  </si>
  <si>
    <t xml:space="preserve">5. Security Posture</t>
  </si>
  <si>
    <t xml:space="preserve">Security posture</t>
  </si>
  <si>
    <t xml:space="preserve">Obtain issuer's vulnerability disclosure process, emergency contacts (responsiveness/availability) and disaster recovery plans.</t>
  </si>
  <si>
    <t xml:space="preserve">BSSC TIS v1 — 5. Security Posture</t>
  </si>
  <si>
    <t xml:space="preserve">Heading: Document Security Posture and Procedures</t>
  </si>
  <si>
    <t xml:space="preserve">GV.SC-06; RS.CO-02</t>
  </si>
  <si>
    <t xml:space="preserve">A.5.19; A.5.24</t>
  </si>
  <si>
    <t xml:space="preserve">Review documents; run test emergency contact.</t>
  </si>
  <si>
    <t xml:space="preserve">TIS-028</t>
  </si>
  <si>
    <t xml:space="preserve">Code assurance</t>
  </si>
  <si>
    <t xml:space="preserve">Require at least one independent security review of the currently deployed token code; verify deployed bytecode matches reviewed code.</t>
  </si>
  <si>
    <t xml:space="preserve">Heading: Contract Security Review</t>
  </si>
  <si>
    <t xml:space="preserve">ID.RA-01; GV.SC-07</t>
  </si>
  <si>
    <t xml:space="preserve">A.8.29</t>
  </si>
  <si>
    <t xml:space="preserve">Review audit report; diff audited commit vs verified source.</t>
  </si>
  <si>
    <t xml:space="preserve">TIS-029</t>
  </si>
  <si>
    <t xml:space="preserve">Prefer tokens with an EEA EthTrust Security Level [Q] conformance claim.</t>
  </si>
  <si>
    <t xml:space="preserve">Heading: Contract Security Review (EthTrust)</t>
  </si>
  <si>
    <t xml:space="preserve">GV.SC-07</t>
  </si>
  <si>
    <t xml:space="preserve">Check presence of EthTrust [Q] claim.</t>
  </si>
  <si>
    <t xml:space="preserve">TIS-030</t>
  </si>
  <si>
    <t xml:space="preserve">Prefer tokens that publish all security reviews.</t>
  </si>
  <si>
    <t xml:space="preserve">Heading: Contract Security Review (publish)</t>
  </si>
  <si>
    <t xml:space="preserve">Confirm public availability of reviews.</t>
  </si>
  <si>
    <t xml:space="preserve">TIS-031</t>
  </si>
  <si>
    <t xml:space="preserve">Vulnerability disclosure</t>
  </si>
  <si>
    <t xml:space="preserve">Prefer tokens with an active bug bounty programme.</t>
  </si>
  <si>
    <t xml:space="preserve">Heading: Bug Bounty</t>
  </si>
  <si>
    <t xml:space="preserve">ID.RA-08</t>
  </si>
  <si>
    <t xml:space="preserve">A.8.8</t>
  </si>
  <si>
    <t xml:space="preserve">Verify active bounty listing.</t>
  </si>
  <si>
    <t xml:space="preserve">TIS-032</t>
  </si>
  <si>
    <t xml:space="preserve">6. Token Behaviors</t>
  </si>
  <si>
    <t xml:space="preserve">Standard conformance</t>
  </si>
  <si>
    <t xml:space="preserve">Verify full ERC-20 interface implementation and return-value behaviour.</t>
  </si>
  <si>
    <t xml:space="preserve">BSSC TIS v1 — 6. Token Behaviors</t>
  </si>
  <si>
    <t xml:space="preserve">Heading: Implement ERC-20 methods</t>
  </si>
  <si>
    <t xml:space="preserve">PR.PS-06</t>
  </si>
  <si>
    <t xml:space="preserve">Automated interface/conformance tests on fork.</t>
  </si>
  <si>
    <t xml:space="preserve">TIS-033</t>
  </si>
  <si>
    <t xml:space="preserve">Event integrity</t>
  </si>
  <si>
    <t xml:space="preserve">Verify every balance change emits a Transfer event (mint from 0x0, burn to 0x0) so deposit indexers stay accurate.</t>
  </si>
  <si>
    <t xml:space="preserve">req-balance-changes-create-transfer-events</t>
  </si>
  <si>
    <t xml:space="preserve">PR.PS-06; DE.CM-09</t>
  </si>
  <si>
    <t xml:space="preserve">Fork tests reconcile balances against Transfer logs.</t>
  </si>
  <si>
    <t xml:space="preserve">TIS-034</t>
  </si>
  <si>
    <t xml:space="preserve">Accept optional Mint/Burn events; ensure indexers handle them without double counting.</t>
  </si>
  <si>
    <t xml:space="preserve">Heading: Supply Changes Create Mint or Burn Events</t>
  </si>
  <si>
    <t xml:space="preserve">Indexer test with mint/burn.</t>
  </si>
  <si>
    <t xml:space="preserve">TIS-035</t>
  </si>
  <si>
    <t xml:space="preserve">Code safety</t>
  </si>
  <si>
    <t xml:space="preserve">Verify conformance to EthTrust [S] No Overflow/Underflow.</t>
  </si>
  <si>
    <t xml:space="preserve">Heading: No over/underflow</t>
  </si>
  <si>
    <t xml:space="preserve">A.8.28</t>
  </si>
  <si>
    <t xml:space="preserve">Audit evidence / static analysis (e.g., Slither).</t>
  </si>
  <si>
    <t xml:space="preserve">TIS-036</t>
  </si>
  <si>
    <t xml:space="preserve">Verify conformance to EthTrust [S] Check-Effects-Interactions.</t>
  </si>
  <si>
    <t xml:space="preserve">Heading: Implement C-E-I</t>
  </si>
  <si>
    <t xml:space="preserve">Audit evidence / static analysis.</t>
  </si>
  <si>
    <t xml:space="preserve">TIS-037</t>
  </si>
  <si>
    <t xml:space="preserve">Prefer tokens without fallback functions.</t>
  </si>
  <si>
    <t xml:space="preserve">Heading: No fallback function</t>
  </si>
  <si>
    <t xml:space="preserve">ABI/bytecode review.</t>
  </si>
  <si>
    <t xml:space="preserve">TIS-038</t>
  </si>
  <si>
    <t xml:space="preserve">If a fallback exists, obtain documentation of when it reverts.</t>
  </si>
  <si>
    <t xml:space="preserve">Heading: No fallback function (if present)</t>
  </si>
  <si>
    <t xml:space="preserve">Review documentation; fork test.</t>
  </si>
  <si>
    <t xml:space="preserve">TIS-039</t>
  </si>
  <si>
    <t xml:space="preserve">Reject tokens implementing transfer hooks or hooks on any method (e.g., ERC-777-style callbacks).</t>
  </si>
  <si>
    <t xml:space="preserve">Heading: No transfer or method hooks</t>
  </si>
  <si>
    <t xml:space="preserve">Code review for hooks/callbacks.</t>
  </si>
  <si>
    <t xml:space="preserve">TIS-040</t>
  </si>
  <si>
    <t xml:space="preserve">Verify conformance to EthTrust [S] No tx.origin.</t>
  </si>
  <si>
    <t xml:space="preserve">Heading: No tx.origin</t>
  </si>
  <si>
    <t xml:space="preserve">Static analysis for tx.origin.</t>
  </si>
  <si>
    <t xml:space="preserve">TIS-041</t>
  </si>
  <si>
    <t xml:space="preserve">Reject non-standard transaction signatures unless independently audited.</t>
  </si>
  <si>
    <t xml:space="preserve">Heading: Use standard signatures</t>
  </si>
  <si>
    <t xml:space="preserve">ABI review.</t>
  </si>
  <si>
    <t xml:space="preserve">TIS-042</t>
  </si>
  <si>
    <t xml:space="preserve">If non-standard signatures are used, require audit evidence covering them.</t>
  </si>
  <si>
    <t xml:space="preserve">Heading: Use standard signatures (audited)</t>
  </si>
  <si>
    <t xml:space="preserve">Review audit scope.</t>
  </si>
  <si>
    <t xml:space="preserve">TIS-043</t>
  </si>
  <si>
    <t xml:space="preserve">Arithmetic</t>
  </si>
  <si>
    <t xml:space="preserve">Prefer tokens not using 96-bit integer math.</t>
  </si>
  <si>
    <t xml:space="preserve">Heading: No 96-bit integer operations</t>
  </si>
  <si>
    <t xml:space="preserve">Code review.</t>
  </si>
  <si>
    <t xml:space="preserve">TIS-044</t>
  </si>
  <si>
    <t xml:space="preserve">Obtain documented integer size for math operations; align integrator precision handling.</t>
  </si>
  <si>
    <t xml:space="preserve">Heading: Specified integer size</t>
  </si>
  <si>
    <t xml:space="preserve">Review documentation and decimals handling tests.</t>
  </si>
  <si>
    <t xml:space="preserve">TIS-045</t>
  </si>
  <si>
    <t xml:space="preserve">If 96-bit integers are used, require documentation and evidence of precision/overflow protections.</t>
  </si>
  <si>
    <t xml:space="preserve">Heading: Specified integer size (96-bit)</t>
  </si>
  <si>
    <t xml:space="preserve">Review documentation and tests.</t>
  </si>
  <si>
    <t xml:space="preserve">TIS-046</t>
  </si>
  <si>
    <t xml:space="preserve">Transfer limits</t>
  </si>
  <si>
    <t xml:space="preserve">Obtain and configure per-user per-timeframe transaction limits in integrator systems.</t>
  </si>
  <si>
    <t xml:space="preserve">Heading: Specify transaction limits</t>
  </si>
  <si>
    <t xml:space="preserve">Fork test against stated limits.</t>
  </si>
  <si>
    <t xml:space="preserve">TIS-047</t>
  </si>
  <si>
    <t xml:space="preserve">Obtain and configure per-transaction amount thresholds.</t>
  </si>
  <si>
    <t xml:space="preserve">Heading: Define transaction size limits</t>
  </si>
  <si>
    <t xml:space="preserve">Fork test against stated thresholds.</t>
  </si>
  <si>
    <t xml:space="preserve">TIS-048</t>
  </si>
  <si>
    <t xml:space="preserve">Blocklist/freeze</t>
  </si>
  <si>
    <t xml:space="preserve">Verify transfers from blocked/frozen addresses revert.</t>
  </si>
  <si>
    <t xml:space="preserve">Heading: Restrict Transfers from Blocked or Frozen Accounts</t>
  </si>
  <si>
    <t xml:space="preserve">Fork test transfer from blocked address.</t>
  </si>
  <si>
    <t xml:space="preserve">TIS-049</t>
  </si>
  <si>
    <t xml:space="preserve">Verify transactions interacting with blocked accounts revert with a clear error; map errors in integrator handling.</t>
  </si>
  <si>
    <t xml:space="preserve">Heading: Revert Blocked Transfers</t>
  </si>
  <si>
    <t xml:space="preserve">Fork test; inspect revert reason.</t>
  </si>
  <si>
    <t xml:space="preserve">TIS-050</t>
  </si>
  <si>
    <t xml:space="preserve">Determine whether blocked addresses can receive deposits; prevent customer sends to frozen addresses.</t>
  </si>
  <si>
    <t xml:space="preserve">Heading: Document Whether Blocked Accounts Can Receive Transfers</t>
  </si>
  <si>
    <t xml:space="preserve">KMS-001</t>
  </si>
  <si>
    <t xml:space="preserve">§5 General Requirements</t>
  </si>
  <si>
    <t xml:space="preserve">Change management</t>
  </si>
  <si>
    <t xml:space="preserve">Enforce a formal change management process for every key management component (HSMs, MPC nodes, policy engines, signing services).</t>
  </si>
  <si>
    <t xml:space="preserve">BSSC KMS v1 — §5 General Requirements</t>
  </si>
  <si>
    <t xml:space="preserve">KMS-GEN-01 (assigned; spec has no IDs)</t>
  </si>
  <si>
    <t xml:space="preserve">All key holders (Custodian/Exchange, Node operator, Protocol/admin keys)</t>
  </si>
  <si>
    <t xml:space="preserve">PR.PS-01; ID.IM-03</t>
  </si>
  <si>
    <t xml:space="preserve">Sample changes: ticket, approval, test evidence.</t>
  </si>
  <si>
    <t xml:space="preserve">KMS-002</t>
  </si>
  <si>
    <t xml:space="preserve">Keep an audit trail of every change naming proposer and approver(s).</t>
  </si>
  <si>
    <t xml:space="preserve">KMS-GEN-02 (assigned; spec has no IDs)</t>
  </si>
  <si>
    <t xml:space="preserve">A.8.32; A.8.15</t>
  </si>
  <si>
    <t xml:space="preserve">Inspect change records for proposer/approver identity.</t>
  </si>
  <si>
    <t xml:space="preserve">KMS-003</t>
  </si>
  <si>
    <t xml:space="preserve">Require at least one proposer and one distinct approver for every change (four-eyes).</t>
  </si>
  <si>
    <t xml:space="preserve">KMS-GEN-03 (assigned; spec has no IDs)</t>
  </si>
  <si>
    <t xml:space="preserve">Verify tooling blocks self-approval.</t>
  </si>
  <si>
    <t xml:space="preserve">KMS-004</t>
  </si>
  <si>
    <t xml:space="preserve">Separation of duties</t>
  </si>
  <si>
    <t xml:space="preserve">Technically enforce that no single individual can cause key misuse or destruction (quorum, MPC thresholds, policy engines).</t>
  </si>
  <si>
    <t xml:space="preserve">KMS-GEN-04 (assigned; spec has no IDs)</t>
  </si>
  <si>
    <t xml:space="preserve">1.04; 1.06</t>
  </si>
  <si>
    <t xml:space="preserve">Attempt single-actor critical action in test; review threshold configs.</t>
  </si>
  <si>
    <t xml:space="preserve">KMS-005</t>
  </si>
  <si>
    <t xml:space="preserve">Test all changes in a non-production environment before activation.</t>
  </si>
  <si>
    <t xml:space="preserve">KMS-GEN-05 (assigned; spec has no IDs)</t>
  </si>
  <si>
    <t xml:space="preserve">A.8.31; A.8.32</t>
  </si>
  <si>
    <t xml:space="preserve">Trace changes to test evidence.</t>
  </si>
  <si>
    <t xml:space="preserve">KMS-006</t>
  </si>
  <si>
    <t xml:space="preserve">Auditability</t>
  </si>
  <si>
    <t xml:space="preserve">Ensure every key management component is auditable.</t>
  </si>
  <si>
    <t xml:space="preserve">KMS-GEN-06 (assigned; spec has no IDs)</t>
  </si>
  <si>
    <t xml:space="preserve">Confirm logging coverage inventory.</t>
  </si>
  <si>
    <t xml:space="preserve">KMS-007</t>
  </si>
  <si>
    <t xml:space="preserve">Record when Critical Actions occur and who authorised/executed them.</t>
  </si>
  <si>
    <t xml:space="preserve">KMS-GEN-07 (assigned; spec has no IDs)</t>
  </si>
  <si>
    <t xml:space="preserve">PR.PS-04; DE.CM-03</t>
  </si>
  <si>
    <t xml:space="preserve">Sample Critical Action log entries.</t>
  </si>
  <si>
    <t xml:space="preserve">KMS-008</t>
  </si>
  <si>
    <t xml:space="preserve">Never write key material, seeds, shares or sensitive values to logs; scan logs for secrets.</t>
  </si>
  <si>
    <t xml:space="preserve">KMS-GEN-08 (assigned; spec has no IDs)</t>
  </si>
  <si>
    <t xml:space="preserve">Secret-scan log stores.</t>
  </si>
  <si>
    <t xml:space="preserve">KMS-009</t>
  </si>
  <si>
    <t xml:space="preserve">Procedures</t>
  </si>
  <si>
    <t xml:space="preserve">Document non-digital (ceremony, physical) processes as transparent, repeatable procedures.</t>
  </si>
  <si>
    <t xml:space="preserve">KMS-GEN-09 (assigned; spec has no IDs)</t>
  </si>
  <si>
    <t xml:space="preserve">1.01</t>
  </si>
  <si>
    <t xml:space="preserve">Review ceremony scripts.</t>
  </si>
  <si>
    <t xml:space="preserve">KMS-010</t>
  </si>
  <si>
    <t xml:space="preserve">Protect audit logs from tampering and unauthorised access (WORM, hash-chaining, RBAC).</t>
  </si>
  <si>
    <t xml:space="preserve">KMS-GEN-10 (assigned; spec has no IDs)</t>
  </si>
  <si>
    <t xml:space="preserve">Verify immutability settings and access lists.</t>
  </si>
  <si>
    <t xml:space="preserve">KMS-011</t>
  </si>
  <si>
    <t xml:space="preserve">Monitoring</t>
  </si>
  <si>
    <t xml:space="preserve">Monitor and alert on incidents and abnormal behaviour for automated key components.</t>
  </si>
  <si>
    <t xml:space="preserve">KMS-GEN-11 (assigned; spec has no IDs)</t>
  </si>
  <si>
    <t xml:space="preserve">DE.CM-09; DE.AE-02</t>
  </si>
  <si>
    <t xml:space="preserve">Review alert rules and recent alert handling.</t>
  </si>
  <si>
    <t xml:space="preserve">KMS-012</t>
  </si>
  <si>
    <t xml:space="preserve">Apply least privilege across all key management components.</t>
  </si>
  <si>
    <t xml:space="preserve">KMS-GEN-12 (assigned; spec has no IDs)</t>
  </si>
  <si>
    <t xml:space="preserve">A.8.2; A.5.15</t>
  </si>
  <si>
    <t xml:space="preserve">Access review sample.</t>
  </si>
  <si>
    <t xml:space="preserve">KMS-013</t>
  </si>
  <si>
    <t xml:space="preserve">Catalogue holders of Privileged Role keys and analyse for excessive access concentration.</t>
  </si>
  <si>
    <t xml:space="preserve">KMS-GEN-13 (assigned; spec has no IDs)</t>
  </si>
  <si>
    <t xml:space="preserve">ID.AM-05; PR.AA-05</t>
  </si>
  <si>
    <t xml:space="preserve">A.5.18</t>
  </si>
  <si>
    <t xml:space="preserve">Review privileged key-holder register.</t>
  </si>
  <si>
    <t xml:space="preserve">KMS-014</t>
  </si>
  <si>
    <t xml:space="preserve">Review key management access controls regularly (at least semi-annually for privileged access).</t>
  </si>
  <si>
    <t xml:space="preserve">KMS-GEN-14 (assigned; spec has no IDs)</t>
  </si>
  <si>
    <t xml:space="preserve">Review evidence of completed access reviews.</t>
  </si>
  <si>
    <t xml:space="preserve">KMS-015</t>
  </si>
  <si>
    <t xml:space="preserve">Threat modelling</t>
  </si>
  <si>
    <t xml:space="preserve">Maintain a threat model covering online and offline key components.</t>
  </si>
  <si>
    <t xml:space="preserve">KMS-GEN-15 (assigned; spec has no IDs)</t>
  </si>
  <si>
    <t xml:space="preserve">ID.RA-03</t>
  </si>
  <si>
    <t xml:space="preserve">A.5.7; A.8.27</t>
  </si>
  <si>
    <t xml:space="preserve">Review threat model currency.</t>
  </si>
  <si>
    <t xml:space="preserve">KMS-016</t>
  </si>
  <si>
    <t xml:space="preserve">Ensure the threat model identifies threats and vulnerabilities.</t>
  </si>
  <si>
    <t xml:space="preserve">KMS-GEN-16 (assigned; spec has no IDs)</t>
  </si>
  <si>
    <t xml:space="preserve">A.8.27</t>
  </si>
  <si>
    <t xml:space="preserve">Threat model content review.</t>
  </si>
  <si>
    <t xml:space="preserve">KMS-017</t>
  </si>
  <si>
    <t xml:space="preserve">Ensure the threat model recommends controls and tracks implementation status.</t>
  </si>
  <si>
    <t xml:space="preserve">KMS-GEN-17 (assigned; spec has no IDs)</t>
  </si>
  <si>
    <t xml:space="preserve">ID.RA-06</t>
  </si>
  <si>
    <t xml:space="preserve">Trace threats to control status.</t>
  </si>
  <si>
    <t xml:space="preserve">KMS-018</t>
  </si>
  <si>
    <t xml:space="preserve">Periodically test threats and controls via audits and penetration tests.</t>
  </si>
  <si>
    <t xml:space="preserve">KMS-GEN-18 (assigned; spec has no IDs)</t>
  </si>
  <si>
    <t xml:space="preserve">ID.IM-02</t>
  </si>
  <si>
    <t xml:space="preserve">1.07</t>
  </si>
  <si>
    <t xml:space="preserve">Review pentest/audit reports.</t>
  </si>
  <si>
    <t xml:space="preserve">KMS-019</t>
  </si>
  <si>
    <t xml:space="preserve">Maintain an incident response plan covering the full key management process.</t>
  </si>
  <si>
    <t xml:space="preserve">KMS-GEN-19 (assigned; spec has no IDs)</t>
  </si>
  <si>
    <t xml:space="preserve">Review IRP scope.</t>
  </si>
  <si>
    <t xml:space="preserve">KMS-020</t>
  </si>
  <si>
    <t xml:space="preserve">Include guidance for elevated risk and for actual key misuse or destruction in the IRP.</t>
  </si>
  <si>
    <t xml:space="preserve">KMS-GEN-20 (assigned; spec has no IDs)</t>
  </si>
  <si>
    <t xml:space="preserve">A.5.24; A.5.26</t>
  </si>
  <si>
    <t xml:space="preserve">Review key-compromise playbook.</t>
  </si>
  <si>
    <t xml:space="preserve">KMS-021</t>
  </si>
  <si>
    <t xml:space="preserve">Enable immediate deactivation of critical automated key components (kill switch).</t>
  </si>
  <si>
    <t xml:space="preserve">KMS-GEN-21 (assigned; spec has no IDs)</t>
  </si>
  <si>
    <t xml:space="preserve">RS.MI-01</t>
  </si>
  <si>
    <t xml:space="preserve">Test kill-switch in tabletop/drill.</t>
  </si>
  <si>
    <t xml:space="preserve">KMS-022</t>
  </si>
  <si>
    <t xml:space="preserve">Enable immediate revocation of physical/local and network/remote access.</t>
  </si>
  <si>
    <t xml:space="preserve">KMS-GEN-22 (assigned; spec has no IDs)</t>
  </si>
  <si>
    <t xml:space="preserve">A.5.18; A.7.2</t>
  </si>
  <si>
    <t xml:space="preserve">Drill access revocation timing.</t>
  </si>
  <si>
    <t xml:space="preserve">KMS-023</t>
  </si>
  <si>
    <t xml:space="preserve">Include notification of affected parties and regulators where required.</t>
  </si>
  <si>
    <t xml:space="preserve">KMS-GEN-23 (assigned; spec has no IDs)</t>
  </si>
  <si>
    <t xml:space="preserve">RS.CO-02</t>
  </si>
  <si>
    <t xml:space="preserve">A.5.26; A.5.31</t>
  </si>
  <si>
    <t xml:space="preserve">Review notification matrix.</t>
  </si>
  <si>
    <t xml:space="preserve">KMS-024</t>
  </si>
  <si>
    <t xml:space="preserve">Compromise handling</t>
  </si>
  <si>
    <t xml:space="preserve">Immediately remove suspected/known compromised keys from active use.</t>
  </si>
  <si>
    <t xml:space="preserve">KMS-GEN-24 (assigned; spec has no IDs)</t>
  </si>
  <si>
    <t xml:space="preserve">Review compromise procedure; drill evidence.</t>
  </si>
  <si>
    <t xml:space="preserve">KMS-025</t>
  </si>
  <si>
    <t xml:space="preserve">Promptly retire suspected/known compromised keys (sweep funds, revoke roles).</t>
  </si>
  <si>
    <t xml:space="preserve">KMS-GEN-25 (assigned; spec has no IDs)</t>
  </si>
  <si>
    <t xml:space="preserve">RS.MI-02</t>
  </si>
  <si>
    <t xml:space="preserve">Review sweep/rotation runbook.</t>
  </si>
  <si>
    <t xml:space="preserve">KMS-026</t>
  </si>
  <si>
    <t xml:space="preserve">Promptly retire keys at increased risk of compromise.</t>
  </si>
  <si>
    <t xml:space="preserve">KMS-GEN-26 (assigned; spec has no IDs)</t>
  </si>
  <si>
    <t xml:space="preserve">Review risk-triggered retirements.</t>
  </si>
  <si>
    <t xml:space="preserve">KMS-027</t>
  </si>
  <si>
    <t xml:space="preserve">Backup &amp; recovery</t>
  </si>
  <si>
    <t xml:space="preserve">Implement and regularly test a key backup and recovery strategy.</t>
  </si>
  <si>
    <t xml:space="preserve">KMS-GEN-27 (assigned; spec has no IDs)</t>
  </si>
  <si>
    <t xml:space="preserve">PR.DS-11; RC.RP-03</t>
  </si>
  <si>
    <t xml:space="preserve">A.8.13</t>
  </si>
  <si>
    <t xml:space="preserve">Witness recovery test from backup.</t>
  </si>
  <si>
    <t xml:space="preserve">KMS-028</t>
  </si>
  <si>
    <t xml:space="preserve">Document backup and recovery procedures.</t>
  </si>
  <si>
    <t xml:space="preserve">KMS-GEN-28 (assigned; spec has no IDs)</t>
  </si>
  <si>
    <t xml:space="preserve">PR.DS-11</t>
  </si>
  <si>
    <t xml:space="preserve">Review procedures.</t>
  </si>
  <si>
    <t xml:space="preserve">KMS-029</t>
  </si>
  <si>
    <t xml:space="preserve">Keep backup/recovery systems separate from primary systems.</t>
  </si>
  <si>
    <t xml:space="preserve">KMS-GEN-29 (assigned; spec has no IDs)</t>
  </si>
  <si>
    <t xml:space="preserve">Architecture review.</t>
  </si>
  <si>
    <t xml:space="preserve">KMS-030</t>
  </si>
  <si>
    <t xml:space="preserve">Protect backups to the same security standard as primary systems (encryption, access, physical).</t>
  </si>
  <si>
    <t xml:space="preserve">KMS-GEN-30 (assigned; spec has no IDs)</t>
  </si>
  <si>
    <t xml:space="preserve">Inspect backup storage controls.</t>
  </si>
  <si>
    <t xml:space="preserve">KMS-031</t>
  </si>
  <si>
    <t xml:space="preserve">Use 3-2-1 style backups with geographically separate, access-controlled locations.</t>
  </si>
  <si>
    <t xml:space="preserve">KMS-GEN-31 (assigned; spec has no IDs)</t>
  </si>
  <si>
    <t xml:space="preserve">A.8.13; A.7.8</t>
  </si>
  <si>
    <t xml:space="preserve">Review backup location inventory.</t>
  </si>
  <si>
    <t xml:space="preserve">KMS-032</t>
  </si>
  <si>
    <t xml:space="preserve">Disaster recovery</t>
  </si>
  <si>
    <t xml:space="preserve">Maintain a disaster recovery plan for the full key management process.</t>
  </si>
  <si>
    <t xml:space="preserve">KMS-GEN-32 (assigned; spec has no IDs)</t>
  </si>
  <si>
    <t xml:space="preserve">RC.RP-01</t>
  </si>
  <si>
    <t xml:space="preserve">Review DR plan.</t>
  </si>
  <si>
    <t xml:space="preserve">KMS-033</t>
  </si>
  <si>
    <t xml:space="preserve">Define redundancy for any component whose loss could cause key misuse or destruction.</t>
  </si>
  <si>
    <t xml:space="preserve">KMS-GEN-33 (assigned; spec has no IDs)</t>
  </si>
  <si>
    <t xml:space="preserve">Review redundancy design.</t>
  </si>
  <si>
    <t xml:space="preserve">KMS-034</t>
  </si>
  <si>
    <t xml:space="preserve">Provide geographic redundancy for those components.</t>
  </si>
  <si>
    <t xml:space="preserve">KMS-GEN-34 (assigned; spec has no IDs)</t>
  </si>
  <si>
    <t xml:space="preserve">Review site inventory.</t>
  </si>
  <si>
    <t xml:space="preserve">KMS-035</t>
  </si>
  <si>
    <t xml:space="preserve">Exercise the DR plan on a regular cadence.</t>
  </si>
  <si>
    <t xml:space="preserve">KMS-GEN-35 (assigned; spec has no IDs)</t>
  </si>
  <si>
    <t xml:space="preserve">RC.RP-01; ID.IM-02</t>
  </si>
  <si>
    <t xml:space="preserve">Review DR exercise reports.</t>
  </si>
  <si>
    <t xml:space="preserve">KMS-036</t>
  </si>
  <si>
    <t xml:space="preserve">Threat-model the DR infrastructure itself.</t>
  </si>
  <si>
    <t xml:space="preserve">KMS-GEN-36 (assigned; spec has no IDs)</t>
  </si>
  <si>
    <t xml:space="preserve">Review DR threat model.</t>
  </si>
  <si>
    <t xml:space="preserve">KMS-037</t>
  </si>
  <si>
    <t xml:space="preserve">Platform hardening</t>
  </si>
  <si>
    <t xml:space="preserve">Dedicate hardware solely to key management.</t>
  </si>
  <si>
    <t xml:space="preserve">KMS-GEN-37 (assigned; spec has no IDs)</t>
  </si>
  <si>
    <t xml:space="preserve">Asset inventory review.</t>
  </si>
  <si>
    <t xml:space="preserve">KMS-038</t>
  </si>
  <si>
    <t xml:space="preserve">Restrict key management hardware to the minimal feature set (disable unused ports/radios).</t>
  </si>
  <si>
    <t xml:space="preserve">KMS-GEN-38 (assigned; spec has no IDs)</t>
  </si>
  <si>
    <t xml:space="preserve">Hardening baseline review.</t>
  </si>
  <si>
    <t xml:space="preserve">KMS-039</t>
  </si>
  <si>
    <t xml:space="preserve">Run key management software in a dedicated environment.</t>
  </si>
  <si>
    <t xml:space="preserve">KMS-GEN-39 (assigned; spec has no IDs)</t>
  </si>
  <si>
    <t xml:space="preserve">A.8.22</t>
  </si>
  <si>
    <t xml:space="preserve">KMS-040</t>
  </si>
  <si>
    <t xml:space="preserve">Minimise state, code and dependencies of key management software.</t>
  </si>
  <si>
    <t xml:space="preserve">KMS-GEN-40 (assigned; spec has no IDs)</t>
  </si>
  <si>
    <t xml:space="preserve">A.8.9; A.8.28</t>
  </si>
  <si>
    <t xml:space="preserve">SBOM review.</t>
  </si>
  <si>
    <t xml:space="preserve">KMS-041</t>
  </si>
  <si>
    <t xml:space="preserve">Cryptographic code</t>
  </si>
  <si>
    <t xml:space="preserve">Vet cryptographic code via review, audit, testing, fuzzing or formal verification before use.</t>
  </si>
  <si>
    <t xml:space="preserve">KMS-GEN-41 (assigned; spec has no IDs)</t>
  </si>
  <si>
    <t xml:space="preserve">PR.PS-06; GV.SC-07</t>
  </si>
  <si>
    <t xml:space="preserve">A.8.24; A.8.29</t>
  </si>
  <si>
    <t xml:space="preserve">Review crypto library assurance evidence.</t>
  </si>
  <si>
    <t xml:space="preserve">KMS-042</t>
  </si>
  <si>
    <t xml:space="preserve">Prefer mature, maintained open-source cryptographic libraries.</t>
  </si>
  <si>
    <t xml:space="preserve">KMS-GEN-42 (assigned; spec has no IDs)</t>
  </si>
  <si>
    <t xml:space="preserve">Dependency review.</t>
  </si>
  <si>
    <t xml:space="preserve">KMS-043</t>
  </si>
  <si>
    <t xml:space="preserve">Restrict key access by role/responsibility to authorised personnel only.</t>
  </si>
  <si>
    <t xml:space="preserve">KMS-GEN-43 (assigned; spec has no IDs)</t>
  </si>
  <si>
    <t xml:space="preserve">A.5.15; A.8.2</t>
  </si>
  <si>
    <t xml:space="preserve">RBAC review.</t>
  </si>
  <si>
    <t xml:space="preserve">KMS-044</t>
  </si>
  <si>
    <t xml:space="preserve">Ensure keys controlling Critical Actions cannot be accessed unilaterally by one person.</t>
  </si>
  <si>
    <t xml:space="preserve">KMS-GEN-44 (assigned; spec has no IDs)</t>
  </si>
  <si>
    <t xml:space="preserve">Review M-of-N / MPC policies.</t>
  </si>
  <si>
    <t xml:space="preserve">KMS-045</t>
  </si>
  <si>
    <t xml:space="preserve">Key material</t>
  </si>
  <si>
    <t xml:space="preserve">Protect Private Key Material (shares, seeds) to the same standard as full private keys.</t>
  </si>
  <si>
    <t xml:space="preserve">KMS-GEN-45 (assigned; spec has no IDs)</t>
  </si>
  <si>
    <t xml:space="preserve">Inspect share storage controls.</t>
  </si>
  <si>
    <t xml:space="preserve">KMS-046</t>
  </si>
  <si>
    <t xml:space="preserve">§6 Key Generation</t>
  </si>
  <si>
    <t xml:space="preserve">Generation ceremony</t>
  </si>
  <si>
    <t xml:space="preserve">Conduct key generation ceremonies (automated, manual or mixed) with future key users and auditors present as appropriate.</t>
  </si>
  <si>
    <t xml:space="preserve">BSSC KMS v1 — §6 Key Generation</t>
  </si>
  <si>
    <t xml:space="preserve">KMS-KG-01 (assigned; spec has no IDs)</t>
  </si>
  <si>
    <t xml:space="preserve">PR.AA-01</t>
  </si>
  <si>
    <t xml:space="preserve">1.01; 1.02</t>
  </si>
  <si>
    <t xml:space="preserve">Review ceremony attendance records.</t>
  </si>
  <si>
    <t xml:space="preserve">KMS-047</t>
  </si>
  <si>
    <t xml:space="preserve">Secure generation</t>
  </si>
  <si>
    <t xml:space="preserve">Generate keys only in secure environments (HSM, air-gapped, attested enclave).</t>
  </si>
  <si>
    <t xml:space="preserve">KMS-KG-02 (assigned; spec has no IDs)</t>
  </si>
  <si>
    <t xml:space="preserve">Ceremony evidence; environment attestation.</t>
  </si>
  <si>
    <t xml:space="preserve">KMS-048</t>
  </si>
  <si>
    <t xml:space="preserve">Use secure algorithms, appropriate key sizes and strong RNGs.</t>
  </si>
  <si>
    <t xml:space="preserve">KMS-KG-03 (assigned; spec has no IDs)</t>
  </si>
  <si>
    <t xml:space="preserve">Crypto config review.</t>
  </si>
  <si>
    <t xml:space="preserve">KMS-049</t>
  </si>
  <si>
    <t xml:space="preserve">Entropy</t>
  </si>
  <si>
    <t xml:space="preserve">Ensure randomness sources provide sufficient entropy (outputs indistinguishable from random).</t>
  </si>
  <si>
    <t xml:space="preserve">KMS-KG-04 (assigned; spec has no IDs)</t>
  </si>
  <si>
    <t xml:space="preserve">RNG validation (e.g., NIST SP 800-90B evidence).</t>
  </si>
  <si>
    <t xml:space="preserve">KMS-050</t>
  </si>
  <si>
    <t xml:space="preserve">Use hardware RNGs as entropy sources.</t>
  </si>
  <si>
    <t xml:space="preserve">KMS-KG-05 (assigned; spec has no IDs)</t>
  </si>
  <si>
    <t xml:space="preserve">HSM/TRNG specification review.</t>
  </si>
  <si>
    <t xml:space="preserve">KMS-051</t>
  </si>
  <si>
    <t xml:space="preserve">Distributed generation</t>
  </si>
  <si>
    <t xml:space="preserve">Hold every participant in multisig/MPC/DKG generation to the same generation standards.</t>
  </si>
  <si>
    <t xml:space="preserve">KMS-KG-06 (assigned; spec has no IDs)</t>
  </si>
  <si>
    <t xml:space="preserve">PR.DS-01; GV.SC-05</t>
  </si>
  <si>
    <t xml:space="preserve">Review participant environments.</t>
  </si>
  <si>
    <t xml:space="preserve">KMS-052</t>
  </si>
  <si>
    <t xml:space="preserve">§6 Key Derivation</t>
  </si>
  <si>
    <t xml:space="preserve">Password-based derivation</t>
  </si>
  <si>
    <t xml:space="preserve">Use a well-established KDF (Argon2id, scrypt, PBKDF2) for password-derived keys.</t>
  </si>
  <si>
    <t xml:space="preserve">BSSC KMS v1 — §6 Key Derivation</t>
  </si>
  <si>
    <t xml:space="preserve">KMS-KD-01 (assigned; spec has no IDs)</t>
  </si>
  <si>
    <t xml:space="preserve">Config/code review.</t>
  </si>
  <si>
    <t xml:space="preserve">KMS-053</t>
  </si>
  <si>
    <t xml:space="preserve">HD wallets</t>
  </si>
  <si>
    <t xml:space="preserve">Derive HD child keys per applicable standards (BIP-32/39/44).</t>
  </si>
  <si>
    <t xml:space="preserve">KMS-KD-02 (assigned; spec has no IDs)</t>
  </si>
  <si>
    <t xml:space="preserve">1.02</t>
  </si>
  <si>
    <t xml:space="preserve">Derivation path test vectors.</t>
  </si>
  <si>
    <t xml:space="preserve">KMS-054</t>
  </si>
  <si>
    <t xml:space="preserve">Use hardened derivation where appropriate.</t>
  </si>
  <si>
    <t xml:space="preserve">KMS-KD-03 (assigned; spec has no IDs)</t>
  </si>
  <si>
    <t xml:space="preserve">Path review.</t>
  </si>
  <si>
    <t xml:space="preserve">KMS-055</t>
  </si>
  <si>
    <t xml:space="preserve">Salting</t>
  </si>
  <si>
    <t xml:space="preserve">Use unique salts where source secret entropy is below derived-key requirements.</t>
  </si>
  <si>
    <t xml:space="preserve">KMS-KD-04 (assigned; spec has no IDs)</t>
  </si>
  <si>
    <t xml:space="preserve">KMS-056</t>
  </si>
  <si>
    <t xml:space="preserve">Ensure passwords/shared secrets carry at least the derived key's entropy.</t>
  </si>
  <si>
    <t xml:space="preserve">KMS-KD-05 (assigned; spec has no IDs)</t>
  </si>
  <si>
    <t xml:space="preserve">A.8.24; A.5.17</t>
  </si>
  <si>
    <t xml:space="preserve">Policy review.</t>
  </si>
  <si>
    <t xml:space="preserve">KMS-057</t>
  </si>
  <si>
    <t xml:space="preserve">Mandate full entropy for any secret that can cause a blockchain state change.</t>
  </si>
  <si>
    <t xml:space="preserve">KMS-KD-06 (assigned; spec has no IDs)</t>
  </si>
  <si>
    <t xml:space="preserve">Policy and generation review.</t>
  </si>
  <si>
    <t xml:space="preserve">KMS-058</t>
  </si>
  <si>
    <t xml:space="preserve">Domain separation</t>
  </si>
  <si>
    <t xml:space="preserve">Use context labels when deriving multiple keys from one secret.</t>
  </si>
  <si>
    <t xml:space="preserve">KMS-KD-07 (assigned; spec has no IDs)</t>
  </si>
  <si>
    <t xml:space="preserve">KMS-059</t>
  </si>
  <si>
    <t xml:space="preserve">KDF selection</t>
  </si>
  <si>
    <t xml:space="preserve">Follow NIST SP 800-108 for KDF selection and use.</t>
  </si>
  <si>
    <t xml:space="preserve">KMS-KD-08 (assigned; spec has no IDs)</t>
  </si>
  <si>
    <t xml:space="preserve">Design review.</t>
  </si>
  <si>
    <t xml:space="preserve">KMS-060</t>
  </si>
  <si>
    <t xml:space="preserve">§6 Key Storage</t>
  </si>
  <si>
    <t xml:space="preserve">Encryption at rest</t>
  </si>
  <si>
    <t xml:space="preserve">Store all keys encrypted at rest.</t>
  </si>
  <si>
    <t xml:space="preserve">BSSC KMS v1 — §6 Key Storage</t>
  </si>
  <si>
    <t xml:space="preserve">KMS-KS-01 (assigned; spec has no IDs)</t>
  </si>
  <si>
    <t xml:space="preserve">Storage inspection.</t>
  </si>
  <si>
    <t xml:space="preserve">KMS-061</t>
  </si>
  <si>
    <t xml:space="preserve">Secure hardware</t>
  </si>
  <si>
    <t xml:space="preserve">Store keys in FIPS 140 L3 / CC EAL4+ HSMs or secure elements, or strongly access-controlled encrypted databases.</t>
  </si>
  <si>
    <t xml:space="preserve">KMS-KS-02 (assigned; spec has no IDs)</t>
  </si>
  <si>
    <t xml:space="preserve">Certificate review.</t>
  </si>
  <si>
    <t xml:space="preserve">KMS-062</t>
  </si>
  <si>
    <t xml:space="preserve">Physical security</t>
  </si>
  <si>
    <t xml:space="preserve">Physically secure key storage environments (access control, CCTV, dual custody).</t>
  </si>
  <si>
    <t xml:space="preserve">KMS-KS-03 (assigned; spec has no IDs)</t>
  </si>
  <si>
    <t xml:space="preserve">PR.AA-06</t>
  </si>
  <si>
    <t xml:space="preserve">A.7.1; A.7.2; A.7.4</t>
  </si>
  <si>
    <t xml:space="preserve">Site inspection.</t>
  </si>
  <si>
    <t xml:space="preserve">KMS-063</t>
  </si>
  <si>
    <t xml:space="preserve">Use HSMs for secure storage where suitable.</t>
  </si>
  <si>
    <t xml:space="preserve">KMS-KS-04 (assigned; spec has no IDs)</t>
  </si>
  <si>
    <t xml:space="preserve">KMS-064</t>
  </si>
  <si>
    <t xml:space="preserve">Use HSMs certified FIPS 140 Level 3 or better.</t>
  </si>
  <si>
    <t xml:space="preserve">KMS-KS-05 (assigned; spec has no IDs)</t>
  </si>
  <si>
    <t xml:space="preserve">CMVP certificate check.</t>
  </si>
  <si>
    <t xml:space="preserve">KMS-065</t>
  </si>
  <si>
    <t xml:space="preserve">Locate HSMs where unauthorised physical access is prevented.</t>
  </si>
  <si>
    <t xml:space="preserve">KMS-KS-06 (assigned; spec has no IDs)</t>
  </si>
  <si>
    <t xml:space="preserve">A.7.3; A.7.4</t>
  </si>
  <si>
    <t xml:space="preserve">KMS-066</t>
  </si>
  <si>
    <t xml:space="preserve">Isolation</t>
  </si>
  <si>
    <t xml:space="preserve">Disconnect HSMs from other systems when not in active use (cold storage).</t>
  </si>
  <si>
    <t xml:space="preserve">KMS-KS-07 (assigned; spec has no IDs)</t>
  </si>
  <si>
    <t xml:space="preserve">Custodian/Exchange; Node operator</t>
  </si>
  <si>
    <t xml:space="preserve">Network isolation review.</t>
  </si>
  <si>
    <t xml:space="preserve">KMS-067</t>
  </si>
  <si>
    <t xml:space="preserve">§6 Key Distribution</t>
  </si>
  <si>
    <t xml:space="preserve">Transport encryption</t>
  </si>
  <si>
    <t xml:space="preserve">Encrypt key material for the entire duration of online distribution (key wrapping).</t>
  </si>
  <si>
    <t xml:space="preserve">BSSC KMS v1 — §6 Key Distribution</t>
  </si>
  <si>
    <t xml:space="preserve">KMS-KDI-01 (assigned; spec has no IDs)</t>
  </si>
  <si>
    <t xml:space="preserve">Transport protocol review.</t>
  </si>
  <si>
    <t xml:space="preserve">KMS-068</t>
  </si>
  <si>
    <t xml:space="preserve">Out-of-band secrets</t>
  </si>
  <si>
    <t xml:space="preserve">Send decryption passwords over a channel separate from the key transport.</t>
  </si>
  <si>
    <t xml:space="preserve">KMS-KDI-02 (assigned; spec has no IDs)</t>
  </si>
  <si>
    <t xml:space="preserve">Procedure review.</t>
  </si>
  <si>
    <t xml:space="preserve">KMS-069</t>
  </si>
  <si>
    <t xml:space="preserve">Integrity</t>
  </si>
  <si>
    <t xml:space="preserve">Authenticate keys at destination (signatures/MACs, fingerprints).</t>
  </si>
  <si>
    <t xml:space="preserve">KMS-KDI-03 (assigned; spec has no IDs)</t>
  </si>
  <si>
    <t xml:space="preserve">Test import verification.</t>
  </si>
  <si>
    <t xml:space="preserve">KMS-070</t>
  </si>
  <si>
    <t xml:space="preserve">Physical transport</t>
  </si>
  <si>
    <t xml:space="preserve">Use tamper-evident, access-controlled physical transport (sealed bags, dual courier).</t>
  </si>
  <si>
    <t xml:space="preserve">KMS-KDI-04 (assigned; spec has no IDs)</t>
  </si>
  <si>
    <t xml:space="preserve">A.7.10</t>
  </si>
  <si>
    <t xml:space="preserve">Chain-of-custody records.</t>
  </si>
  <si>
    <t xml:space="preserve">KMS-071</t>
  </si>
  <si>
    <t xml:space="preserve">KEK access</t>
  </si>
  <si>
    <t xml:space="preserve">Limit Key Encryption Key access to the minimum individuals/systems.</t>
  </si>
  <si>
    <t xml:space="preserve">KMS-KDI-05 (assigned; spec has no IDs)</t>
  </si>
  <si>
    <t xml:space="preserve">A.8.2</t>
  </si>
  <si>
    <t xml:space="preserve">Access list review.</t>
  </si>
  <si>
    <t xml:space="preserve">KMS-072</t>
  </si>
  <si>
    <t xml:space="preserve">DEK distribution</t>
  </si>
  <si>
    <t xml:space="preserve">Distribute Data Encryption Keys only to systems needing immediate access.</t>
  </si>
  <si>
    <t xml:space="preserve">KMS-KDI-06 (assigned; spec has no IDs)</t>
  </si>
  <si>
    <t xml:space="preserve">Distribution inventory.</t>
  </si>
  <si>
    <t xml:space="preserve">KMS-073</t>
  </si>
  <si>
    <t xml:space="preserve">Out-of-band distribution</t>
  </si>
  <si>
    <t xml:space="preserve">Distribute keys/shares out-of-band from encrypted data channels.</t>
  </si>
  <si>
    <t xml:space="preserve">KMS-KDI-07 (assigned; spec has no IDs)</t>
  </si>
  <si>
    <t xml:space="preserve">KMS-074</t>
  </si>
  <si>
    <t xml:space="preserve">§6 Key Usage</t>
  </si>
  <si>
    <t xml:space="preserve">Authorisation</t>
  </si>
  <si>
    <t xml:space="preserve">Restrict authority to request signatures/use keys to explicitly authorised individuals or systems.</t>
  </si>
  <si>
    <t xml:space="preserve">BSSC KMS v1 — §6 Key Usage</t>
  </si>
  <si>
    <t xml:space="preserve">KMS-KU-01 (assigned; spec has no IDs)</t>
  </si>
  <si>
    <t xml:space="preserve">A.5.15</t>
  </si>
  <si>
    <t xml:space="preserve">Signing policy review.</t>
  </si>
  <si>
    <t xml:space="preserve">KMS-075</t>
  </si>
  <si>
    <t xml:space="preserve">Define, review and adjust the authorisation set regularly.</t>
  </si>
  <si>
    <t xml:space="preserve">KMS-KU-02 (assigned; spec has no IDs)</t>
  </si>
  <si>
    <t xml:space="preserve">Review records.</t>
  </si>
  <si>
    <t xml:space="preserve">KMS-076</t>
  </si>
  <si>
    <t xml:space="preserve">Key-holder lifecycle</t>
  </si>
  <si>
    <t xml:space="preserve">Define and review key-holder onboarding, operation and offboarding policies.</t>
  </si>
  <si>
    <t xml:space="preserve">KMS-KU-03 (assigned; spec has no IDs)</t>
  </si>
  <si>
    <t xml:space="preserve">PR.AA-01; GV.RR-04</t>
  </si>
  <si>
    <t xml:space="preserve">A.5.18; A.6.5</t>
  </si>
  <si>
    <t xml:space="preserve">Joiner/leaver sample.</t>
  </si>
  <si>
    <t xml:space="preserve">KMS-077</t>
  </si>
  <si>
    <t xml:space="preserve">Usage logging</t>
  </si>
  <si>
    <t xml:space="preserve">Log key access/usage with automated alerting or regular manual review.</t>
  </si>
  <si>
    <t xml:space="preserve">KMS-KU-04 (assigned; spec has no IDs)</t>
  </si>
  <si>
    <t xml:space="preserve">Alert rule review; sample review records.</t>
  </si>
  <si>
    <t xml:space="preserve">KMS-078</t>
  </si>
  <si>
    <t xml:space="preserve">Quorum controls</t>
  </si>
  <si>
    <t xml:space="preserve">Require proportionate controls (quorum, approval groups, two-person ceremonies) for critical operations.</t>
  </si>
  <si>
    <t xml:space="preserve">KMS-KU-05 (assigned; spec has no IDs)</t>
  </si>
  <si>
    <t xml:space="preserve">Policy-engine configuration review.</t>
  </si>
  <si>
    <t xml:space="preserve">KMS-079</t>
  </si>
  <si>
    <t xml:space="preserve">Owner approval</t>
  </si>
  <si>
    <t xml:space="preserve">For keys managed on behalf of owners, require explicit owner involvement/approval for use.</t>
  </si>
  <si>
    <t xml:space="preserve">KMS-KU-06 (assigned; spec has no IDs)</t>
  </si>
  <si>
    <t xml:space="preserve">Workflow review.</t>
  </si>
  <si>
    <t xml:space="preserve">KMS-080</t>
  </si>
  <si>
    <t xml:space="preserve">Plaintext exposure</t>
  </si>
  <si>
    <t xml:space="preserve">Make plaintext key access time-limited and access-controlled.</t>
  </si>
  <si>
    <t xml:space="preserve">KMS-KU-07 (assigned; spec has no IDs)</t>
  </si>
  <si>
    <t xml:space="preserve">PR.DS-10</t>
  </si>
  <si>
    <t xml:space="preserve">Review in-memory handling design.</t>
  </si>
  <si>
    <t xml:space="preserve">KMS-081</t>
  </si>
  <si>
    <t xml:space="preserve">Wipe plaintext copies as soon as practical after use (zeroise memory).</t>
  </si>
  <si>
    <t xml:space="preserve">KMS-KU-08 (assigned; spec has no IDs)</t>
  </si>
  <si>
    <t xml:space="preserve">A.8.24; A.8.10</t>
  </si>
  <si>
    <t xml:space="preserve">1.08</t>
  </si>
  <si>
    <t xml:space="preserve">Code review for zeroisation.</t>
  </si>
  <si>
    <t xml:space="preserve">KMS-082</t>
  </si>
  <si>
    <t xml:space="preserve">Share rotation</t>
  </si>
  <si>
    <t xml:space="preserve">If key shards/shares are rotated, rotate on defined triggers or schedule.</t>
  </si>
  <si>
    <t xml:space="preserve">KMS-KU-09 (assigned; spec has no IDs)</t>
  </si>
  <si>
    <t xml:space="preserve">Rotation log review.</t>
  </si>
  <si>
    <t xml:space="preserve">KMS-083</t>
  </si>
  <si>
    <t xml:space="preserve">Automate rotation where possible.</t>
  </si>
  <si>
    <t xml:space="preserve">KMS-KU-10 (assigned; spec has no IDs)</t>
  </si>
  <si>
    <t xml:space="preserve">Automation review.</t>
  </si>
  <si>
    <t xml:space="preserve">KMS-084</t>
  </si>
  <si>
    <t xml:space="preserve">Validate post-rotation that private key access is preserved (test signing).</t>
  </si>
  <si>
    <t xml:space="preserve">KMS-KU-11 (assigned; spec has no IDs)</t>
  </si>
  <si>
    <t xml:space="preserve">Rotation validation evidence.</t>
  </si>
  <si>
    <t xml:space="preserve">KMS-085</t>
  </si>
  <si>
    <t xml:space="preserve">Purpose limitation</t>
  </si>
  <si>
    <t xml:space="preserve">Use keys strictly for their intended purpose.</t>
  </si>
  <si>
    <t xml:space="preserve">KMS-KU-12 (assigned; spec has no IDs)</t>
  </si>
  <si>
    <t xml:space="preserve">Key inventory with purpose tags.</t>
  </si>
  <si>
    <t xml:space="preserve">KMS-086</t>
  </si>
  <si>
    <t xml:space="preserve">Enforce Key Usage Policies technically (policy engine).</t>
  </si>
  <si>
    <t xml:space="preserve">KMS-KU-13 (assigned; spec has no IDs)</t>
  </si>
  <si>
    <t xml:space="preserve">Policy-engine test.</t>
  </si>
  <si>
    <t xml:space="preserve">KMS-087</t>
  </si>
  <si>
    <t xml:space="preserve">Prefer single-purpose keys.</t>
  </si>
  <si>
    <t xml:space="preserve">KMS-KU-14 (assigned; spec has no IDs)</t>
  </si>
  <si>
    <t xml:space="preserve">Key inventory review.</t>
  </si>
  <si>
    <t xml:space="preserve">KMS-088</t>
  </si>
  <si>
    <t xml:space="preserve">For multi-purpose keys, enforce strong access controls and usage policies restricted to intended environments.</t>
  </si>
  <si>
    <t xml:space="preserve">KMS-KU-15 (assigned; spec has no IDs)</t>
  </si>
  <si>
    <t xml:space="preserve">KMS-089</t>
  </si>
  <si>
    <t xml:space="preserve">§6 Key Retirement</t>
  </si>
  <si>
    <t xml:space="preserve">Retirement</t>
  </si>
  <si>
    <t xml:space="preserve">Remove all value and privileges from keys before retirement.</t>
  </si>
  <si>
    <t xml:space="preserve">BSSC KMS v1 — §6 Key Retirement</t>
  </si>
  <si>
    <t xml:space="preserve">KMS-KR-01 (assigned; spec has no IDs)</t>
  </si>
  <si>
    <t xml:space="preserve">Verify zero balance/roles on-chain.</t>
  </si>
  <si>
    <t xml:space="preserve">KMS-090</t>
  </si>
  <si>
    <t xml:space="preserve">Keep retired keys offline when not regularly needed.</t>
  </si>
  <si>
    <t xml:space="preserve">KMS-KR-02 (assigned; spec has no IDs)</t>
  </si>
  <si>
    <t xml:space="preserve">Storage review.</t>
  </si>
  <si>
    <t xml:space="preserve">KMS-091</t>
  </si>
  <si>
    <t xml:space="preserve">Securely destroy redundant non-backup copies (zeroisation or hardware destruction).</t>
  </si>
  <si>
    <t xml:space="preserve">KMS-KR-03 (assigned; spec has no IDs)</t>
  </si>
  <si>
    <t xml:space="preserve">A.8.10; A.7.14</t>
  </si>
  <si>
    <t xml:space="preserve">Destruction certificates.</t>
  </si>
  <si>
    <t xml:space="preserve">KMS-092</t>
  </si>
  <si>
    <t xml:space="preserve">Keep retired keys under full storage controls (access control, encryption at rest).</t>
  </si>
  <si>
    <t xml:space="preserve">KMS-KR-04 (assigned; spec has no IDs)</t>
  </si>
  <si>
    <t xml:space="preserve">KMS-093</t>
  </si>
  <si>
    <t xml:space="preserve">§6 Key Destruction</t>
  </si>
  <si>
    <t xml:space="preserve">Destruction</t>
  </si>
  <si>
    <t xml:space="preserve">Do not destroy keys used for blockchain state changes (addresses may later receive funds); archive instead.</t>
  </si>
  <si>
    <t xml:space="preserve">BSSC KMS v1 — §6 Key Destruction</t>
  </si>
  <si>
    <t xml:space="preserve">KMS-KX-01 (assigned; spec has no IDs)</t>
  </si>
  <si>
    <t xml:space="preserve">Destruction approvals reference this check.</t>
  </si>
  <si>
    <t xml:space="preserve">KMS-094</t>
  </si>
  <si>
    <t xml:space="preserve">When destroying an owner's key as agent, provide the key to the owner first.</t>
  </si>
  <si>
    <t xml:space="preserve">KMS-KX-02 (assigned; spec has no IDs)</t>
  </si>
  <si>
    <t xml:space="preserve">Handover records.</t>
  </si>
  <si>
    <t xml:space="preserve">KMS-095</t>
  </si>
  <si>
    <t xml:space="preserve">Document destruction processes and make them auditable.</t>
  </si>
  <si>
    <t xml:space="preserve">KMS-KX-03 (assigned; spec has no IDs)</t>
  </si>
  <si>
    <t xml:space="preserve">A.8.10</t>
  </si>
  <si>
    <t xml:space="preserve">Destruction logs/witness records.</t>
  </si>
  <si>
    <t xml:space="preserve">KMS-096</t>
  </si>
  <si>
    <t xml:space="preserve">Use irreversible destruction (zeroisation, physical hardware destruction).</t>
  </si>
  <si>
    <t xml:space="preserve">KMS-KX-04 (assigned; spec has no IDs)</t>
  </si>
  <si>
    <t xml:space="preserve">SCS-001</t>
  </si>
  <si>
    <t xml:space="preserve">1. Development</t>
  </si>
  <si>
    <t xml:space="preserve">Naming conventions</t>
  </si>
  <si>
    <t xml:space="preserve">Use clear, self-describing names for contracts, functions and variables.</t>
  </si>
  <si>
    <t xml:space="preserve">BSSC SCS v1 — 1. Development</t>
  </si>
  <si>
    <t xml:space="preserve">req-use-clear-names</t>
  </si>
  <si>
    <t xml:space="preserve">Protocol/dApp/token developer; Exchange/Custodian (own contracts)</t>
  </si>
  <si>
    <t xml:space="preserve">Code review checklist.</t>
  </si>
  <si>
    <t xml:space="preserve">SCS-002</t>
  </si>
  <si>
    <t xml:space="preserve">Maintain a glossary of non-obvious domain terms.</t>
  </si>
  <si>
    <t xml:space="preserve">req-use-glossary</t>
  </si>
  <si>
    <t xml:space="preserve">Repo documentation check.</t>
  </si>
  <si>
    <t xml:space="preserve">SCS-003</t>
  </si>
  <si>
    <t xml:space="preserve">Style guides</t>
  </si>
  <si>
    <t xml:space="preserve">Follow the language style guide (e.g., Solidity style guide) enforced by linters.</t>
  </si>
  <si>
    <t xml:space="preserve">req-use-language-styleguide</t>
  </si>
  <si>
    <t xml:space="preserve">CI linter configuration (solhint/forge fmt).</t>
  </si>
  <si>
    <t xml:space="preserve">SCS-004</t>
  </si>
  <si>
    <t xml:space="preserve">Adopt a documented style standard available to all contributors and enforce it in CI.</t>
  </si>
  <si>
    <t xml:space="preserve">req-use-styleguide</t>
  </si>
  <si>
    <t xml:space="preserve">Style guide + CI gate evidence.</t>
  </si>
  <si>
    <t xml:space="preserve">SCS-005</t>
  </si>
  <si>
    <t xml:space="preserve">Modular design</t>
  </si>
  <si>
    <t xml:space="preserve">Build modular, self-contained components with clear interfaces.</t>
  </si>
  <si>
    <t xml:space="preserve">req-use-modular-code</t>
  </si>
  <si>
    <t xml:space="preserve">SCS-006</t>
  </si>
  <si>
    <t xml:space="preserve">Keep methods concise (≈&lt;100 lines) and single-purpose.</t>
  </si>
  <si>
    <t xml:space="preserve">req-use-concise-methods</t>
  </si>
  <si>
    <t xml:space="preserve">Static metrics.</t>
  </si>
  <si>
    <t xml:space="preserve">SCS-007</t>
  </si>
  <si>
    <t xml:space="preserve">Document inter-module dependencies.</t>
  </si>
  <si>
    <t xml:space="preserve">req-document-dependencies</t>
  </si>
  <si>
    <t xml:space="preserve">Dependency diagram.</t>
  </si>
  <si>
    <t xml:space="preserve">SCS-008</t>
  </si>
  <si>
    <t xml:space="preserve">Use vetted library code (e.g., audited OpenZeppelin) instead of custom implementations.</t>
  </si>
  <si>
    <t xml:space="preserve">req-use-open-source</t>
  </si>
  <si>
    <t xml:space="preserve">SCS-009</t>
  </si>
  <si>
    <t xml:space="preserve">Code operations</t>
  </si>
  <si>
    <t xml:space="preserve">Follow consistent operation ordering across functions (validation → effects → interactions).</t>
  </si>
  <si>
    <t xml:space="preserve">req-use-consistent-steps</t>
  </si>
  <si>
    <t xml:space="preserve">SCS-010</t>
  </si>
  <si>
    <t xml:space="preserve">Dependencies</t>
  </si>
  <si>
    <t xml:space="preserve">Document all external dependencies (oracles, bridges, protocols, libraries).</t>
  </si>
  <si>
    <t xml:space="preserve">req-document-external-dependencies</t>
  </si>
  <si>
    <t xml:space="preserve">ID.AM-02; GV.SC-04</t>
  </si>
  <si>
    <t xml:space="preserve">External dependency register.</t>
  </si>
  <si>
    <t xml:space="preserve">SCS-011</t>
  </si>
  <si>
    <t xml:space="preserve">Manage dependencies and tooling as third-party systems with version pinning and risk review.</t>
  </si>
  <si>
    <t xml:space="preserve">req-manage-dependencies-externally</t>
  </si>
  <si>
    <t xml:space="preserve">A.5.21; A.5.22</t>
  </si>
  <si>
    <t xml:space="preserve">Lockfiles; supplier risk review.</t>
  </si>
  <si>
    <t xml:space="preserve">SCS-012</t>
  </si>
  <si>
    <t xml:space="preserve">Design contracts so any oracle can be replaced (governed setter, fallback oracle, staleness checks).</t>
  </si>
  <si>
    <t xml:space="preserve">req-use-oracles-carefully</t>
  </si>
  <si>
    <t xml:space="preserve">Code review of oracle wiring.</t>
  </si>
  <si>
    <t xml:space="preserve">SCS-013</t>
  </si>
  <si>
    <t xml:space="preserve">Version control</t>
  </si>
  <si>
    <t xml:space="preserve">Use version control recording the source of every change; protect main branches.</t>
  </si>
  <si>
    <t xml:space="preserve">req-use-version-control</t>
  </si>
  <si>
    <t xml:space="preserve">A.8.32; A.8.4</t>
  </si>
  <si>
    <t xml:space="preserve">Repo settings (branch protection, signed commits).</t>
  </si>
  <si>
    <t xml:space="preserve">SCS-014</t>
  </si>
  <si>
    <t xml:space="preserve">Make atomic commits with clear descriptions.</t>
  </si>
  <si>
    <t xml:space="preserve">req-make-atomic-commits</t>
  </si>
  <si>
    <t xml:space="preserve">Commit history sample.</t>
  </si>
  <si>
    <t xml:space="preserve">SCS-015</t>
  </si>
  <si>
    <t xml:space="preserve">Tag releases with version numbers.</t>
  </si>
  <si>
    <t xml:space="preserve">req-tag-releases</t>
  </si>
  <si>
    <t xml:space="preserve">Tag list vs deployments.</t>
  </si>
  <si>
    <t xml:space="preserve">SCS-016</t>
  </si>
  <si>
    <t xml:space="preserve">Document the commit hash of each deployed release.</t>
  </si>
  <si>
    <t xml:space="preserve">req-tag-verifiable-source</t>
  </si>
  <si>
    <t xml:space="preserve">Deployment records include commit hash.</t>
  </si>
  <si>
    <t xml:space="preserve">SCS-017</t>
  </si>
  <si>
    <t xml:space="preserve">Log AI/automated code-generation sessions, including rejected code.</t>
  </si>
  <si>
    <t xml:space="preserve">req-log-automation</t>
  </si>
  <si>
    <t xml:space="preserve">Review AI session logs.</t>
  </si>
  <si>
    <t xml:space="preserve">SCS-018</t>
  </si>
  <si>
    <t xml:space="preserve">Source code documentation</t>
  </si>
  <si>
    <t xml:space="preserve">Document every public contract, function, event and variable (NatSpec).</t>
  </si>
  <si>
    <t xml:space="preserve">req-document-public-api</t>
  </si>
  <si>
    <t xml:space="preserve">NatSpec coverage report.</t>
  </si>
  <si>
    <t xml:space="preserve">SCS-019</t>
  </si>
  <si>
    <t xml:space="preserve">Document private/internal functions implementing sensitive logic.</t>
  </si>
  <si>
    <t xml:space="preserve">req-document-sensitive-functions</t>
  </si>
  <si>
    <t xml:space="preserve">SCS-020</t>
  </si>
  <si>
    <t xml:space="preserve">Inline comments</t>
  </si>
  <si>
    <t xml:space="preserve">Explain complex logic and code status with inline comments.</t>
  </si>
  <si>
    <t xml:space="preserve">req-explain-functions-inline</t>
  </si>
  <si>
    <t xml:space="preserve">SCS-021</t>
  </si>
  <si>
    <t xml:space="preserve">Cryptographic considerations</t>
  </si>
  <si>
    <t xml:space="preserve">Document all cryptographic algorithms and primitives used (signatures, hashes, ZK schemes).</t>
  </si>
  <si>
    <t xml:space="preserve">req-document-cryptography</t>
  </si>
  <si>
    <t xml:space="preserve">ID.AM-08</t>
  </si>
  <si>
    <t xml:space="preserve">Crypto inventory.</t>
  </si>
  <si>
    <t xml:space="preserve">SCS-022</t>
  </si>
  <si>
    <t xml:space="preserve">Design for replacing cryptographic schemes without full redeployment.</t>
  </si>
  <si>
    <t xml:space="preserve">req-allow-cryptography-upgrades</t>
  </si>
  <si>
    <t xml:space="preserve">SCS-023</t>
  </si>
  <si>
    <t xml:space="preserve">Document long-term cryptographic viability risks, including quantum threats.</t>
  </si>
  <si>
    <t xml:space="preserve">req-assess-cryptography-risk</t>
  </si>
  <si>
    <t xml:space="preserve">Risk documentation.</t>
  </si>
  <si>
    <t xml:space="preserve">SCS-024</t>
  </si>
  <si>
    <t xml:space="preserve">2. Testing</t>
  </si>
  <si>
    <t xml:space="preserve">Development testing</t>
  </si>
  <si>
    <t xml:space="preserve">Maintain comprehensive test coverage of all functionality, with coverage thresholds in CI.</t>
  </si>
  <si>
    <t xml:space="preserve">BSSC SCS v1 — 2. Testing</t>
  </si>
  <si>
    <t xml:space="preserve">req-provide-tests</t>
  </si>
  <si>
    <t xml:space="preserve">Coverage report.</t>
  </si>
  <si>
    <t xml:space="preserve">SCS-025</t>
  </si>
  <si>
    <t xml:space="preserve">Have a substantial proportion of tests written by people who did not write the code.</t>
  </si>
  <si>
    <t xml:space="preserve">req-independent-tests</t>
  </si>
  <si>
    <t xml:space="preserve">Test authorship analysis.</t>
  </si>
  <si>
    <t xml:space="preserve">SCS-026</t>
  </si>
  <si>
    <t xml:space="preserve">Document key invariants and test them via fuzzing/invariant testing.</t>
  </si>
  <si>
    <t xml:space="preserve">req-define-invariants</t>
  </si>
  <si>
    <t xml:space="preserve">Invariant test suite.</t>
  </si>
  <si>
    <t xml:space="preserve">SCS-027</t>
  </si>
  <si>
    <t xml:space="preserve">Keep tests and dependencies current; all tests pass on a fresh install.</t>
  </si>
  <si>
    <t xml:space="preserve">req-updated-test-suite</t>
  </si>
  <si>
    <t xml:space="preserve">Clean-clone CI run.</t>
  </si>
  <si>
    <t xml:space="preserve">SCS-028</t>
  </si>
  <si>
    <t xml:space="preserve">Cover edge cases (zero/max values, reentrancy, access boundaries).</t>
  </si>
  <si>
    <t xml:space="preserve">req-test-edge-cases</t>
  </si>
  <si>
    <t xml:space="preserve">Test review.</t>
  </si>
  <si>
    <t xml:space="preserve">SCS-029</t>
  </si>
  <si>
    <t xml:space="preserve">Make the test suite executable on local forks.</t>
  </si>
  <si>
    <t xml:space="preserve">req-run-tests-locally</t>
  </si>
  <si>
    <t xml:space="preserve">Run fork tests.</t>
  </si>
  <si>
    <t xml:space="preserve">SCS-030</t>
  </si>
  <si>
    <t xml:space="preserve">Provide test helpers/utilities.</t>
  </si>
  <si>
    <t xml:space="preserve">req-use-test-helpers</t>
  </si>
  <si>
    <t xml:space="preserve">Repo review.</t>
  </si>
  <si>
    <t xml:space="preserve">SCS-031</t>
  </si>
  <si>
    <t xml:space="preserve">Meet generally accepted testing standards.</t>
  </si>
  <si>
    <t xml:space="preserve">req-use-testing-standards</t>
  </si>
  <si>
    <t xml:space="preserve">Test strategy review.</t>
  </si>
  <si>
    <t xml:space="preserve">SCS-032</t>
  </si>
  <si>
    <t xml:space="preserve">Security audit</t>
  </si>
  <si>
    <t xml:space="preserve">Complete and document an independent code security audit before production.</t>
  </si>
  <si>
    <t xml:space="preserve">req-security-audit</t>
  </si>
  <si>
    <t xml:space="preserve">Audit report covering deployed commit.</t>
  </si>
  <si>
    <t xml:space="preserve">SCS-033</t>
  </si>
  <si>
    <t xml:space="preserve">Use at least two auditors who did not develop the code.</t>
  </si>
  <si>
    <t xml:space="preserve">req-independent-auditors</t>
  </si>
  <si>
    <t xml:space="preserve">Audit staffing evidence.</t>
  </si>
  <si>
    <t xml:space="preserve">SCS-034</t>
  </si>
  <si>
    <t xml:space="preserve">Agree an audit scope covering everything that could materially affect correct functioning (incl. integrations, upgrades).</t>
  </si>
  <si>
    <t xml:space="preserve">req-scope-audit-sufficiently</t>
  </si>
  <si>
    <t xml:space="preserve">Scope document review.</t>
  </si>
  <si>
    <t xml:space="preserve">SCS-035</t>
  </si>
  <si>
    <t xml:space="preserve">Publish audit reports (or an attestation).</t>
  </si>
  <si>
    <t xml:space="preserve">req-publish-code-audits</t>
  </si>
  <si>
    <t xml:space="preserve">Public link check.</t>
  </si>
  <si>
    <t xml:space="preserve">SCS-036</t>
  </si>
  <si>
    <t xml:space="preserve">Re-audit material changes before production.</t>
  </si>
  <si>
    <t xml:space="preserve">req-reaudit-changes</t>
  </si>
  <si>
    <t xml:space="preserve">ID.RA-07; PR.PS-01</t>
  </si>
  <si>
    <t xml:space="preserve">A.8.32; A.8.29</t>
  </si>
  <si>
    <t xml:space="preserve">Diff audit reports for each material release.</t>
  </si>
  <si>
    <t xml:space="preserve">SCS-037</t>
  </si>
  <si>
    <t xml:space="preserve">3. Deployment and Upgrades</t>
  </si>
  <si>
    <t xml:space="preserve">Testnet testing</t>
  </si>
  <si>
    <t xml:space="preserve">Test all code and upgrades on a controlled test network before mainnet.</t>
  </si>
  <si>
    <t xml:space="preserve">BSSC SCS v1 — 3. Deployment and Upgrades</t>
  </si>
  <si>
    <t xml:space="preserve">req-use-testnets</t>
  </si>
  <si>
    <t xml:space="preserve">A.8.31</t>
  </si>
  <si>
    <t xml:space="preserve">Testnet deployment records.</t>
  </si>
  <si>
    <t xml:space="preserve">SCS-038</t>
  </si>
  <si>
    <t xml:space="preserve">Document network-specific requirements and differences (chain IDs, precompiles, gas, opcodes).</t>
  </si>
  <si>
    <t xml:space="preserve">req-document-networks</t>
  </si>
  <si>
    <t xml:space="preserve">Network differences doc.</t>
  </si>
  <si>
    <t xml:space="preserve">SCS-039</t>
  </si>
  <si>
    <t xml:space="preserve">Compilation</t>
  </si>
  <si>
    <t xml:space="preserve">Ensure deterministic, error-free compilation (pinned compiler, optimizer settings).</t>
  </si>
  <si>
    <t xml:space="preserve">req-deterministic-compilation</t>
  </si>
  <si>
    <t xml:space="preserve">Reproduce build; compare bytecode.</t>
  </si>
  <si>
    <t xml:space="preserve">SCS-040</t>
  </si>
  <si>
    <t xml:space="preserve">Publish compilation metadata to verify deployed bytecode.</t>
  </si>
  <si>
    <t xml:space="preserve">req-provide-compilation-metadata</t>
  </si>
  <si>
    <t xml:space="preserve">Metadata availability.</t>
  </si>
  <si>
    <t xml:space="preserve">SCS-041</t>
  </si>
  <si>
    <t xml:space="preserve">Verified bytecode</t>
  </si>
  <si>
    <t xml:space="preserve">Publish source verification showing deployed bytecode matches audited source (Etherscan/Sourcify).</t>
  </si>
  <si>
    <t xml:space="preserve">req-pub-verification</t>
  </si>
  <si>
    <t xml:space="preserve">ID.AM-02; PR.PS-02</t>
  </si>
  <si>
    <t xml:space="preserve">Verified-source check per address.</t>
  </si>
  <si>
    <t xml:space="preserve">SCS-042</t>
  </si>
  <si>
    <t xml:space="preserve">4. Operations</t>
  </si>
  <si>
    <t xml:space="preserve">Source code</t>
  </si>
  <si>
    <t xml:space="preserve">Make source code publicly available.</t>
  </si>
  <si>
    <t xml:space="preserve">BSSC SCS v1 — 4. Operations</t>
  </si>
  <si>
    <t xml:space="preserve">req-publish-source</t>
  </si>
  <si>
    <t xml:space="preserve">Public repo check.</t>
  </si>
  <si>
    <t xml:space="preserve">SCS-043</t>
  </si>
  <si>
    <t xml:space="preserve">Public documentation</t>
  </si>
  <si>
    <t xml:space="preserve">Publish system documentation: functionality, economic model, service levels and risks.</t>
  </si>
  <si>
    <t xml:space="preserve">req-document-overall-system</t>
  </si>
  <si>
    <t xml:space="preserve">Docs review.</t>
  </si>
  <si>
    <t xml:space="preserve">SCS-044</t>
  </si>
  <si>
    <t xml:space="preserve">Address book</t>
  </si>
  <si>
    <t xml:space="preserve">Publish an address book of all contracts in the current version.</t>
  </si>
  <si>
    <t xml:space="preserve">req-identify-contracts-used</t>
  </si>
  <si>
    <t xml:space="preserve">Address book vs on-chain.</t>
  </si>
  <si>
    <t xml:space="preserve">SCS-045</t>
  </si>
  <si>
    <t xml:space="preserve">Security contact</t>
  </si>
  <si>
    <t xml:space="preserve">Appoint a designated, qualified security contact.</t>
  </si>
  <si>
    <t xml:space="preserve">req-identify-security-contact</t>
  </si>
  <si>
    <t xml:space="preserve">A.5.5; A.5.24</t>
  </si>
  <si>
    <t xml:space="preserve">Named contact record.</t>
  </si>
  <si>
    <t xml:space="preserve">SCS-046</t>
  </si>
  <si>
    <t xml:space="preserve">Publish confidential security contact methods (security.txt, PGP).</t>
  </si>
  <si>
    <t xml:space="preserve">req-document-security-contact</t>
  </si>
  <si>
    <t xml:space="preserve">security.txt check.</t>
  </si>
  <si>
    <t xml:space="preserve">SCS-047</t>
  </si>
  <si>
    <t xml:space="preserve">Provide 24/7 security response coverage (on-call rota).</t>
  </si>
  <si>
    <t xml:space="preserve">req-24-7-security-response</t>
  </si>
  <si>
    <t xml:space="preserve">On-call schedule; test page.</t>
  </si>
  <si>
    <t xml:space="preserve">SCS-048</t>
  </si>
  <si>
    <t xml:space="preserve">Risk assessment &amp; monitoring</t>
  </si>
  <si>
    <t xml:space="preserve">Document a risk assessment at least annually.</t>
  </si>
  <si>
    <t xml:space="preserve">req-assess-risk-regularly</t>
  </si>
  <si>
    <t xml:space="preserve">Cl. 8.2; A.5.7</t>
  </si>
  <si>
    <t xml:space="preserve">Latest annual risk assessment.</t>
  </si>
  <si>
    <t xml:space="preserve">SCS-049</t>
  </si>
  <si>
    <t xml:space="preserve">Deploy on-chain monitoring alerting responsible parties to identified risks (e.g., Forta/OpenZeppelin Defender/Hypernative).</t>
  </si>
  <si>
    <t xml:space="preserve">req-use-monitoring</t>
  </si>
  <si>
    <t xml:space="preserve">Monitor rules mapped to risk register; alert test.</t>
  </si>
  <si>
    <t xml:space="preserve">SCS-050</t>
  </si>
  <si>
    <t xml:space="preserve">Wire monitoring alerts to trigger incident response (paging, auto-pause).</t>
  </si>
  <si>
    <t xml:space="preserve">req-monitoring-triggers-response</t>
  </si>
  <si>
    <t xml:space="preserve">DE.AE-08; RS.MA-01</t>
  </si>
  <si>
    <t xml:space="preserve">A.5.25</t>
  </si>
  <si>
    <t xml:space="preserve">Alert-to-IR runbook test.</t>
  </si>
  <si>
    <t xml:space="preserve">SCS-051</t>
  </si>
  <si>
    <t xml:space="preserve">Transaction screening</t>
  </si>
  <si>
    <t xml:space="preserve">Screen transactions to permit only predefined activity types (firewall/guard contracts).</t>
  </si>
  <si>
    <t xml:space="preserve">req-use-transaction-screening</t>
  </si>
  <si>
    <t xml:space="preserve">Screening config review.</t>
  </si>
  <si>
    <t xml:space="preserve">SCS-052</t>
  </si>
  <si>
    <t xml:space="preserve">Security knowledge</t>
  </si>
  <si>
    <t xml:space="preserve">Document how new security information (exploit post-mortems, advisories) is integrated.</t>
  </si>
  <si>
    <t xml:space="preserve">req-update-security-process</t>
  </si>
  <si>
    <t xml:space="preserve">ID.IM-01</t>
  </si>
  <si>
    <t xml:space="preserve">Process doc and examples.</t>
  </si>
  <si>
    <t xml:space="preserve">SCS-053</t>
  </si>
  <si>
    <t xml:space="preserve">Document a responsible disclosure programme for third parties.</t>
  </si>
  <si>
    <t xml:space="preserve">req-vulnerability-disclosure</t>
  </si>
  <si>
    <t xml:space="preserve">Published VDP.</t>
  </si>
  <si>
    <t xml:space="preserve">SCS-054</t>
  </si>
  <si>
    <t xml:space="preserve">Offer a bug bounty with incentives proportionate to TVL.</t>
  </si>
  <si>
    <t xml:space="preserve">req-bug-bounty</t>
  </si>
  <si>
    <t xml:space="preserve">Bounty listing and rewards table.</t>
  </si>
  <si>
    <t xml:space="preserve">SCS-055</t>
  </si>
  <si>
    <t xml:space="preserve">Implement an incident response plan (pause, war room, communications, recovery).</t>
  </si>
  <si>
    <t xml:space="preserve">req-plan-incident-response</t>
  </si>
  <si>
    <t xml:space="preserve">IRP review.</t>
  </si>
  <si>
    <t xml:space="preserve">SCS-056</t>
  </si>
  <si>
    <t xml:space="preserve">Test and update the IRP at least annually.</t>
  </si>
  <si>
    <t xml:space="preserve">req-maintain-incident-response</t>
  </si>
  <si>
    <t xml:space="preserve">Tabletop exercise record.</t>
  </si>
  <si>
    <t xml:space="preserve">SCS-057</t>
  </si>
  <si>
    <t xml:space="preserve">5. Governance</t>
  </si>
  <si>
    <t xml:space="preserve">Governance disclosure</t>
  </si>
  <si>
    <t xml:space="preserve">Document decision-making, approvers, implementation, timeframes, user participation, disputes and exit mechanisms.</t>
  </si>
  <si>
    <t xml:space="preserve">BSSC SCS v1 — 5. Governance</t>
  </si>
  <si>
    <t xml:space="preserve">req-document-governance</t>
  </si>
  <si>
    <t xml:space="preserve">GV.RR-02; GV.OC-02</t>
  </si>
  <si>
    <t xml:space="preserve">A.5.1; A.5.2</t>
  </si>
  <si>
    <t xml:space="preserve">Governance doc review.</t>
  </si>
  <si>
    <t xml:space="preserve">SCS-058</t>
  </si>
  <si>
    <t xml:space="preserve">Notify users of expected changes in advance and update documentation promptly.</t>
  </si>
  <si>
    <t xml:space="preserve">req-update-documentation</t>
  </si>
  <si>
    <t xml:space="preserve">Change notice history.</t>
  </si>
  <si>
    <t xml:space="preserve">SCS-059</t>
  </si>
  <si>
    <t xml:space="preserve">Document all entities controlling or governing the system.</t>
  </si>
  <si>
    <t xml:space="preserve">req-identify-governance-participants</t>
  </si>
  <si>
    <t xml:space="preserve">Participant list vs on-chain roles.</t>
  </si>
  <si>
    <t xml:space="preserve">SCS-060</t>
  </si>
  <si>
    <t xml:space="preserve">Upgrades</t>
  </si>
  <si>
    <t xml:space="preserve">Implement user-protecting safeguards when scope changes (timelocks, opt-out/exit windows).</t>
  </si>
  <si>
    <t xml:space="preserve">req-use-safeguards</t>
  </si>
  <si>
    <t xml:space="preserve">Timelock delay on-chain.</t>
  </si>
  <si>
    <t xml:space="preserve">SCS-061</t>
  </si>
  <si>
    <t xml:space="preserve">If upgradeable, document upgradability per the sub-requirements below.</t>
  </si>
  <si>
    <t xml:space="preserve">req-document-upgradability</t>
  </si>
  <si>
    <t xml:space="preserve">Document set present.</t>
  </si>
  <si>
    <t xml:space="preserve">SCS-062</t>
  </si>
  <si>
    <t xml:space="preserve">req-document-upgradable-components</t>
  </si>
  <si>
    <t xml:space="preserve">Proxy inspection.</t>
  </si>
  <si>
    <t xml:space="preserve">SCS-063</t>
  </si>
  <si>
    <t xml:space="preserve">Describe user safeguards around upgrades.</t>
  </si>
  <si>
    <t xml:space="preserve">req-document-upgrade-safeguards</t>
  </si>
  <si>
    <t xml:space="preserve">Doc review.</t>
  </si>
  <si>
    <t xml:space="preserve">SCS-064</t>
  </si>
  <si>
    <t xml:space="preserve">Explain the upgrade mechanism design logic.</t>
  </si>
  <si>
    <t xml:space="preserve">req-document-upgrade-logic</t>
  </si>
  <si>
    <t xml:space="preserve">SCS-065</t>
  </si>
  <si>
    <t xml:space="preserve">Describe upgrade approval and implementation process.</t>
  </si>
  <si>
    <t xml:space="preserve">req-document-upgrade-process</t>
  </si>
  <si>
    <t xml:space="preserve">Doc review; sample upgrade.</t>
  </si>
  <si>
    <t xml:space="preserve">SCS-066</t>
  </si>
  <si>
    <t xml:space="preserve">Describe when/how upcoming upgrades are communicated.</t>
  </si>
  <si>
    <t xml:space="preserve">req-document-upgrade-comms</t>
  </si>
  <si>
    <t xml:space="preserve">SCS-067</t>
  </si>
  <si>
    <t xml:space="preserve">Limit privileged roles to the minimum necessary functions.</t>
  </si>
  <si>
    <t xml:space="preserve">req-limit-privileged-roles</t>
  </si>
  <si>
    <t xml:space="preserve">On-chain role enumeration.</t>
  </si>
  <si>
    <t xml:space="preserve">SCS-068</t>
  </si>
  <si>
    <t xml:space="preserve">Hold privileged roles via multisig/MPC (no single EOA admin).</t>
  </si>
  <si>
    <t xml:space="preserve">req-decentralize-privileged-roles</t>
  </si>
  <si>
    <t xml:space="preserve">Role holder threshold check.</t>
  </si>
  <si>
    <t xml:space="preserve">SCS-069</t>
  </si>
  <si>
    <t xml:space="preserve">Hold entities in privileged roles to appropriate security and compliance standards (KMS for signer keys).</t>
  </si>
  <si>
    <t xml:space="preserve">req-secure-privileged-roles</t>
  </si>
  <si>
    <t xml:space="preserve">GV.SC-05; PR.AA-05</t>
  </si>
  <si>
    <t xml:space="preserve">A.5.19; A.8.2</t>
  </si>
  <si>
    <t xml:space="preserve">Signer security attestation.</t>
  </si>
  <si>
    <t xml:space="preserve">GSP-001</t>
  </si>
  <si>
    <t xml:space="preserve">1. Govern</t>
  </si>
  <si>
    <t xml:space="preserve">Risk management</t>
  </si>
  <si>
    <t xml:space="preserve">Include blockchain-specific risks (key loss, smart contract, chain, bridge) in enterprise risk management.</t>
  </si>
  <si>
    <t xml:space="preserve">BSSC GSP v2 — 1. Govern</t>
  </si>
  <si>
    <t xml:space="preserve">req-treat-blockchain-risk</t>
  </si>
  <si>
    <t xml:space="preserve">All blockchain participants</t>
  </si>
  <si>
    <t xml:space="preserve">GV.RM-01; GV.RM-03</t>
  </si>
  <si>
    <t xml:space="preserve">Cl. 6.1; A.5.1</t>
  </si>
  <si>
    <t xml:space="preserve">ERM register shows blockchain risk category.</t>
  </si>
  <si>
    <t xml:space="preserve">GSP-002</t>
  </si>
  <si>
    <t xml:space="preserve">Maintain a risk governance framework and risk register reviewed with stakeholders.</t>
  </si>
  <si>
    <t xml:space="preserve">req-risk-register</t>
  </si>
  <si>
    <t xml:space="preserve">GV.RM-01; ID.RA-06</t>
  </si>
  <si>
    <t xml:space="preserve">Cl. 6.1.2; Cl. 8.2</t>
  </si>
  <si>
    <t xml:space="preserve">Register and review minutes.</t>
  </si>
  <si>
    <t xml:space="preserve">GSP-003</t>
  </si>
  <si>
    <t xml:space="preserve">Governance resources</t>
  </si>
  <si>
    <t xml:space="preserve">Assign dedicated resources and owners for security governance and compliance.</t>
  </si>
  <si>
    <t xml:space="preserve">req-assign-governance</t>
  </si>
  <si>
    <t xml:space="preserve">GV.RR-03</t>
  </si>
  <si>
    <t xml:space="preserve">Cl. 5.3; A.5.2</t>
  </si>
  <si>
    <t xml:space="preserve">Org chart / RACI.</t>
  </si>
  <si>
    <t xml:space="preserve">GSP-004</t>
  </si>
  <si>
    <t xml:space="preserve">Data classification</t>
  </si>
  <si>
    <t xml:space="preserve">Define data classification tiers, criteria, access limits and protections.</t>
  </si>
  <si>
    <t xml:space="preserve">req-define-data-risk</t>
  </si>
  <si>
    <t xml:space="preserve">ID.AM-07; GV.PO-01</t>
  </si>
  <si>
    <t xml:space="preserve">A.5.12; A.5.13</t>
  </si>
  <si>
    <t xml:space="preserve">Classification policy.</t>
  </si>
  <si>
    <t xml:space="preserve">GSP-005</t>
  </si>
  <si>
    <t xml:space="preserve">Public compliance</t>
  </si>
  <si>
    <t xml:space="preserve">Publish a trust centre with compliance documentation and privacy policy.</t>
  </si>
  <si>
    <t xml:space="preserve">req-publish-trust-info</t>
  </si>
  <si>
    <t xml:space="preserve">Trust centre review.</t>
  </si>
  <si>
    <t xml:space="preserve">GSP-006</t>
  </si>
  <si>
    <t xml:space="preserve">Regulatory monitoring</t>
  </si>
  <si>
    <t xml:space="preserve">Track and adapt to evolving regulation (MiCA, Travel Rule, local VASP rules).</t>
  </si>
  <si>
    <t xml:space="preserve">req-monitor-regulation</t>
  </si>
  <si>
    <t xml:space="preserve">Regulatory watch log.</t>
  </si>
  <si>
    <t xml:space="preserve">GSP-007</t>
  </si>
  <si>
    <t xml:space="preserve">Vendor management</t>
  </si>
  <si>
    <t xml:space="preserve">Document vendor/third-party risk management (custody, node, oracle, KYT providers).</t>
  </si>
  <si>
    <t xml:space="preserve">req-manage-vendors</t>
  </si>
  <si>
    <t xml:space="preserve">GV.SC-01; GV.SC-06</t>
  </si>
  <si>
    <t xml:space="preserve">A.5.19-A.5.22</t>
  </si>
  <si>
    <t xml:space="preserve">Vendor inventory and assessments.</t>
  </si>
  <si>
    <t xml:space="preserve">GSP-008</t>
  </si>
  <si>
    <t xml:space="preserve">Crypto standards</t>
  </si>
  <si>
    <t xml:space="preserve">Track cryptographic standards incl. post-quantum guidance in risk management.</t>
  </si>
  <si>
    <t xml:space="preserve">req-monitor-crypto</t>
  </si>
  <si>
    <t xml:space="preserve">Crypto watch entries in risk register.</t>
  </si>
  <si>
    <t xml:space="preserve">GSP-009</t>
  </si>
  <si>
    <t xml:space="preserve">2. Identify</t>
  </si>
  <si>
    <t xml:space="preserve">Conduct regular blockchain-specific risk assessments.</t>
  </si>
  <si>
    <t xml:space="preserve">BSSC GSP v2 — 2. Identify</t>
  </si>
  <si>
    <t xml:space="preserve">req-assess-risks</t>
  </si>
  <si>
    <t xml:space="preserve">Cl. 8.2</t>
  </si>
  <si>
    <t xml:space="preserve">Assessment reports.</t>
  </si>
  <si>
    <t xml:space="preserve">GSP-010</t>
  </si>
  <si>
    <t xml:space="preserve">Customer funds</t>
  </si>
  <si>
    <t xml:space="preserve">Document risks to customer funds and keep accessible.</t>
  </si>
  <si>
    <t xml:space="preserve">req-document-funds-risks</t>
  </si>
  <si>
    <t xml:space="preserve">Custodian/Exchange; Protocol holding user funds</t>
  </si>
  <si>
    <t xml:space="preserve">ID.RA-04</t>
  </si>
  <si>
    <t xml:space="preserve">Cl. 6.1.2</t>
  </si>
  <si>
    <t xml:space="preserve">Customer-funds risk document.</t>
  </si>
  <si>
    <t xml:space="preserve">GSP-011</t>
  </si>
  <si>
    <t xml:space="preserve">Ecosystem risk</t>
  </si>
  <si>
    <t xml:space="preserve">Assess ecosystem/external risks (bridges, L1 health, counterparties, stablecoin depegs).</t>
  </si>
  <si>
    <t xml:space="preserve">req-assess-ecosystem-risk</t>
  </si>
  <si>
    <t xml:space="preserve">ID.RA-03; GV.SC-07</t>
  </si>
  <si>
    <t xml:space="preserve">Ecosystem risk assessment.</t>
  </si>
  <si>
    <t xml:space="preserve">GSP-012</t>
  </si>
  <si>
    <t xml:space="preserve">Threat intelligence</t>
  </si>
  <si>
    <t xml:space="preserve">Subscribe to and integrate reputable threat intelligence (Crypto-ISAC, SEAL-ISAC, chain analytics).</t>
  </si>
  <si>
    <t xml:space="preserve">req-monitor-threat-intel</t>
  </si>
  <si>
    <t xml:space="preserve">ID.RA-02</t>
  </si>
  <si>
    <t xml:space="preserve">Feed subscriptions and integration.</t>
  </si>
  <si>
    <t xml:space="preserve">GSP-013</t>
  </si>
  <si>
    <t xml:space="preserve">Run regular, documented threat hunting.</t>
  </si>
  <si>
    <t xml:space="preserve">req-hunt-threats</t>
  </si>
  <si>
    <t xml:space="preserve">DE.AE-02</t>
  </si>
  <si>
    <t xml:space="preserve">A.5.7; A.8.16</t>
  </si>
  <si>
    <t xml:space="preserve">Hunt reports.</t>
  </si>
  <si>
    <t xml:space="preserve">GSP-014</t>
  </si>
  <si>
    <t xml:space="preserve">Establish protocols for sharing threat information with peers (TLP).</t>
  </si>
  <si>
    <t xml:space="preserve">req-share-threat-intel</t>
  </si>
  <si>
    <t xml:space="preserve">A.5.6</t>
  </si>
  <si>
    <t xml:space="preserve">Sharing agreements.</t>
  </si>
  <si>
    <t xml:space="preserve">GSP-015</t>
  </si>
  <si>
    <t xml:space="preserve">Code analysis</t>
  </si>
  <si>
    <t xml:space="preserve">Perform dynamic analysis on production code (DAST, fuzzing, on-chain monitoring).</t>
  </si>
  <si>
    <t xml:space="preserve">req-monitor-code</t>
  </si>
  <si>
    <t xml:space="preserve">DAST/fuzz results.</t>
  </si>
  <si>
    <t xml:space="preserve">GSP-016</t>
  </si>
  <si>
    <t xml:space="preserve">Perform static analysis on all code pre-deployment (SAST, Slither/Semgrep).</t>
  </si>
  <si>
    <t xml:space="preserve">req-analyze-code</t>
  </si>
  <si>
    <t xml:space="preserve">A.8.28; A.8.29</t>
  </si>
  <si>
    <t xml:space="preserve">CI SAST gate.</t>
  </si>
  <si>
    <t xml:space="preserve">GSP-017</t>
  </si>
  <si>
    <t xml:space="preserve">Inventory and monitor third-party dependencies for CVEs (SCA).</t>
  </si>
  <si>
    <t xml:space="preserve">req-monitor-dependencies</t>
  </si>
  <si>
    <t xml:space="preserve">ID.RA-01; GV.SC-04</t>
  </si>
  <si>
    <t xml:space="preserve">SCA dashboard.</t>
  </si>
  <si>
    <t xml:space="preserve">GSP-018</t>
  </si>
  <si>
    <t xml:space="preserve">Vulnerability management</t>
  </si>
  <si>
    <t xml:space="preserve">Document vulnerability management with at least monthly assessments and remediation SLAs.</t>
  </si>
  <si>
    <t xml:space="preserve">req-manage-vulnerabilities</t>
  </si>
  <si>
    <t xml:space="preserve">ID.RA-01; ID.RA-08</t>
  </si>
  <si>
    <t xml:space="preserve">Scan cadence and SLA metrics.</t>
  </si>
  <si>
    <t xml:space="preserve">GSP-019</t>
  </si>
  <si>
    <t xml:space="preserve">3. Protect</t>
  </si>
  <si>
    <t xml:space="preserve">Apply least privilege to all functions affecting correct system behaviour.</t>
  </si>
  <si>
    <t xml:space="preserve">BSSC GSP v2 — 3. Protect</t>
  </si>
  <si>
    <t xml:space="preserve">req-least-privilege</t>
  </si>
  <si>
    <t xml:space="preserve">Access review.</t>
  </si>
  <si>
    <t xml:space="preserve">GSP-020</t>
  </si>
  <si>
    <t xml:space="preserve">Review production access annually and privileged access every six months.</t>
  </si>
  <si>
    <t xml:space="preserve">req-review-access</t>
  </si>
  <si>
    <t xml:space="preserve">GSP-021</t>
  </si>
  <si>
    <t xml:space="preserve">Restrict sensitive data/PII access to those with business need.</t>
  </si>
  <si>
    <t xml:space="preserve">req-restrict-pii</t>
  </si>
  <si>
    <t xml:space="preserve">A.5.15; A.8.3</t>
  </si>
  <si>
    <t xml:space="preserve">Access lists for PII stores.</t>
  </si>
  <si>
    <t xml:space="preserve">GSP-022</t>
  </si>
  <si>
    <t xml:space="preserve">Revise access on role change and termination promptly.</t>
  </si>
  <si>
    <t xml:space="preserve">req-review-individual-access</t>
  </si>
  <si>
    <t xml:space="preserve">Joiner/mover/leaver sample.</t>
  </si>
  <si>
    <t xml:space="preserve">GSP-023</t>
  </si>
  <si>
    <t xml:space="preserve">Require step-up verification (phishing-resistant MFA) for admin access and audit privileged use.</t>
  </si>
  <si>
    <t xml:space="preserve">req-verify-privileged-access</t>
  </si>
  <si>
    <t xml:space="preserve">PR.AA-03</t>
  </si>
  <si>
    <t xml:space="preserve">A.8.5; A.8.2</t>
  </si>
  <si>
    <t xml:space="preserve">MFA config; PAM logs.</t>
  </si>
  <si>
    <t xml:space="preserve">GSP-024</t>
  </si>
  <si>
    <t xml:space="preserve">Run periodic enhanced background checks for staff with access to customer funds.</t>
  </si>
  <si>
    <t xml:space="preserve">req-background-checks</t>
  </si>
  <si>
    <t xml:space="preserve">Custodian/Exchange</t>
  </si>
  <si>
    <t xml:space="preserve">GV.RR-04</t>
  </si>
  <si>
    <t xml:space="preserve">A.6.1</t>
  </si>
  <si>
    <t xml:space="preserve">HR screening records.</t>
  </si>
  <si>
    <t xml:space="preserve">GSP-025</t>
  </si>
  <si>
    <t xml:space="preserve">Training</t>
  </si>
  <si>
    <t xml:space="preserve">Require annual security awareness training (incl. social engineering, wallet drainers).</t>
  </si>
  <si>
    <t xml:space="preserve">req-train-everyone</t>
  </si>
  <si>
    <t xml:space="preserve">PR.AT-01</t>
  </si>
  <si>
    <t xml:space="preserve">A.6.3</t>
  </si>
  <si>
    <t xml:space="preserve">Completion rates.</t>
  </si>
  <si>
    <t xml:space="preserve">GSP-026</t>
  </si>
  <si>
    <t xml:space="preserve">Provide developers additional secure SDLC / smart contract security training.</t>
  </si>
  <si>
    <t xml:space="preserve">req-security-training</t>
  </si>
  <si>
    <t xml:space="preserve">PR.AT-02</t>
  </si>
  <si>
    <t xml:space="preserve">A.6.3; A.8.25</t>
  </si>
  <si>
    <t xml:space="preserve">Training records.</t>
  </si>
  <si>
    <t xml:space="preserve">GSP-027</t>
  </si>
  <si>
    <t xml:space="preserve">Data protection</t>
  </si>
  <si>
    <t xml:space="preserve">Deploy DLP for email, web and removable media.</t>
  </si>
  <si>
    <t xml:space="preserve">req-prevent-exfiltration</t>
  </si>
  <si>
    <t xml:space="preserve">A.8.12</t>
  </si>
  <si>
    <t xml:space="preserve">DLP policy and incident reports.</t>
  </si>
  <si>
    <t xml:space="preserve">GSP-028</t>
  </si>
  <si>
    <t xml:space="preserve">Prevent customer data export from production; minimise necessary copies.</t>
  </si>
  <si>
    <t xml:space="preserve">req-protect-customer-data</t>
  </si>
  <si>
    <t xml:space="preserve">A.8.11; A.8.12</t>
  </si>
  <si>
    <t xml:space="preserve">Data flow review.</t>
  </si>
  <si>
    <t xml:space="preserve">GSP-029</t>
  </si>
  <si>
    <t xml:space="preserve">Infrastructure security</t>
  </si>
  <si>
    <t xml:space="preserve">Implement the BSSC Key Management Standard or equivalent.</t>
  </si>
  <si>
    <t xml:space="preserve">req-protect-keys</t>
  </si>
  <si>
    <t xml:space="preserve">1.01-1.10</t>
  </si>
  <si>
    <t xml:space="preserve">KMS conformance matrix.</t>
  </si>
  <si>
    <t xml:space="preserve">GSP-030</t>
  </si>
  <si>
    <t xml:space="preserve">Use secure, authenticated internal and external communication channels.</t>
  </si>
  <si>
    <t xml:space="preserve">req-use-seecure-comms</t>
  </si>
  <si>
    <t xml:space="preserve">A.5.14; A.8.21</t>
  </si>
  <si>
    <t xml:space="preserve">Channel inventory.</t>
  </si>
  <si>
    <t xml:space="preserve">GSP-031</t>
  </si>
  <si>
    <t xml:space="preserve">Document and enforce password length/complexity standards (NIST SP 800-63B).</t>
  </si>
  <si>
    <t xml:space="preserve">req-password-standards</t>
  </si>
  <si>
    <t xml:space="preserve">A.5.17</t>
  </si>
  <si>
    <t xml:space="preserve">IdP policy.</t>
  </si>
  <si>
    <t xml:space="preserve">GSP-032</t>
  </si>
  <si>
    <t xml:space="preserve">Ensure integrity of software components and dependencies (signed artifacts, SLSA provenance).</t>
  </si>
  <si>
    <t xml:space="preserve">req-secure-software</t>
  </si>
  <si>
    <t xml:space="preserve">A.8.19; A.8.30</t>
  </si>
  <si>
    <t xml:space="preserve">Provenance attestations.</t>
  </si>
  <si>
    <t xml:space="preserve">GSP-033</t>
  </si>
  <si>
    <t xml:space="preserve">Validate and robustly handle malformed or malicious third-party data (RPC, oracle, API inputs).</t>
  </si>
  <si>
    <t xml:space="preserve">req-error-handling</t>
  </si>
  <si>
    <t xml:space="preserve">Input validation tests.</t>
  </si>
  <si>
    <t xml:space="preserve">GSP-034</t>
  </si>
  <si>
    <t xml:space="preserve">Enrol all devices in MDM with remote wipe.</t>
  </si>
  <si>
    <t xml:space="preserve">req-managed-devices</t>
  </si>
  <si>
    <t xml:space="preserve">PR.PS-01; ID.AM-01</t>
  </si>
  <si>
    <t xml:space="preserve">A.8.1</t>
  </si>
  <si>
    <t xml:space="preserve">MDM coverage report.</t>
  </si>
  <si>
    <t xml:space="preserve">GSP-035</t>
  </si>
  <si>
    <t xml:space="preserve">Protect internet-facing systems against DDoS, malware and bots (WAF, EDR, DDoS protection).</t>
  </si>
  <si>
    <t xml:space="preserve">req-anti-virus</t>
  </si>
  <si>
    <t xml:space="preserve">PR.IR-01; DE.CM-01</t>
  </si>
  <si>
    <t xml:space="preserve">A.8.7; A.8.20</t>
  </si>
  <si>
    <t xml:space="preserve">EDR/WAF coverage.</t>
  </si>
  <si>
    <t xml:space="preserve">GSP-036</t>
  </si>
  <si>
    <t xml:space="preserve">Log all security events in production systems and applications.</t>
  </si>
  <si>
    <t xml:space="preserve">req-event-logs</t>
  </si>
  <si>
    <t xml:space="preserve">SIEM source coverage.</t>
  </si>
  <si>
    <t xml:space="preserve">GSP-037</t>
  </si>
  <si>
    <t xml:space="preserve">Cryptographic security</t>
  </si>
  <si>
    <t xml:space="preserve">Maintain a cryptographic inventory and migration plan for timely transitions incl. post-quantum.</t>
  </si>
  <si>
    <t xml:space="preserve">req-crypto-agility</t>
  </si>
  <si>
    <t xml:space="preserve">ID.AM-08; ID.IM-04</t>
  </si>
  <si>
    <t xml:space="preserve">Crypto inventory and plan.</t>
  </si>
  <si>
    <t xml:space="preserve">GSP-038</t>
  </si>
  <si>
    <t xml:space="preserve">4. Detect</t>
  </si>
  <si>
    <t xml:space="preserve">Continuous monitoring</t>
  </si>
  <si>
    <t xml:space="preserve">Employ real-time threat monitoring (SOC/MDR, on-chain monitoring).</t>
  </si>
  <si>
    <t xml:space="preserve">BSSC GSP v2 — 4. Detect</t>
  </si>
  <si>
    <t xml:space="preserve">req-monitor-realtime</t>
  </si>
  <si>
    <t xml:space="preserve">DE.CM-01; DE.CM-09</t>
  </si>
  <si>
    <t xml:space="preserve">SOC coverage.</t>
  </si>
  <si>
    <t xml:space="preserve">GSP-039</t>
  </si>
  <si>
    <t xml:space="preserve">Maintain breach detection that alerts staff and triggers the IRP.</t>
  </si>
  <si>
    <t xml:space="preserve">req-intrusion-detection</t>
  </si>
  <si>
    <t xml:space="preserve">DE.AE-08</t>
  </si>
  <si>
    <t xml:space="preserve">A.8.16; A.5.25</t>
  </si>
  <si>
    <t xml:space="preserve">Detection → IR test.</t>
  </si>
  <si>
    <t xml:space="preserve">GSP-040</t>
  </si>
  <si>
    <t xml:space="preserve">Security assessment</t>
  </si>
  <si>
    <t xml:space="preserve">Perform and document security reviews of all on-chain and off-chain software.</t>
  </si>
  <si>
    <t xml:space="preserve">req-review-software</t>
  </si>
  <si>
    <t xml:space="preserve">Review reports.</t>
  </si>
  <si>
    <t xml:space="preserve">GSP-041</t>
  </si>
  <si>
    <t xml:space="preserve">Commission independent penetration tests at least every 12 months.</t>
  </si>
  <si>
    <t xml:space="preserve">req-test-penetration</t>
  </si>
  <si>
    <t xml:space="preserve">Pentest report &lt; 12 months.</t>
  </si>
  <si>
    <t xml:space="preserve">GSP-042</t>
  </si>
  <si>
    <t xml:space="preserve">Vulnerability reporting</t>
  </si>
  <si>
    <t xml:space="preserve">Provide a channel for external researchers to report vulnerabilities.</t>
  </si>
  <si>
    <t xml:space="preserve">req-responsible-reporting</t>
  </si>
  <si>
    <t xml:space="preserve">A.8.8; A.5.5</t>
  </si>
  <si>
    <t xml:space="preserve">security.txt / VDP.</t>
  </si>
  <si>
    <t xml:space="preserve">GSP-043</t>
  </si>
  <si>
    <t xml:space="preserve">Triage and remediate reported vulnerabilities through a defined process.</t>
  </si>
  <si>
    <t xml:space="preserve">req-process-reports</t>
  </si>
  <si>
    <t xml:space="preserve">Report tracking SLAs.</t>
  </si>
  <si>
    <t xml:space="preserve">GSP-044</t>
  </si>
  <si>
    <t xml:space="preserve">5. Respond</t>
  </si>
  <si>
    <t xml:space="preserve">Maintain an IRP covering severity, scope analysis, reporting, communications and closure.</t>
  </si>
  <si>
    <t xml:space="preserve">BSSC GSP v2 — 5. Respond</t>
  </si>
  <si>
    <t xml:space="preserve">req-implement-irp</t>
  </si>
  <si>
    <t xml:space="preserve">GSP-045</t>
  </si>
  <si>
    <t xml:space="preserve">Test and update the IRP at least annually and train key staff.</t>
  </si>
  <si>
    <t xml:space="preserve">req-maintain-irp</t>
  </si>
  <si>
    <t xml:space="preserve">ID.IM-02; PR.AT-02</t>
  </si>
  <si>
    <t xml:space="preserve">Exercise records.</t>
  </si>
  <si>
    <t xml:space="preserve">GSP-046</t>
  </si>
  <si>
    <t xml:space="preserve">Run root-cause analysis for all incidents and improve controls.</t>
  </si>
  <si>
    <t xml:space="preserve">req-analyze-incidents</t>
  </si>
  <si>
    <t xml:space="preserve">RS.AN-03; ID.IM-03</t>
  </si>
  <si>
    <t xml:space="preserve">A.5.27</t>
  </si>
  <si>
    <t xml:space="preserve">RCA reports.</t>
  </si>
  <si>
    <t xml:space="preserve">GSP-047</t>
  </si>
  <si>
    <t xml:space="preserve">6. Recover</t>
  </si>
  <si>
    <t xml:space="preserve">Continuity</t>
  </si>
  <si>
    <t xml:space="preserve">Document a business continuity plan for critical processes.</t>
  </si>
  <si>
    <t xml:space="preserve">BSSC GSP v2 — 6. Recover</t>
  </si>
  <si>
    <t xml:space="preserve">req-document-continuity-plan</t>
  </si>
  <si>
    <t xml:space="preserve">A.5.29; A.5.30</t>
  </si>
  <si>
    <t xml:space="preserve">BCP document.</t>
  </si>
  <si>
    <t xml:space="preserve">GSP-048</t>
  </si>
  <si>
    <t xml:space="preserve">Document DR plans with RTOs, RPOs and failover processes.</t>
  </si>
  <si>
    <t xml:space="preserve">req-document-disaster-recovery</t>
  </si>
  <si>
    <t xml:space="preserve">A.5.30; A.8.14</t>
  </si>
  <si>
    <t xml:space="preserve">DR plan.</t>
  </si>
  <si>
    <t xml:space="preserve">GSP-049</t>
  </si>
  <si>
    <t xml:space="preserve">Plan testing</t>
  </si>
  <si>
    <t xml:space="preserve">Review and test BCP/DR annually and after major changes.</t>
  </si>
  <si>
    <t xml:space="preserve">req-test-recovery-plans</t>
  </si>
  <si>
    <t xml:space="preserve">ID.IM-02; RC.RP-01</t>
  </si>
  <si>
    <t xml:space="preserve">Test reports.</t>
  </si>
  <si>
    <t xml:space="preserve">GSP-050</t>
  </si>
  <si>
    <t xml:space="preserve">7. Privacy</t>
  </si>
  <si>
    <t xml:space="preserve">Privacy compliance</t>
  </si>
  <si>
    <t xml:space="preserve">Identify applicable privacy laws (GDPR, CCPA) and implement compliance processes.</t>
  </si>
  <si>
    <t xml:space="preserve">BSSC GSP v2 — 7. Privacy</t>
  </si>
  <si>
    <t xml:space="preserve">req-comply-privacy-regulation</t>
  </si>
  <si>
    <t xml:space="preserve">Privacy compliance register.</t>
  </si>
  <si>
    <t xml:space="preserve">GSP-051</t>
  </si>
  <si>
    <t xml:space="preserve">PII</t>
  </si>
  <si>
    <t xml:space="preserve">Treat on-chain data linkable to individuals (addresses, transactions) as PII.</t>
  </si>
  <si>
    <t xml:space="preserve">req-manage-pii</t>
  </si>
  <si>
    <t xml:space="preserve">ID.AM-07</t>
  </si>
  <si>
    <t xml:space="preserve">Data inventory classifies addresses.</t>
  </si>
  <si>
    <t xml:space="preserve">GSP-052</t>
  </si>
  <si>
    <t xml:space="preserve">Process personal data only for defined, communicated purposes.</t>
  </si>
  <si>
    <t xml:space="preserve">req-define-pii-use</t>
  </si>
  <si>
    <t xml:space="preserve">Privacy notice / RoPA.</t>
  </si>
  <si>
    <t xml:space="preserve">GSP-053</t>
  </si>
  <si>
    <t xml:space="preserve">Never use personal data for incompatible purposes.</t>
  </si>
  <si>
    <t xml:space="preserve">req-follow-usage-policy</t>
  </si>
  <si>
    <t xml:space="preserve">Data use audit.</t>
  </si>
  <si>
    <t xml:space="preserve">GSP-054</t>
  </si>
  <si>
    <t xml:space="preserve">Obtain consent/disclosure for new incompatible purposes.</t>
  </si>
  <si>
    <t xml:space="preserve">req-renew-consent</t>
  </si>
  <si>
    <t xml:space="preserve">Consent records.</t>
  </si>
  <si>
    <t xml:space="preserve">GSP-055</t>
  </si>
  <si>
    <t xml:space="preserve">Inform users before on-chain submission what personal data is stored and why.</t>
  </si>
  <si>
    <t xml:space="preserve">req-pii-use-transparency</t>
  </si>
  <si>
    <t xml:space="preserve">UX disclosure review.</t>
  </si>
  <si>
    <t xml:space="preserve">GSP-056</t>
  </si>
  <si>
    <t xml:space="preserve">Minimise personal data stored on-chain (hashes/commitments, off-chain storage).</t>
  </si>
  <si>
    <t xml:space="preserve">req-minimize-pii-stored</t>
  </si>
  <si>
    <t xml:space="preserve">A.5.34; A.8.11</t>
  </si>
  <si>
    <t xml:space="preserve">Design review of on-chain payloads.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</si>
</sst>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CE4D6"/>
      <rgbColor rgb="FF660066"/>
      <rgbColor rgb="FFFF8080"/>
      <rgbColor rgb="FF0563C1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nos/" TargetMode="External"/><Relationship Id="rId2" Type="http://schemas.openxmlformats.org/officeDocument/2006/relationships/hyperlink" Target="https://specs.blockchainssc.org/tis/" TargetMode="External"/><Relationship Id="rId3" Type="http://schemas.openxmlformats.org/officeDocument/2006/relationships/hyperlink" Target="https://specs.blockchainssc.org/kms/" TargetMode="External"/><Relationship Id="rId4" Type="http://schemas.openxmlformats.org/officeDocument/2006/relationships/hyperlink" Target="https://specs.blockchainssc.org/scs/" TargetMode="External"/><Relationship Id="rId5" Type="http://schemas.openxmlformats.org/officeDocument/2006/relationships/hyperlink" Target="https://specs.blockchainssc.org/gsp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nos/" TargetMode="External"/><Relationship Id="rId2" Type="http://schemas.openxmlformats.org/officeDocument/2006/relationships/hyperlink" Target="https://specs.blockchainssc.org/nos/" TargetMode="External"/><Relationship Id="rId3" Type="http://schemas.openxmlformats.org/officeDocument/2006/relationships/hyperlink" Target="https://specs.blockchainssc.org/nos/" TargetMode="External"/><Relationship Id="rId4" Type="http://schemas.openxmlformats.org/officeDocument/2006/relationships/hyperlink" Target="https://specs.blockchainssc.org/nos/" TargetMode="External"/><Relationship Id="rId5" Type="http://schemas.openxmlformats.org/officeDocument/2006/relationships/hyperlink" Target="https://specs.blockchainssc.org/nos/" TargetMode="External"/><Relationship Id="rId6" Type="http://schemas.openxmlformats.org/officeDocument/2006/relationships/hyperlink" Target="https://specs.blockchainssc.org/nos/" TargetMode="External"/><Relationship Id="rId7" Type="http://schemas.openxmlformats.org/officeDocument/2006/relationships/hyperlink" Target="https://specs.blockchainssc.org/nos/" TargetMode="External"/><Relationship Id="rId8" Type="http://schemas.openxmlformats.org/officeDocument/2006/relationships/hyperlink" Target="https://specs.blockchainssc.org/nos/" TargetMode="External"/><Relationship Id="rId9" Type="http://schemas.openxmlformats.org/officeDocument/2006/relationships/hyperlink" Target="https://specs.blockchainssc.org/nos/" TargetMode="External"/><Relationship Id="rId10" Type="http://schemas.openxmlformats.org/officeDocument/2006/relationships/hyperlink" Target="https://specs.blockchainssc.org/nos/" TargetMode="External"/><Relationship Id="rId11" Type="http://schemas.openxmlformats.org/officeDocument/2006/relationships/hyperlink" Target="https://specs.blockchainssc.org/nos/" TargetMode="External"/><Relationship Id="rId12" Type="http://schemas.openxmlformats.org/officeDocument/2006/relationships/hyperlink" Target="https://specs.blockchainssc.org/nos/" TargetMode="External"/><Relationship Id="rId13" Type="http://schemas.openxmlformats.org/officeDocument/2006/relationships/hyperlink" Target="https://specs.blockchainssc.org/nos/" TargetMode="External"/><Relationship Id="rId14" Type="http://schemas.openxmlformats.org/officeDocument/2006/relationships/hyperlink" Target="https://specs.blockchainssc.org/nos/" TargetMode="External"/><Relationship Id="rId15" Type="http://schemas.openxmlformats.org/officeDocument/2006/relationships/hyperlink" Target="https://specs.blockchainssc.org/nos/" TargetMode="External"/><Relationship Id="rId16" Type="http://schemas.openxmlformats.org/officeDocument/2006/relationships/hyperlink" Target="https://specs.blockchainssc.org/nos/" TargetMode="External"/><Relationship Id="rId17" Type="http://schemas.openxmlformats.org/officeDocument/2006/relationships/hyperlink" Target="https://specs.blockchainssc.org/nos/" TargetMode="External"/><Relationship Id="rId18" Type="http://schemas.openxmlformats.org/officeDocument/2006/relationships/hyperlink" Target="https://specs.blockchainssc.org/nos/" TargetMode="External"/><Relationship Id="rId19" Type="http://schemas.openxmlformats.org/officeDocument/2006/relationships/hyperlink" Target="https://specs.blockchainssc.org/nos/" TargetMode="External"/><Relationship Id="rId20" Type="http://schemas.openxmlformats.org/officeDocument/2006/relationships/hyperlink" Target="https://specs.blockchainssc.org/nos/" TargetMode="External"/><Relationship Id="rId21" Type="http://schemas.openxmlformats.org/officeDocument/2006/relationships/hyperlink" Target="https://specs.blockchainssc.org/nos/" TargetMode="External"/><Relationship Id="rId22" Type="http://schemas.openxmlformats.org/officeDocument/2006/relationships/hyperlink" Target="https://specs.blockchainssc.org/nos/" TargetMode="External"/><Relationship Id="rId23" Type="http://schemas.openxmlformats.org/officeDocument/2006/relationships/hyperlink" Target="https://specs.blockchainssc.org/nos/" TargetMode="External"/><Relationship Id="rId24" Type="http://schemas.openxmlformats.org/officeDocument/2006/relationships/hyperlink" Target="https://specs.blockchainssc.org/nos/" TargetMode="External"/><Relationship Id="rId25" Type="http://schemas.openxmlformats.org/officeDocument/2006/relationships/hyperlink" Target="https://specs.blockchainssc.org/nos/" TargetMode="External"/><Relationship Id="rId26" Type="http://schemas.openxmlformats.org/officeDocument/2006/relationships/hyperlink" Target="https://specs.blockchainssc.org/nos/" TargetMode="External"/><Relationship Id="rId27" Type="http://schemas.openxmlformats.org/officeDocument/2006/relationships/hyperlink" Target="https://specs.blockchainssc.org/nos/" TargetMode="External"/><Relationship Id="rId28" Type="http://schemas.openxmlformats.org/officeDocument/2006/relationships/hyperlink" Target="https://specs.blockchainssc.org/nos/" TargetMode="External"/><Relationship Id="rId29" Type="http://schemas.openxmlformats.org/officeDocument/2006/relationships/hyperlink" Target="https://specs.blockchainssc.org/nos/" TargetMode="External"/><Relationship Id="rId30" Type="http://schemas.openxmlformats.org/officeDocument/2006/relationships/hyperlink" Target="https://specs.blockchainssc.org/nos/" TargetMode="External"/><Relationship Id="rId31" Type="http://schemas.openxmlformats.org/officeDocument/2006/relationships/hyperlink" Target="https://specs.blockchainssc.org/nos/" TargetMode="External"/><Relationship Id="rId32" Type="http://schemas.openxmlformats.org/officeDocument/2006/relationships/hyperlink" Target="https://specs.blockchainssc.org/nos/" TargetMode="External"/><Relationship Id="rId33" Type="http://schemas.openxmlformats.org/officeDocument/2006/relationships/hyperlink" Target="https://specs.blockchainssc.org/nos/" TargetMode="External"/><Relationship Id="rId34" Type="http://schemas.openxmlformats.org/officeDocument/2006/relationships/hyperlink" Target="https://specs.blockchainssc.org/nos/" TargetMode="External"/><Relationship Id="rId35" Type="http://schemas.openxmlformats.org/officeDocument/2006/relationships/hyperlink" Target="https://specs.blockchainssc.org/nos/" TargetMode="External"/><Relationship Id="rId36" Type="http://schemas.openxmlformats.org/officeDocument/2006/relationships/hyperlink" Target="https://specs.blockchainssc.org/nos/" TargetMode="External"/><Relationship Id="rId37" Type="http://schemas.openxmlformats.org/officeDocument/2006/relationships/hyperlink" Target="https://specs.blockchainssc.org/nos/" TargetMode="External"/><Relationship Id="rId38" Type="http://schemas.openxmlformats.org/officeDocument/2006/relationships/hyperlink" Target="https://specs.blockchainssc.org/nos/" TargetMode="External"/><Relationship Id="rId39" Type="http://schemas.openxmlformats.org/officeDocument/2006/relationships/hyperlink" Target="https://specs.blockchainssc.org/nos/" TargetMode="External"/><Relationship Id="rId40" Type="http://schemas.openxmlformats.org/officeDocument/2006/relationships/hyperlink" Target="https://specs.blockchainssc.org/nos/" TargetMode="External"/><Relationship Id="rId41" Type="http://schemas.openxmlformats.org/officeDocument/2006/relationships/hyperlink" Target="https://specs.blockchainssc.org/nos/" TargetMode="External"/><Relationship Id="rId42" Type="http://schemas.openxmlformats.org/officeDocument/2006/relationships/hyperlink" Target="https://specs.blockchainssc.org/nos/" TargetMode="External"/><Relationship Id="rId43" Type="http://schemas.openxmlformats.org/officeDocument/2006/relationships/hyperlink" Target="https://specs.blockchainssc.org/nos/" TargetMode="External"/><Relationship Id="rId44" Type="http://schemas.openxmlformats.org/officeDocument/2006/relationships/hyperlink" Target="https://specs.blockchainssc.org/nos/" TargetMode="External"/><Relationship Id="rId45" Type="http://schemas.openxmlformats.org/officeDocument/2006/relationships/hyperlink" Target="https://specs.blockchainssc.org/nos/" TargetMode="External"/><Relationship Id="rId46" Type="http://schemas.openxmlformats.org/officeDocument/2006/relationships/hyperlink" Target="https://specs.blockchainssc.org/nos/" TargetMode="External"/><Relationship Id="rId47" Type="http://schemas.openxmlformats.org/officeDocument/2006/relationships/hyperlink" Target="https://specs.blockchainssc.org/nos/" TargetMode="External"/><Relationship Id="rId48" Type="http://schemas.openxmlformats.org/officeDocument/2006/relationships/hyperlink" Target="https://specs.blockchainssc.org/nos/" TargetMode="External"/><Relationship Id="rId49" Type="http://schemas.openxmlformats.org/officeDocument/2006/relationships/hyperlink" Target="https://specs.blockchainssc.org/nos/" TargetMode="External"/><Relationship Id="rId50" Type="http://schemas.openxmlformats.org/officeDocument/2006/relationships/hyperlink" Target="https://specs.blockchainssc.org/nos/" TargetMode="External"/><Relationship Id="rId51" Type="http://schemas.openxmlformats.org/officeDocument/2006/relationships/hyperlink" Target="https://specs.blockchainssc.org/nos/" TargetMode="External"/><Relationship Id="rId52" Type="http://schemas.openxmlformats.org/officeDocument/2006/relationships/hyperlink" Target="https://specs.blockchainssc.org/nos/" TargetMode="External"/><Relationship Id="rId53" Type="http://schemas.openxmlformats.org/officeDocument/2006/relationships/hyperlink" Target="https://specs.blockchainssc.org/nos/" TargetMode="External"/><Relationship Id="rId54" Type="http://schemas.openxmlformats.org/officeDocument/2006/relationships/hyperlink" Target="https://specs.blockchainssc.org/nos/" TargetMode="External"/><Relationship Id="rId55" Type="http://schemas.openxmlformats.org/officeDocument/2006/relationships/hyperlink" Target="https://specs.blockchainssc.org/tis/" TargetMode="External"/><Relationship Id="rId56" Type="http://schemas.openxmlformats.org/officeDocument/2006/relationships/hyperlink" Target="https://specs.blockchainssc.org/tis/" TargetMode="External"/><Relationship Id="rId57" Type="http://schemas.openxmlformats.org/officeDocument/2006/relationships/hyperlink" Target="https://specs.blockchainssc.org/tis/" TargetMode="External"/><Relationship Id="rId58" Type="http://schemas.openxmlformats.org/officeDocument/2006/relationships/hyperlink" Target="https://specs.blockchainssc.org/tis/" TargetMode="External"/><Relationship Id="rId59" Type="http://schemas.openxmlformats.org/officeDocument/2006/relationships/hyperlink" Target="https://specs.blockchainssc.org/tis/" TargetMode="External"/><Relationship Id="rId60" Type="http://schemas.openxmlformats.org/officeDocument/2006/relationships/hyperlink" Target="https://specs.blockchainssc.org/tis/" TargetMode="External"/><Relationship Id="rId61" Type="http://schemas.openxmlformats.org/officeDocument/2006/relationships/hyperlink" Target="https://specs.blockchainssc.org/tis/" TargetMode="External"/><Relationship Id="rId62" Type="http://schemas.openxmlformats.org/officeDocument/2006/relationships/hyperlink" Target="https://specs.blockchainssc.org/tis/" TargetMode="External"/><Relationship Id="rId63" Type="http://schemas.openxmlformats.org/officeDocument/2006/relationships/hyperlink" Target="https://specs.blockchainssc.org/tis/" TargetMode="External"/><Relationship Id="rId64" Type="http://schemas.openxmlformats.org/officeDocument/2006/relationships/hyperlink" Target="https://specs.blockchainssc.org/tis/" TargetMode="External"/><Relationship Id="rId65" Type="http://schemas.openxmlformats.org/officeDocument/2006/relationships/hyperlink" Target="https://specs.blockchainssc.org/tis/" TargetMode="External"/><Relationship Id="rId66" Type="http://schemas.openxmlformats.org/officeDocument/2006/relationships/hyperlink" Target="https://specs.blockchainssc.org/tis/" TargetMode="External"/><Relationship Id="rId67" Type="http://schemas.openxmlformats.org/officeDocument/2006/relationships/hyperlink" Target="https://specs.blockchainssc.org/tis/" TargetMode="External"/><Relationship Id="rId68" Type="http://schemas.openxmlformats.org/officeDocument/2006/relationships/hyperlink" Target="https://specs.blockchainssc.org/tis/" TargetMode="External"/><Relationship Id="rId69" Type="http://schemas.openxmlformats.org/officeDocument/2006/relationships/hyperlink" Target="https://specs.blockchainssc.org/tis/" TargetMode="External"/><Relationship Id="rId70" Type="http://schemas.openxmlformats.org/officeDocument/2006/relationships/hyperlink" Target="https://specs.blockchainssc.org/tis/" TargetMode="External"/><Relationship Id="rId71" Type="http://schemas.openxmlformats.org/officeDocument/2006/relationships/hyperlink" Target="https://specs.blockchainssc.org/tis/" TargetMode="External"/><Relationship Id="rId72" Type="http://schemas.openxmlformats.org/officeDocument/2006/relationships/hyperlink" Target="https://specs.blockchainssc.org/tis/" TargetMode="External"/><Relationship Id="rId73" Type="http://schemas.openxmlformats.org/officeDocument/2006/relationships/hyperlink" Target="https://specs.blockchainssc.org/tis/" TargetMode="External"/><Relationship Id="rId74" Type="http://schemas.openxmlformats.org/officeDocument/2006/relationships/hyperlink" Target="https://specs.blockchainssc.org/tis/" TargetMode="External"/><Relationship Id="rId75" Type="http://schemas.openxmlformats.org/officeDocument/2006/relationships/hyperlink" Target="https://specs.blockchainssc.org/tis/" TargetMode="External"/><Relationship Id="rId76" Type="http://schemas.openxmlformats.org/officeDocument/2006/relationships/hyperlink" Target="https://specs.blockchainssc.org/tis/" TargetMode="External"/><Relationship Id="rId77" Type="http://schemas.openxmlformats.org/officeDocument/2006/relationships/hyperlink" Target="https://specs.blockchainssc.org/tis/" TargetMode="External"/><Relationship Id="rId78" Type="http://schemas.openxmlformats.org/officeDocument/2006/relationships/hyperlink" Target="https://specs.blockchainssc.org/tis/" TargetMode="External"/><Relationship Id="rId79" Type="http://schemas.openxmlformats.org/officeDocument/2006/relationships/hyperlink" Target="https://specs.blockchainssc.org/tis/" TargetMode="External"/><Relationship Id="rId80" Type="http://schemas.openxmlformats.org/officeDocument/2006/relationships/hyperlink" Target="https://specs.blockchainssc.org/tis/" TargetMode="External"/><Relationship Id="rId81" Type="http://schemas.openxmlformats.org/officeDocument/2006/relationships/hyperlink" Target="https://specs.blockchainssc.org/tis/" TargetMode="External"/><Relationship Id="rId82" Type="http://schemas.openxmlformats.org/officeDocument/2006/relationships/hyperlink" Target="https://specs.blockchainssc.org/tis/" TargetMode="External"/><Relationship Id="rId83" Type="http://schemas.openxmlformats.org/officeDocument/2006/relationships/hyperlink" Target="https://specs.blockchainssc.org/tis/" TargetMode="External"/><Relationship Id="rId84" Type="http://schemas.openxmlformats.org/officeDocument/2006/relationships/hyperlink" Target="https://specs.blockchainssc.org/tis/" TargetMode="External"/><Relationship Id="rId85" Type="http://schemas.openxmlformats.org/officeDocument/2006/relationships/hyperlink" Target="https://specs.blockchainssc.org/tis/" TargetMode="External"/><Relationship Id="rId86" Type="http://schemas.openxmlformats.org/officeDocument/2006/relationships/hyperlink" Target="https://specs.blockchainssc.org/tis/" TargetMode="External"/><Relationship Id="rId87" Type="http://schemas.openxmlformats.org/officeDocument/2006/relationships/hyperlink" Target="https://specs.blockchainssc.org/tis/" TargetMode="External"/><Relationship Id="rId88" Type="http://schemas.openxmlformats.org/officeDocument/2006/relationships/hyperlink" Target="https://specs.blockchainssc.org/tis/" TargetMode="External"/><Relationship Id="rId89" Type="http://schemas.openxmlformats.org/officeDocument/2006/relationships/hyperlink" Target="https://specs.blockchainssc.org/tis/" TargetMode="External"/><Relationship Id="rId90" Type="http://schemas.openxmlformats.org/officeDocument/2006/relationships/hyperlink" Target="https://specs.blockchainssc.org/tis/" TargetMode="External"/><Relationship Id="rId91" Type="http://schemas.openxmlformats.org/officeDocument/2006/relationships/hyperlink" Target="https://specs.blockchainssc.org/tis/" TargetMode="External"/><Relationship Id="rId92" Type="http://schemas.openxmlformats.org/officeDocument/2006/relationships/hyperlink" Target="https://specs.blockchainssc.org/tis/" TargetMode="External"/><Relationship Id="rId93" Type="http://schemas.openxmlformats.org/officeDocument/2006/relationships/hyperlink" Target="https://specs.blockchainssc.org/tis/" TargetMode="External"/><Relationship Id="rId94" Type="http://schemas.openxmlformats.org/officeDocument/2006/relationships/hyperlink" Target="https://specs.blockchainssc.org/tis/" TargetMode="External"/><Relationship Id="rId95" Type="http://schemas.openxmlformats.org/officeDocument/2006/relationships/hyperlink" Target="https://specs.blockchainssc.org/tis/" TargetMode="External"/><Relationship Id="rId96" Type="http://schemas.openxmlformats.org/officeDocument/2006/relationships/hyperlink" Target="https://specs.blockchainssc.org/tis/" TargetMode="External"/><Relationship Id="rId97" Type="http://schemas.openxmlformats.org/officeDocument/2006/relationships/hyperlink" Target="https://specs.blockchainssc.org/tis/" TargetMode="External"/><Relationship Id="rId98" Type="http://schemas.openxmlformats.org/officeDocument/2006/relationships/hyperlink" Target="https://specs.blockchainssc.org/tis/" TargetMode="External"/><Relationship Id="rId99" Type="http://schemas.openxmlformats.org/officeDocument/2006/relationships/hyperlink" Target="https://specs.blockchainssc.org/tis/" TargetMode="External"/><Relationship Id="rId100" Type="http://schemas.openxmlformats.org/officeDocument/2006/relationships/hyperlink" Target="https://specs.blockchainssc.org/tis/" TargetMode="External"/><Relationship Id="rId101" Type="http://schemas.openxmlformats.org/officeDocument/2006/relationships/hyperlink" Target="https://specs.blockchainssc.org/tis/" TargetMode="External"/><Relationship Id="rId102" Type="http://schemas.openxmlformats.org/officeDocument/2006/relationships/hyperlink" Target="https://specs.blockchainssc.org/tis/" TargetMode="External"/><Relationship Id="rId103" Type="http://schemas.openxmlformats.org/officeDocument/2006/relationships/hyperlink" Target="https://specs.blockchainssc.org/tis/" TargetMode="External"/><Relationship Id="rId104" Type="http://schemas.openxmlformats.org/officeDocument/2006/relationships/hyperlink" Target="https://specs.blockchainssc.org/tis/" TargetMode="External"/><Relationship Id="rId105" Type="http://schemas.openxmlformats.org/officeDocument/2006/relationships/hyperlink" Target="https://specs.blockchainssc.org/kms/" TargetMode="External"/><Relationship Id="rId106" Type="http://schemas.openxmlformats.org/officeDocument/2006/relationships/hyperlink" Target="https://specs.blockchainssc.org/kms/" TargetMode="External"/><Relationship Id="rId107" Type="http://schemas.openxmlformats.org/officeDocument/2006/relationships/hyperlink" Target="https://specs.blockchainssc.org/kms/" TargetMode="External"/><Relationship Id="rId108" Type="http://schemas.openxmlformats.org/officeDocument/2006/relationships/hyperlink" Target="https://specs.blockchainssc.org/kms/" TargetMode="External"/><Relationship Id="rId109" Type="http://schemas.openxmlformats.org/officeDocument/2006/relationships/hyperlink" Target="https://specs.blockchainssc.org/kms/" TargetMode="External"/><Relationship Id="rId110" Type="http://schemas.openxmlformats.org/officeDocument/2006/relationships/hyperlink" Target="https://specs.blockchainssc.org/kms/" TargetMode="External"/><Relationship Id="rId111" Type="http://schemas.openxmlformats.org/officeDocument/2006/relationships/hyperlink" Target="https://specs.blockchainssc.org/kms/" TargetMode="External"/><Relationship Id="rId112" Type="http://schemas.openxmlformats.org/officeDocument/2006/relationships/hyperlink" Target="https://specs.blockchainssc.org/kms/" TargetMode="External"/><Relationship Id="rId113" Type="http://schemas.openxmlformats.org/officeDocument/2006/relationships/hyperlink" Target="https://specs.blockchainssc.org/kms/" TargetMode="External"/><Relationship Id="rId114" Type="http://schemas.openxmlformats.org/officeDocument/2006/relationships/hyperlink" Target="https://specs.blockchainssc.org/kms/" TargetMode="External"/><Relationship Id="rId115" Type="http://schemas.openxmlformats.org/officeDocument/2006/relationships/hyperlink" Target="https://specs.blockchainssc.org/kms/" TargetMode="External"/><Relationship Id="rId116" Type="http://schemas.openxmlformats.org/officeDocument/2006/relationships/hyperlink" Target="https://specs.blockchainssc.org/kms/" TargetMode="External"/><Relationship Id="rId117" Type="http://schemas.openxmlformats.org/officeDocument/2006/relationships/hyperlink" Target="https://specs.blockchainssc.org/kms/" TargetMode="External"/><Relationship Id="rId118" Type="http://schemas.openxmlformats.org/officeDocument/2006/relationships/hyperlink" Target="https://specs.blockchainssc.org/kms/" TargetMode="External"/><Relationship Id="rId119" Type="http://schemas.openxmlformats.org/officeDocument/2006/relationships/hyperlink" Target="https://specs.blockchainssc.org/kms/" TargetMode="External"/><Relationship Id="rId120" Type="http://schemas.openxmlformats.org/officeDocument/2006/relationships/hyperlink" Target="https://specs.blockchainssc.org/kms/" TargetMode="External"/><Relationship Id="rId121" Type="http://schemas.openxmlformats.org/officeDocument/2006/relationships/hyperlink" Target="https://specs.blockchainssc.org/kms/" TargetMode="External"/><Relationship Id="rId122" Type="http://schemas.openxmlformats.org/officeDocument/2006/relationships/hyperlink" Target="https://specs.blockchainssc.org/kms/" TargetMode="External"/><Relationship Id="rId123" Type="http://schemas.openxmlformats.org/officeDocument/2006/relationships/hyperlink" Target="https://specs.blockchainssc.org/kms/" TargetMode="External"/><Relationship Id="rId124" Type="http://schemas.openxmlformats.org/officeDocument/2006/relationships/hyperlink" Target="https://specs.blockchainssc.org/kms/" TargetMode="External"/><Relationship Id="rId125" Type="http://schemas.openxmlformats.org/officeDocument/2006/relationships/hyperlink" Target="https://specs.blockchainssc.org/kms/" TargetMode="External"/><Relationship Id="rId126" Type="http://schemas.openxmlformats.org/officeDocument/2006/relationships/hyperlink" Target="https://specs.blockchainssc.org/kms/" TargetMode="External"/><Relationship Id="rId127" Type="http://schemas.openxmlformats.org/officeDocument/2006/relationships/hyperlink" Target="https://specs.blockchainssc.org/kms/" TargetMode="External"/><Relationship Id="rId128" Type="http://schemas.openxmlformats.org/officeDocument/2006/relationships/hyperlink" Target="https://specs.blockchainssc.org/kms/" TargetMode="External"/><Relationship Id="rId129" Type="http://schemas.openxmlformats.org/officeDocument/2006/relationships/hyperlink" Target="https://specs.blockchainssc.org/kms/" TargetMode="External"/><Relationship Id="rId130" Type="http://schemas.openxmlformats.org/officeDocument/2006/relationships/hyperlink" Target="https://specs.blockchainssc.org/kms/" TargetMode="External"/><Relationship Id="rId131" Type="http://schemas.openxmlformats.org/officeDocument/2006/relationships/hyperlink" Target="https://specs.blockchainssc.org/kms/" TargetMode="External"/><Relationship Id="rId132" Type="http://schemas.openxmlformats.org/officeDocument/2006/relationships/hyperlink" Target="https://specs.blockchainssc.org/kms/" TargetMode="External"/><Relationship Id="rId133" Type="http://schemas.openxmlformats.org/officeDocument/2006/relationships/hyperlink" Target="https://specs.blockchainssc.org/kms/" TargetMode="External"/><Relationship Id="rId134" Type="http://schemas.openxmlformats.org/officeDocument/2006/relationships/hyperlink" Target="https://specs.blockchainssc.org/kms/" TargetMode="External"/><Relationship Id="rId135" Type="http://schemas.openxmlformats.org/officeDocument/2006/relationships/hyperlink" Target="https://specs.blockchainssc.org/kms/" TargetMode="External"/><Relationship Id="rId136" Type="http://schemas.openxmlformats.org/officeDocument/2006/relationships/hyperlink" Target="https://specs.blockchainssc.org/kms/" TargetMode="External"/><Relationship Id="rId137" Type="http://schemas.openxmlformats.org/officeDocument/2006/relationships/hyperlink" Target="https://specs.blockchainssc.org/kms/" TargetMode="External"/><Relationship Id="rId138" Type="http://schemas.openxmlformats.org/officeDocument/2006/relationships/hyperlink" Target="https://specs.blockchainssc.org/kms/" TargetMode="External"/><Relationship Id="rId139" Type="http://schemas.openxmlformats.org/officeDocument/2006/relationships/hyperlink" Target="https://specs.blockchainssc.org/kms/" TargetMode="External"/><Relationship Id="rId140" Type="http://schemas.openxmlformats.org/officeDocument/2006/relationships/hyperlink" Target="https://specs.blockchainssc.org/kms/" TargetMode="External"/><Relationship Id="rId141" Type="http://schemas.openxmlformats.org/officeDocument/2006/relationships/hyperlink" Target="https://specs.blockchainssc.org/kms/" TargetMode="External"/><Relationship Id="rId142" Type="http://schemas.openxmlformats.org/officeDocument/2006/relationships/hyperlink" Target="https://specs.blockchainssc.org/kms/" TargetMode="External"/><Relationship Id="rId143" Type="http://schemas.openxmlformats.org/officeDocument/2006/relationships/hyperlink" Target="https://specs.blockchainssc.org/kms/" TargetMode="External"/><Relationship Id="rId144" Type="http://schemas.openxmlformats.org/officeDocument/2006/relationships/hyperlink" Target="https://specs.blockchainssc.org/kms/" TargetMode="External"/><Relationship Id="rId145" Type="http://schemas.openxmlformats.org/officeDocument/2006/relationships/hyperlink" Target="https://specs.blockchainssc.org/kms/" TargetMode="External"/><Relationship Id="rId146" Type="http://schemas.openxmlformats.org/officeDocument/2006/relationships/hyperlink" Target="https://specs.blockchainssc.org/kms/" TargetMode="External"/><Relationship Id="rId147" Type="http://schemas.openxmlformats.org/officeDocument/2006/relationships/hyperlink" Target="https://specs.blockchainssc.org/kms/" TargetMode="External"/><Relationship Id="rId148" Type="http://schemas.openxmlformats.org/officeDocument/2006/relationships/hyperlink" Target="https://specs.blockchainssc.org/kms/" TargetMode="External"/><Relationship Id="rId149" Type="http://schemas.openxmlformats.org/officeDocument/2006/relationships/hyperlink" Target="https://specs.blockchainssc.org/kms/" TargetMode="External"/><Relationship Id="rId150" Type="http://schemas.openxmlformats.org/officeDocument/2006/relationships/hyperlink" Target="https://specs.blockchainssc.org/kms/" TargetMode="External"/><Relationship Id="rId151" Type="http://schemas.openxmlformats.org/officeDocument/2006/relationships/hyperlink" Target="https://specs.blockchainssc.org/kms/" TargetMode="External"/><Relationship Id="rId152" Type="http://schemas.openxmlformats.org/officeDocument/2006/relationships/hyperlink" Target="https://specs.blockchainssc.org/kms/" TargetMode="External"/><Relationship Id="rId153" Type="http://schemas.openxmlformats.org/officeDocument/2006/relationships/hyperlink" Target="https://specs.blockchainssc.org/kms/" TargetMode="External"/><Relationship Id="rId154" Type="http://schemas.openxmlformats.org/officeDocument/2006/relationships/hyperlink" Target="https://specs.blockchainssc.org/kms/" TargetMode="External"/><Relationship Id="rId155" Type="http://schemas.openxmlformats.org/officeDocument/2006/relationships/hyperlink" Target="https://specs.blockchainssc.org/kms/" TargetMode="External"/><Relationship Id="rId156" Type="http://schemas.openxmlformats.org/officeDocument/2006/relationships/hyperlink" Target="https://specs.blockchainssc.org/kms/" TargetMode="External"/><Relationship Id="rId157" Type="http://schemas.openxmlformats.org/officeDocument/2006/relationships/hyperlink" Target="https://specs.blockchainssc.org/kms/" TargetMode="External"/><Relationship Id="rId158" Type="http://schemas.openxmlformats.org/officeDocument/2006/relationships/hyperlink" Target="https://specs.blockchainssc.org/kms/" TargetMode="External"/><Relationship Id="rId159" Type="http://schemas.openxmlformats.org/officeDocument/2006/relationships/hyperlink" Target="https://specs.blockchainssc.org/kms/" TargetMode="External"/><Relationship Id="rId160" Type="http://schemas.openxmlformats.org/officeDocument/2006/relationships/hyperlink" Target="https://specs.blockchainssc.org/kms/" TargetMode="External"/><Relationship Id="rId161" Type="http://schemas.openxmlformats.org/officeDocument/2006/relationships/hyperlink" Target="https://specs.blockchainssc.org/kms/" TargetMode="External"/><Relationship Id="rId162" Type="http://schemas.openxmlformats.org/officeDocument/2006/relationships/hyperlink" Target="https://specs.blockchainssc.org/kms/" TargetMode="External"/><Relationship Id="rId163" Type="http://schemas.openxmlformats.org/officeDocument/2006/relationships/hyperlink" Target="https://specs.blockchainssc.org/kms/" TargetMode="External"/><Relationship Id="rId164" Type="http://schemas.openxmlformats.org/officeDocument/2006/relationships/hyperlink" Target="https://specs.blockchainssc.org/kms/" TargetMode="External"/><Relationship Id="rId165" Type="http://schemas.openxmlformats.org/officeDocument/2006/relationships/hyperlink" Target="https://specs.blockchainssc.org/kms/" TargetMode="External"/><Relationship Id="rId166" Type="http://schemas.openxmlformats.org/officeDocument/2006/relationships/hyperlink" Target="https://specs.blockchainssc.org/kms/" TargetMode="External"/><Relationship Id="rId167" Type="http://schemas.openxmlformats.org/officeDocument/2006/relationships/hyperlink" Target="https://specs.blockchainssc.org/kms/" TargetMode="External"/><Relationship Id="rId168" Type="http://schemas.openxmlformats.org/officeDocument/2006/relationships/hyperlink" Target="https://specs.blockchainssc.org/kms/" TargetMode="External"/><Relationship Id="rId169" Type="http://schemas.openxmlformats.org/officeDocument/2006/relationships/hyperlink" Target="https://specs.blockchainssc.org/kms/" TargetMode="External"/><Relationship Id="rId170" Type="http://schemas.openxmlformats.org/officeDocument/2006/relationships/hyperlink" Target="https://specs.blockchainssc.org/kms/" TargetMode="External"/><Relationship Id="rId171" Type="http://schemas.openxmlformats.org/officeDocument/2006/relationships/hyperlink" Target="https://specs.blockchainssc.org/kms/" TargetMode="External"/><Relationship Id="rId172" Type="http://schemas.openxmlformats.org/officeDocument/2006/relationships/hyperlink" Target="https://specs.blockchainssc.org/kms/" TargetMode="External"/><Relationship Id="rId173" Type="http://schemas.openxmlformats.org/officeDocument/2006/relationships/hyperlink" Target="https://specs.blockchainssc.org/kms/" TargetMode="External"/><Relationship Id="rId174" Type="http://schemas.openxmlformats.org/officeDocument/2006/relationships/hyperlink" Target="https://specs.blockchainssc.org/kms/" TargetMode="External"/><Relationship Id="rId175" Type="http://schemas.openxmlformats.org/officeDocument/2006/relationships/hyperlink" Target="https://specs.blockchainssc.org/kms/" TargetMode="External"/><Relationship Id="rId176" Type="http://schemas.openxmlformats.org/officeDocument/2006/relationships/hyperlink" Target="https://specs.blockchainssc.org/kms/" TargetMode="External"/><Relationship Id="rId177" Type="http://schemas.openxmlformats.org/officeDocument/2006/relationships/hyperlink" Target="https://specs.blockchainssc.org/kms/" TargetMode="External"/><Relationship Id="rId178" Type="http://schemas.openxmlformats.org/officeDocument/2006/relationships/hyperlink" Target="https://specs.blockchainssc.org/kms/" TargetMode="External"/><Relationship Id="rId179" Type="http://schemas.openxmlformats.org/officeDocument/2006/relationships/hyperlink" Target="https://specs.blockchainssc.org/kms/" TargetMode="External"/><Relationship Id="rId180" Type="http://schemas.openxmlformats.org/officeDocument/2006/relationships/hyperlink" Target="https://specs.blockchainssc.org/kms/" TargetMode="External"/><Relationship Id="rId181" Type="http://schemas.openxmlformats.org/officeDocument/2006/relationships/hyperlink" Target="https://specs.blockchainssc.org/kms/" TargetMode="External"/><Relationship Id="rId182" Type="http://schemas.openxmlformats.org/officeDocument/2006/relationships/hyperlink" Target="https://specs.blockchainssc.org/kms/" TargetMode="External"/><Relationship Id="rId183" Type="http://schemas.openxmlformats.org/officeDocument/2006/relationships/hyperlink" Target="https://specs.blockchainssc.org/kms/" TargetMode="External"/><Relationship Id="rId184" Type="http://schemas.openxmlformats.org/officeDocument/2006/relationships/hyperlink" Target="https://specs.blockchainssc.org/kms/" TargetMode="External"/><Relationship Id="rId185" Type="http://schemas.openxmlformats.org/officeDocument/2006/relationships/hyperlink" Target="https://specs.blockchainssc.org/kms/" TargetMode="External"/><Relationship Id="rId186" Type="http://schemas.openxmlformats.org/officeDocument/2006/relationships/hyperlink" Target="https://specs.blockchainssc.org/kms/" TargetMode="External"/><Relationship Id="rId187" Type="http://schemas.openxmlformats.org/officeDocument/2006/relationships/hyperlink" Target="https://specs.blockchainssc.org/kms/" TargetMode="External"/><Relationship Id="rId188" Type="http://schemas.openxmlformats.org/officeDocument/2006/relationships/hyperlink" Target="https://specs.blockchainssc.org/kms/" TargetMode="External"/><Relationship Id="rId189" Type="http://schemas.openxmlformats.org/officeDocument/2006/relationships/hyperlink" Target="https://specs.blockchainssc.org/kms/" TargetMode="External"/><Relationship Id="rId190" Type="http://schemas.openxmlformats.org/officeDocument/2006/relationships/hyperlink" Target="https://specs.blockchainssc.org/kms/" TargetMode="External"/><Relationship Id="rId191" Type="http://schemas.openxmlformats.org/officeDocument/2006/relationships/hyperlink" Target="https://specs.blockchainssc.org/kms/" TargetMode="External"/><Relationship Id="rId192" Type="http://schemas.openxmlformats.org/officeDocument/2006/relationships/hyperlink" Target="https://specs.blockchainssc.org/kms/" TargetMode="External"/><Relationship Id="rId193" Type="http://schemas.openxmlformats.org/officeDocument/2006/relationships/hyperlink" Target="https://specs.blockchainssc.org/kms/" TargetMode="External"/><Relationship Id="rId194" Type="http://schemas.openxmlformats.org/officeDocument/2006/relationships/hyperlink" Target="https://specs.blockchainssc.org/kms/" TargetMode="External"/><Relationship Id="rId195" Type="http://schemas.openxmlformats.org/officeDocument/2006/relationships/hyperlink" Target="https://specs.blockchainssc.org/kms/" TargetMode="External"/><Relationship Id="rId196" Type="http://schemas.openxmlformats.org/officeDocument/2006/relationships/hyperlink" Target="https://specs.blockchainssc.org/kms/" TargetMode="External"/><Relationship Id="rId197" Type="http://schemas.openxmlformats.org/officeDocument/2006/relationships/hyperlink" Target="https://specs.blockchainssc.org/kms/" TargetMode="External"/><Relationship Id="rId198" Type="http://schemas.openxmlformats.org/officeDocument/2006/relationships/hyperlink" Target="https://specs.blockchainssc.org/kms/" TargetMode="External"/><Relationship Id="rId199" Type="http://schemas.openxmlformats.org/officeDocument/2006/relationships/hyperlink" Target="https://specs.blockchainssc.org/kms/" TargetMode="External"/><Relationship Id="rId200" Type="http://schemas.openxmlformats.org/officeDocument/2006/relationships/hyperlink" Target="https://specs.blockchainssc.org/kms/" TargetMode="External"/><Relationship Id="rId201" Type="http://schemas.openxmlformats.org/officeDocument/2006/relationships/hyperlink" Target="https://specs.blockchainssc.org/scs/" TargetMode="External"/><Relationship Id="rId202" Type="http://schemas.openxmlformats.org/officeDocument/2006/relationships/hyperlink" Target="https://specs.blockchainssc.org/scs/" TargetMode="External"/><Relationship Id="rId203" Type="http://schemas.openxmlformats.org/officeDocument/2006/relationships/hyperlink" Target="https://specs.blockchainssc.org/scs/" TargetMode="External"/><Relationship Id="rId204" Type="http://schemas.openxmlformats.org/officeDocument/2006/relationships/hyperlink" Target="https://specs.blockchainssc.org/scs/" TargetMode="External"/><Relationship Id="rId205" Type="http://schemas.openxmlformats.org/officeDocument/2006/relationships/hyperlink" Target="https://specs.blockchainssc.org/scs/" TargetMode="External"/><Relationship Id="rId206" Type="http://schemas.openxmlformats.org/officeDocument/2006/relationships/hyperlink" Target="https://specs.blockchainssc.org/scs/" TargetMode="External"/><Relationship Id="rId207" Type="http://schemas.openxmlformats.org/officeDocument/2006/relationships/hyperlink" Target="https://specs.blockchainssc.org/scs/" TargetMode="External"/><Relationship Id="rId208" Type="http://schemas.openxmlformats.org/officeDocument/2006/relationships/hyperlink" Target="https://specs.blockchainssc.org/scs/" TargetMode="External"/><Relationship Id="rId209" Type="http://schemas.openxmlformats.org/officeDocument/2006/relationships/hyperlink" Target="https://specs.blockchainssc.org/scs/" TargetMode="External"/><Relationship Id="rId210" Type="http://schemas.openxmlformats.org/officeDocument/2006/relationships/hyperlink" Target="https://specs.blockchainssc.org/scs/" TargetMode="External"/><Relationship Id="rId211" Type="http://schemas.openxmlformats.org/officeDocument/2006/relationships/hyperlink" Target="https://specs.blockchainssc.org/scs/" TargetMode="External"/><Relationship Id="rId212" Type="http://schemas.openxmlformats.org/officeDocument/2006/relationships/hyperlink" Target="https://specs.blockchainssc.org/scs/" TargetMode="External"/><Relationship Id="rId213" Type="http://schemas.openxmlformats.org/officeDocument/2006/relationships/hyperlink" Target="https://specs.blockchainssc.org/scs/" TargetMode="External"/><Relationship Id="rId214" Type="http://schemas.openxmlformats.org/officeDocument/2006/relationships/hyperlink" Target="https://specs.blockchainssc.org/scs/" TargetMode="External"/><Relationship Id="rId215" Type="http://schemas.openxmlformats.org/officeDocument/2006/relationships/hyperlink" Target="https://specs.blockchainssc.org/scs/" TargetMode="External"/><Relationship Id="rId216" Type="http://schemas.openxmlformats.org/officeDocument/2006/relationships/hyperlink" Target="https://specs.blockchainssc.org/scs/" TargetMode="External"/><Relationship Id="rId217" Type="http://schemas.openxmlformats.org/officeDocument/2006/relationships/hyperlink" Target="https://specs.blockchainssc.org/scs/" TargetMode="External"/><Relationship Id="rId218" Type="http://schemas.openxmlformats.org/officeDocument/2006/relationships/hyperlink" Target="https://specs.blockchainssc.org/scs/" TargetMode="External"/><Relationship Id="rId219" Type="http://schemas.openxmlformats.org/officeDocument/2006/relationships/hyperlink" Target="https://specs.blockchainssc.org/scs/" TargetMode="External"/><Relationship Id="rId220" Type="http://schemas.openxmlformats.org/officeDocument/2006/relationships/hyperlink" Target="https://specs.blockchainssc.org/scs/" TargetMode="External"/><Relationship Id="rId221" Type="http://schemas.openxmlformats.org/officeDocument/2006/relationships/hyperlink" Target="https://specs.blockchainssc.org/scs/" TargetMode="External"/><Relationship Id="rId222" Type="http://schemas.openxmlformats.org/officeDocument/2006/relationships/hyperlink" Target="https://specs.blockchainssc.org/scs/" TargetMode="External"/><Relationship Id="rId223" Type="http://schemas.openxmlformats.org/officeDocument/2006/relationships/hyperlink" Target="https://specs.blockchainssc.org/scs/" TargetMode="External"/><Relationship Id="rId224" Type="http://schemas.openxmlformats.org/officeDocument/2006/relationships/hyperlink" Target="https://specs.blockchainssc.org/scs/" TargetMode="External"/><Relationship Id="rId225" Type="http://schemas.openxmlformats.org/officeDocument/2006/relationships/hyperlink" Target="https://specs.blockchainssc.org/scs/" TargetMode="External"/><Relationship Id="rId226" Type="http://schemas.openxmlformats.org/officeDocument/2006/relationships/hyperlink" Target="https://specs.blockchainssc.org/scs/" TargetMode="External"/><Relationship Id="rId227" Type="http://schemas.openxmlformats.org/officeDocument/2006/relationships/hyperlink" Target="https://specs.blockchainssc.org/scs/" TargetMode="External"/><Relationship Id="rId228" Type="http://schemas.openxmlformats.org/officeDocument/2006/relationships/hyperlink" Target="https://specs.blockchainssc.org/scs/" TargetMode="External"/><Relationship Id="rId229" Type="http://schemas.openxmlformats.org/officeDocument/2006/relationships/hyperlink" Target="https://specs.blockchainssc.org/scs/" TargetMode="External"/><Relationship Id="rId230" Type="http://schemas.openxmlformats.org/officeDocument/2006/relationships/hyperlink" Target="https://specs.blockchainssc.org/scs/" TargetMode="External"/><Relationship Id="rId231" Type="http://schemas.openxmlformats.org/officeDocument/2006/relationships/hyperlink" Target="https://specs.blockchainssc.org/scs/" TargetMode="External"/><Relationship Id="rId232" Type="http://schemas.openxmlformats.org/officeDocument/2006/relationships/hyperlink" Target="https://specs.blockchainssc.org/scs/" TargetMode="External"/><Relationship Id="rId233" Type="http://schemas.openxmlformats.org/officeDocument/2006/relationships/hyperlink" Target="https://specs.blockchainssc.org/scs/" TargetMode="External"/><Relationship Id="rId234" Type="http://schemas.openxmlformats.org/officeDocument/2006/relationships/hyperlink" Target="https://specs.blockchainssc.org/scs/" TargetMode="External"/><Relationship Id="rId235" Type="http://schemas.openxmlformats.org/officeDocument/2006/relationships/hyperlink" Target="https://specs.blockchainssc.org/scs/" TargetMode="External"/><Relationship Id="rId236" Type="http://schemas.openxmlformats.org/officeDocument/2006/relationships/hyperlink" Target="https://specs.blockchainssc.org/scs/" TargetMode="External"/><Relationship Id="rId237" Type="http://schemas.openxmlformats.org/officeDocument/2006/relationships/hyperlink" Target="https://specs.blockchainssc.org/scs/" TargetMode="External"/><Relationship Id="rId238" Type="http://schemas.openxmlformats.org/officeDocument/2006/relationships/hyperlink" Target="https://specs.blockchainssc.org/scs/" TargetMode="External"/><Relationship Id="rId239" Type="http://schemas.openxmlformats.org/officeDocument/2006/relationships/hyperlink" Target="https://specs.blockchainssc.org/scs/" TargetMode="External"/><Relationship Id="rId240" Type="http://schemas.openxmlformats.org/officeDocument/2006/relationships/hyperlink" Target="https://specs.blockchainssc.org/scs/" TargetMode="External"/><Relationship Id="rId241" Type="http://schemas.openxmlformats.org/officeDocument/2006/relationships/hyperlink" Target="https://specs.blockchainssc.org/scs/" TargetMode="External"/><Relationship Id="rId242" Type="http://schemas.openxmlformats.org/officeDocument/2006/relationships/hyperlink" Target="https://specs.blockchainssc.org/scs/" TargetMode="External"/><Relationship Id="rId243" Type="http://schemas.openxmlformats.org/officeDocument/2006/relationships/hyperlink" Target="https://specs.blockchainssc.org/scs/" TargetMode="External"/><Relationship Id="rId244" Type="http://schemas.openxmlformats.org/officeDocument/2006/relationships/hyperlink" Target="https://specs.blockchainssc.org/scs/" TargetMode="External"/><Relationship Id="rId245" Type="http://schemas.openxmlformats.org/officeDocument/2006/relationships/hyperlink" Target="https://specs.blockchainssc.org/scs/" TargetMode="External"/><Relationship Id="rId246" Type="http://schemas.openxmlformats.org/officeDocument/2006/relationships/hyperlink" Target="https://specs.blockchainssc.org/scs/" TargetMode="External"/><Relationship Id="rId247" Type="http://schemas.openxmlformats.org/officeDocument/2006/relationships/hyperlink" Target="https://specs.blockchainssc.org/scs/" TargetMode="External"/><Relationship Id="rId248" Type="http://schemas.openxmlformats.org/officeDocument/2006/relationships/hyperlink" Target="https://specs.blockchainssc.org/scs/" TargetMode="External"/><Relationship Id="rId249" Type="http://schemas.openxmlformats.org/officeDocument/2006/relationships/hyperlink" Target="https://specs.blockchainssc.org/scs/" TargetMode="External"/><Relationship Id="rId250" Type="http://schemas.openxmlformats.org/officeDocument/2006/relationships/hyperlink" Target="https://specs.blockchainssc.org/scs/" TargetMode="External"/><Relationship Id="rId251" Type="http://schemas.openxmlformats.org/officeDocument/2006/relationships/hyperlink" Target="https://specs.blockchainssc.org/scs/" TargetMode="External"/><Relationship Id="rId252" Type="http://schemas.openxmlformats.org/officeDocument/2006/relationships/hyperlink" Target="https://specs.blockchainssc.org/scs/" TargetMode="External"/><Relationship Id="rId253" Type="http://schemas.openxmlformats.org/officeDocument/2006/relationships/hyperlink" Target="https://specs.blockchainssc.org/scs/" TargetMode="External"/><Relationship Id="rId254" Type="http://schemas.openxmlformats.org/officeDocument/2006/relationships/hyperlink" Target="https://specs.blockchainssc.org/scs/" TargetMode="External"/><Relationship Id="rId255" Type="http://schemas.openxmlformats.org/officeDocument/2006/relationships/hyperlink" Target="https://specs.blockchainssc.org/scs/" TargetMode="External"/><Relationship Id="rId256" Type="http://schemas.openxmlformats.org/officeDocument/2006/relationships/hyperlink" Target="https://specs.blockchainssc.org/scs/" TargetMode="External"/><Relationship Id="rId257" Type="http://schemas.openxmlformats.org/officeDocument/2006/relationships/hyperlink" Target="https://specs.blockchainssc.org/scs/" TargetMode="External"/><Relationship Id="rId258" Type="http://schemas.openxmlformats.org/officeDocument/2006/relationships/hyperlink" Target="https://specs.blockchainssc.org/scs/" TargetMode="External"/><Relationship Id="rId259" Type="http://schemas.openxmlformats.org/officeDocument/2006/relationships/hyperlink" Target="https://specs.blockchainssc.org/scs/" TargetMode="External"/><Relationship Id="rId260" Type="http://schemas.openxmlformats.org/officeDocument/2006/relationships/hyperlink" Target="https://specs.blockchainssc.org/scs/" TargetMode="External"/><Relationship Id="rId261" Type="http://schemas.openxmlformats.org/officeDocument/2006/relationships/hyperlink" Target="https://specs.blockchainssc.org/scs/" TargetMode="External"/><Relationship Id="rId262" Type="http://schemas.openxmlformats.org/officeDocument/2006/relationships/hyperlink" Target="https://specs.blockchainssc.org/scs/" TargetMode="External"/><Relationship Id="rId263" Type="http://schemas.openxmlformats.org/officeDocument/2006/relationships/hyperlink" Target="https://specs.blockchainssc.org/scs/" TargetMode="External"/><Relationship Id="rId264" Type="http://schemas.openxmlformats.org/officeDocument/2006/relationships/hyperlink" Target="https://specs.blockchainssc.org/scs/" TargetMode="External"/><Relationship Id="rId265" Type="http://schemas.openxmlformats.org/officeDocument/2006/relationships/hyperlink" Target="https://specs.blockchainssc.org/scs/" TargetMode="External"/><Relationship Id="rId266" Type="http://schemas.openxmlformats.org/officeDocument/2006/relationships/hyperlink" Target="https://specs.blockchainssc.org/scs/" TargetMode="External"/><Relationship Id="rId267" Type="http://schemas.openxmlformats.org/officeDocument/2006/relationships/hyperlink" Target="https://specs.blockchainssc.org/scs/" TargetMode="External"/><Relationship Id="rId268" Type="http://schemas.openxmlformats.org/officeDocument/2006/relationships/hyperlink" Target="https://specs.blockchainssc.org/scs/" TargetMode="External"/><Relationship Id="rId269" Type="http://schemas.openxmlformats.org/officeDocument/2006/relationships/hyperlink" Target="https://specs.blockchainssc.org/scs/" TargetMode="External"/><Relationship Id="rId270" Type="http://schemas.openxmlformats.org/officeDocument/2006/relationships/hyperlink" Target="https://specs.blockchainssc.org/gsp/" TargetMode="External"/><Relationship Id="rId271" Type="http://schemas.openxmlformats.org/officeDocument/2006/relationships/hyperlink" Target="https://specs.blockchainssc.org/gsp/" TargetMode="External"/><Relationship Id="rId272" Type="http://schemas.openxmlformats.org/officeDocument/2006/relationships/hyperlink" Target="https://specs.blockchainssc.org/gsp/" TargetMode="External"/><Relationship Id="rId273" Type="http://schemas.openxmlformats.org/officeDocument/2006/relationships/hyperlink" Target="https://specs.blockchainssc.org/gsp/" TargetMode="External"/><Relationship Id="rId274" Type="http://schemas.openxmlformats.org/officeDocument/2006/relationships/hyperlink" Target="https://specs.blockchainssc.org/gsp/" TargetMode="External"/><Relationship Id="rId275" Type="http://schemas.openxmlformats.org/officeDocument/2006/relationships/hyperlink" Target="https://specs.blockchainssc.org/gsp/" TargetMode="External"/><Relationship Id="rId276" Type="http://schemas.openxmlformats.org/officeDocument/2006/relationships/hyperlink" Target="https://specs.blockchainssc.org/gsp/" TargetMode="External"/><Relationship Id="rId277" Type="http://schemas.openxmlformats.org/officeDocument/2006/relationships/hyperlink" Target="https://specs.blockchainssc.org/gsp/" TargetMode="External"/><Relationship Id="rId278" Type="http://schemas.openxmlformats.org/officeDocument/2006/relationships/hyperlink" Target="https://specs.blockchainssc.org/gsp/" TargetMode="External"/><Relationship Id="rId279" Type="http://schemas.openxmlformats.org/officeDocument/2006/relationships/hyperlink" Target="https://specs.blockchainssc.org/gsp/" TargetMode="External"/><Relationship Id="rId280" Type="http://schemas.openxmlformats.org/officeDocument/2006/relationships/hyperlink" Target="https://specs.blockchainssc.org/gsp/" TargetMode="External"/><Relationship Id="rId281" Type="http://schemas.openxmlformats.org/officeDocument/2006/relationships/hyperlink" Target="https://specs.blockchainssc.org/gsp/" TargetMode="External"/><Relationship Id="rId282" Type="http://schemas.openxmlformats.org/officeDocument/2006/relationships/hyperlink" Target="https://specs.blockchainssc.org/gsp/" TargetMode="External"/><Relationship Id="rId283" Type="http://schemas.openxmlformats.org/officeDocument/2006/relationships/hyperlink" Target="https://specs.blockchainssc.org/gsp/" TargetMode="External"/><Relationship Id="rId284" Type="http://schemas.openxmlformats.org/officeDocument/2006/relationships/hyperlink" Target="https://specs.blockchainssc.org/gsp/" TargetMode="External"/><Relationship Id="rId285" Type="http://schemas.openxmlformats.org/officeDocument/2006/relationships/hyperlink" Target="https://specs.blockchainssc.org/gsp/" TargetMode="External"/><Relationship Id="rId286" Type="http://schemas.openxmlformats.org/officeDocument/2006/relationships/hyperlink" Target="https://specs.blockchainssc.org/gsp/" TargetMode="External"/><Relationship Id="rId287" Type="http://schemas.openxmlformats.org/officeDocument/2006/relationships/hyperlink" Target="https://specs.blockchainssc.org/gsp/" TargetMode="External"/><Relationship Id="rId288" Type="http://schemas.openxmlformats.org/officeDocument/2006/relationships/hyperlink" Target="https://specs.blockchainssc.org/gsp/" TargetMode="External"/><Relationship Id="rId289" Type="http://schemas.openxmlformats.org/officeDocument/2006/relationships/hyperlink" Target="https://specs.blockchainssc.org/gsp/" TargetMode="External"/><Relationship Id="rId290" Type="http://schemas.openxmlformats.org/officeDocument/2006/relationships/hyperlink" Target="https://specs.blockchainssc.org/gsp/" TargetMode="External"/><Relationship Id="rId291" Type="http://schemas.openxmlformats.org/officeDocument/2006/relationships/hyperlink" Target="https://specs.blockchainssc.org/gsp/" TargetMode="External"/><Relationship Id="rId292" Type="http://schemas.openxmlformats.org/officeDocument/2006/relationships/hyperlink" Target="https://specs.blockchainssc.org/gsp/" TargetMode="External"/><Relationship Id="rId293" Type="http://schemas.openxmlformats.org/officeDocument/2006/relationships/hyperlink" Target="https://specs.blockchainssc.org/gsp/" TargetMode="External"/><Relationship Id="rId294" Type="http://schemas.openxmlformats.org/officeDocument/2006/relationships/hyperlink" Target="https://specs.blockchainssc.org/gsp/" TargetMode="External"/><Relationship Id="rId295" Type="http://schemas.openxmlformats.org/officeDocument/2006/relationships/hyperlink" Target="https://specs.blockchainssc.org/gsp/" TargetMode="External"/><Relationship Id="rId296" Type="http://schemas.openxmlformats.org/officeDocument/2006/relationships/hyperlink" Target="https://specs.blockchainssc.org/gsp/" TargetMode="External"/><Relationship Id="rId297" Type="http://schemas.openxmlformats.org/officeDocument/2006/relationships/hyperlink" Target="https://specs.blockchainssc.org/gsp/" TargetMode="External"/><Relationship Id="rId298" Type="http://schemas.openxmlformats.org/officeDocument/2006/relationships/hyperlink" Target="https://specs.blockchainssc.org/gsp/" TargetMode="External"/><Relationship Id="rId299" Type="http://schemas.openxmlformats.org/officeDocument/2006/relationships/hyperlink" Target="https://specs.blockchainssc.org/gsp/" TargetMode="External"/><Relationship Id="rId300" Type="http://schemas.openxmlformats.org/officeDocument/2006/relationships/hyperlink" Target="https://specs.blockchainssc.org/gsp/" TargetMode="External"/><Relationship Id="rId301" Type="http://schemas.openxmlformats.org/officeDocument/2006/relationships/hyperlink" Target="https://specs.blockchainssc.org/gsp/" TargetMode="External"/><Relationship Id="rId302" Type="http://schemas.openxmlformats.org/officeDocument/2006/relationships/hyperlink" Target="https://specs.blockchainssc.org/gsp/" TargetMode="External"/><Relationship Id="rId303" Type="http://schemas.openxmlformats.org/officeDocument/2006/relationships/hyperlink" Target="https://specs.blockchainssc.org/gsp/" TargetMode="External"/><Relationship Id="rId304" Type="http://schemas.openxmlformats.org/officeDocument/2006/relationships/hyperlink" Target="https://specs.blockchainssc.org/gsp/" TargetMode="External"/><Relationship Id="rId305" Type="http://schemas.openxmlformats.org/officeDocument/2006/relationships/hyperlink" Target="https://specs.blockchainssc.org/gsp/" TargetMode="External"/><Relationship Id="rId306" Type="http://schemas.openxmlformats.org/officeDocument/2006/relationships/hyperlink" Target="https://specs.blockchainssc.org/gsp/" TargetMode="External"/><Relationship Id="rId307" Type="http://schemas.openxmlformats.org/officeDocument/2006/relationships/hyperlink" Target="https://specs.blockchainssc.org/gsp/" TargetMode="External"/><Relationship Id="rId308" Type="http://schemas.openxmlformats.org/officeDocument/2006/relationships/hyperlink" Target="https://specs.blockchainssc.org/gsp/" TargetMode="External"/><Relationship Id="rId309" Type="http://schemas.openxmlformats.org/officeDocument/2006/relationships/hyperlink" Target="https://specs.blockchainssc.org/gsp/" TargetMode="External"/><Relationship Id="rId310" Type="http://schemas.openxmlformats.org/officeDocument/2006/relationships/hyperlink" Target="https://specs.blockchainssc.org/gsp/" TargetMode="External"/><Relationship Id="rId311" Type="http://schemas.openxmlformats.org/officeDocument/2006/relationships/hyperlink" Target="https://specs.blockchainssc.org/gsp/" TargetMode="External"/><Relationship Id="rId312" Type="http://schemas.openxmlformats.org/officeDocument/2006/relationships/hyperlink" Target="https://specs.blockchainssc.org/gsp/" TargetMode="External"/><Relationship Id="rId313" Type="http://schemas.openxmlformats.org/officeDocument/2006/relationships/hyperlink" Target="https://specs.blockchainssc.org/gsp/" TargetMode="External"/><Relationship Id="rId314" Type="http://schemas.openxmlformats.org/officeDocument/2006/relationships/hyperlink" Target="https://specs.blockchainssc.org/gsp/" TargetMode="External"/><Relationship Id="rId315" Type="http://schemas.openxmlformats.org/officeDocument/2006/relationships/hyperlink" Target="https://specs.blockchainssc.org/gsp/" TargetMode="External"/><Relationship Id="rId316" Type="http://schemas.openxmlformats.org/officeDocument/2006/relationships/hyperlink" Target="https://specs.blockchainssc.org/gsp/" TargetMode="External"/><Relationship Id="rId317" Type="http://schemas.openxmlformats.org/officeDocument/2006/relationships/hyperlink" Target="https://specs.blockchainssc.org/gsp/" TargetMode="External"/><Relationship Id="rId318" Type="http://schemas.openxmlformats.org/officeDocument/2006/relationships/hyperlink" Target="https://specs.blockchainssc.org/gsp/" TargetMode="External"/><Relationship Id="rId319" Type="http://schemas.openxmlformats.org/officeDocument/2006/relationships/hyperlink" Target="https://specs.blockchainssc.org/gsp/" TargetMode="External"/><Relationship Id="rId320" Type="http://schemas.openxmlformats.org/officeDocument/2006/relationships/hyperlink" Target="https://specs.blockchainssc.org/gsp/" TargetMode="External"/><Relationship Id="rId321" Type="http://schemas.openxmlformats.org/officeDocument/2006/relationships/hyperlink" Target="https://specs.blockchainssc.org/gsp/" TargetMode="External"/><Relationship Id="rId322" Type="http://schemas.openxmlformats.org/officeDocument/2006/relationships/hyperlink" Target="https://specs.blockchainssc.org/gsp/" TargetMode="External"/><Relationship Id="rId323" Type="http://schemas.openxmlformats.org/officeDocument/2006/relationships/hyperlink" Target="https://specs.blockchainssc.org/gsp/" TargetMode="External"/><Relationship Id="rId324" Type="http://schemas.openxmlformats.org/officeDocument/2006/relationships/hyperlink" Target="https://specs.blockchainssc.org/gsp/" TargetMode="External"/><Relationship Id="rId325" Type="http://schemas.openxmlformats.org/officeDocument/2006/relationships/hyperlink" Target="https://specs.blockchainssc.org/gsp/" TargetMode="External"/><Relationship Id="rId326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nos/" TargetMode="External"/><Relationship Id="rId2" Type="http://schemas.openxmlformats.org/officeDocument/2006/relationships/hyperlink" Target="https://specs.blockchainssc.org/nos/" TargetMode="External"/><Relationship Id="rId3" Type="http://schemas.openxmlformats.org/officeDocument/2006/relationships/hyperlink" Target="https://specs.blockchainssc.org/nos/" TargetMode="External"/><Relationship Id="rId4" Type="http://schemas.openxmlformats.org/officeDocument/2006/relationships/hyperlink" Target="https://specs.blockchainssc.org/nos/" TargetMode="External"/><Relationship Id="rId5" Type="http://schemas.openxmlformats.org/officeDocument/2006/relationships/hyperlink" Target="https://specs.blockchainssc.org/nos/" TargetMode="External"/><Relationship Id="rId6" Type="http://schemas.openxmlformats.org/officeDocument/2006/relationships/hyperlink" Target="https://specs.blockchainssc.org/nos/" TargetMode="External"/><Relationship Id="rId7" Type="http://schemas.openxmlformats.org/officeDocument/2006/relationships/hyperlink" Target="https://specs.blockchainssc.org/nos/" TargetMode="External"/><Relationship Id="rId8" Type="http://schemas.openxmlformats.org/officeDocument/2006/relationships/hyperlink" Target="https://specs.blockchainssc.org/nos/" TargetMode="External"/><Relationship Id="rId9" Type="http://schemas.openxmlformats.org/officeDocument/2006/relationships/hyperlink" Target="https://specs.blockchainssc.org/nos/" TargetMode="External"/><Relationship Id="rId10" Type="http://schemas.openxmlformats.org/officeDocument/2006/relationships/hyperlink" Target="https://specs.blockchainssc.org/nos/" TargetMode="External"/><Relationship Id="rId11" Type="http://schemas.openxmlformats.org/officeDocument/2006/relationships/hyperlink" Target="https://specs.blockchainssc.org/nos/" TargetMode="External"/><Relationship Id="rId12" Type="http://schemas.openxmlformats.org/officeDocument/2006/relationships/hyperlink" Target="https://specs.blockchainssc.org/nos/" TargetMode="External"/><Relationship Id="rId13" Type="http://schemas.openxmlformats.org/officeDocument/2006/relationships/hyperlink" Target="https://specs.blockchainssc.org/nos/" TargetMode="External"/><Relationship Id="rId14" Type="http://schemas.openxmlformats.org/officeDocument/2006/relationships/hyperlink" Target="https://specs.blockchainssc.org/nos/" TargetMode="External"/><Relationship Id="rId15" Type="http://schemas.openxmlformats.org/officeDocument/2006/relationships/hyperlink" Target="https://specs.blockchainssc.org/nos/" TargetMode="External"/><Relationship Id="rId16" Type="http://schemas.openxmlformats.org/officeDocument/2006/relationships/hyperlink" Target="https://specs.blockchainssc.org/nos/" TargetMode="External"/><Relationship Id="rId17" Type="http://schemas.openxmlformats.org/officeDocument/2006/relationships/hyperlink" Target="https://specs.blockchainssc.org/nos/" TargetMode="External"/><Relationship Id="rId18" Type="http://schemas.openxmlformats.org/officeDocument/2006/relationships/hyperlink" Target="https://specs.blockchainssc.org/nos/" TargetMode="External"/><Relationship Id="rId19" Type="http://schemas.openxmlformats.org/officeDocument/2006/relationships/hyperlink" Target="https://specs.blockchainssc.org/nos/" TargetMode="External"/><Relationship Id="rId20" Type="http://schemas.openxmlformats.org/officeDocument/2006/relationships/hyperlink" Target="https://specs.blockchainssc.org/nos/" TargetMode="External"/><Relationship Id="rId21" Type="http://schemas.openxmlformats.org/officeDocument/2006/relationships/hyperlink" Target="https://specs.blockchainssc.org/nos/" TargetMode="External"/><Relationship Id="rId22" Type="http://schemas.openxmlformats.org/officeDocument/2006/relationships/hyperlink" Target="https://specs.blockchainssc.org/nos/" TargetMode="External"/><Relationship Id="rId23" Type="http://schemas.openxmlformats.org/officeDocument/2006/relationships/hyperlink" Target="https://specs.blockchainssc.org/nos/" TargetMode="External"/><Relationship Id="rId24" Type="http://schemas.openxmlformats.org/officeDocument/2006/relationships/hyperlink" Target="https://specs.blockchainssc.org/nos/" TargetMode="External"/><Relationship Id="rId25" Type="http://schemas.openxmlformats.org/officeDocument/2006/relationships/hyperlink" Target="https://specs.blockchainssc.org/nos/" TargetMode="External"/><Relationship Id="rId26" Type="http://schemas.openxmlformats.org/officeDocument/2006/relationships/hyperlink" Target="https://specs.blockchainssc.org/nos/" TargetMode="External"/><Relationship Id="rId27" Type="http://schemas.openxmlformats.org/officeDocument/2006/relationships/hyperlink" Target="https://specs.blockchainssc.org/nos/" TargetMode="External"/><Relationship Id="rId28" Type="http://schemas.openxmlformats.org/officeDocument/2006/relationships/hyperlink" Target="https://specs.blockchainssc.org/nos/" TargetMode="External"/><Relationship Id="rId29" Type="http://schemas.openxmlformats.org/officeDocument/2006/relationships/hyperlink" Target="https://specs.blockchainssc.org/nos/" TargetMode="External"/><Relationship Id="rId30" Type="http://schemas.openxmlformats.org/officeDocument/2006/relationships/hyperlink" Target="https://specs.blockchainssc.org/nos/" TargetMode="External"/><Relationship Id="rId31" Type="http://schemas.openxmlformats.org/officeDocument/2006/relationships/hyperlink" Target="https://specs.blockchainssc.org/nos/" TargetMode="External"/><Relationship Id="rId32" Type="http://schemas.openxmlformats.org/officeDocument/2006/relationships/hyperlink" Target="https://specs.blockchainssc.org/nos/" TargetMode="External"/><Relationship Id="rId33" Type="http://schemas.openxmlformats.org/officeDocument/2006/relationships/hyperlink" Target="https://specs.blockchainssc.org/nos/" TargetMode="External"/><Relationship Id="rId34" Type="http://schemas.openxmlformats.org/officeDocument/2006/relationships/hyperlink" Target="https://specs.blockchainssc.org/nos/" TargetMode="External"/><Relationship Id="rId35" Type="http://schemas.openxmlformats.org/officeDocument/2006/relationships/hyperlink" Target="https://specs.blockchainssc.org/nos/" TargetMode="External"/><Relationship Id="rId36" Type="http://schemas.openxmlformats.org/officeDocument/2006/relationships/hyperlink" Target="https://specs.blockchainssc.org/nos/" TargetMode="External"/><Relationship Id="rId37" Type="http://schemas.openxmlformats.org/officeDocument/2006/relationships/hyperlink" Target="https://specs.blockchainssc.org/nos/" TargetMode="External"/><Relationship Id="rId38" Type="http://schemas.openxmlformats.org/officeDocument/2006/relationships/hyperlink" Target="https://specs.blockchainssc.org/nos/" TargetMode="External"/><Relationship Id="rId39" Type="http://schemas.openxmlformats.org/officeDocument/2006/relationships/hyperlink" Target="https://specs.blockchainssc.org/nos/" TargetMode="External"/><Relationship Id="rId40" Type="http://schemas.openxmlformats.org/officeDocument/2006/relationships/hyperlink" Target="https://specs.blockchainssc.org/nos/" TargetMode="External"/><Relationship Id="rId41" Type="http://schemas.openxmlformats.org/officeDocument/2006/relationships/hyperlink" Target="https://specs.blockchainssc.org/nos/" TargetMode="External"/><Relationship Id="rId42" Type="http://schemas.openxmlformats.org/officeDocument/2006/relationships/hyperlink" Target="https://specs.blockchainssc.org/nos/" TargetMode="External"/><Relationship Id="rId43" Type="http://schemas.openxmlformats.org/officeDocument/2006/relationships/hyperlink" Target="https://specs.blockchainssc.org/nos/" TargetMode="External"/><Relationship Id="rId44" Type="http://schemas.openxmlformats.org/officeDocument/2006/relationships/hyperlink" Target="https://specs.blockchainssc.org/nos/" TargetMode="External"/><Relationship Id="rId45" Type="http://schemas.openxmlformats.org/officeDocument/2006/relationships/hyperlink" Target="https://specs.blockchainssc.org/nos/" TargetMode="External"/><Relationship Id="rId46" Type="http://schemas.openxmlformats.org/officeDocument/2006/relationships/hyperlink" Target="https://specs.blockchainssc.org/nos/" TargetMode="External"/><Relationship Id="rId47" Type="http://schemas.openxmlformats.org/officeDocument/2006/relationships/hyperlink" Target="https://specs.blockchainssc.org/nos/" TargetMode="External"/><Relationship Id="rId48" Type="http://schemas.openxmlformats.org/officeDocument/2006/relationships/hyperlink" Target="https://specs.blockchainssc.org/nos/" TargetMode="External"/><Relationship Id="rId49" Type="http://schemas.openxmlformats.org/officeDocument/2006/relationships/hyperlink" Target="https://specs.blockchainssc.org/nos/" TargetMode="External"/><Relationship Id="rId50" Type="http://schemas.openxmlformats.org/officeDocument/2006/relationships/hyperlink" Target="https://specs.blockchainssc.org/nos/" TargetMode="External"/><Relationship Id="rId51" Type="http://schemas.openxmlformats.org/officeDocument/2006/relationships/hyperlink" Target="https://specs.blockchainssc.org/nos/" TargetMode="External"/><Relationship Id="rId52" Type="http://schemas.openxmlformats.org/officeDocument/2006/relationships/hyperlink" Target="https://specs.blockchainssc.org/nos/" TargetMode="External"/><Relationship Id="rId53" Type="http://schemas.openxmlformats.org/officeDocument/2006/relationships/hyperlink" Target="https://specs.blockchainssc.org/nos/" TargetMode="External"/><Relationship Id="rId54" Type="http://schemas.openxmlformats.org/officeDocument/2006/relationships/hyperlink" Target="https://specs.blockchainssc.org/nos/" TargetMode="External"/><Relationship Id="rId55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tis/" TargetMode="External"/><Relationship Id="rId2" Type="http://schemas.openxmlformats.org/officeDocument/2006/relationships/hyperlink" Target="https://specs.blockchainssc.org/tis/" TargetMode="External"/><Relationship Id="rId3" Type="http://schemas.openxmlformats.org/officeDocument/2006/relationships/hyperlink" Target="https://specs.blockchainssc.org/tis/" TargetMode="External"/><Relationship Id="rId4" Type="http://schemas.openxmlformats.org/officeDocument/2006/relationships/hyperlink" Target="https://specs.blockchainssc.org/tis/" TargetMode="External"/><Relationship Id="rId5" Type="http://schemas.openxmlformats.org/officeDocument/2006/relationships/hyperlink" Target="https://specs.blockchainssc.org/tis/" TargetMode="External"/><Relationship Id="rId6" Type="http://schemas.openxmlformats.org/officeDocument/2006/relationships/hyperlink" Target="https://specs.blockchainssc.org/tis/" TargetMode="External"/><Relationship Id="rId7" Type="http://schemas.openxmlformats.org/officeDocument/2006/relationships/hyperlink" Target="https://specs.blockchainssc.org/tis/" TargetMode="External"/><Relationship Id="rId8" Type="http://schemas.openxmlformats.org/officeDocument/2006/relationships/hyperlink" Target="https://specs.blockchainssc.org/tis/" TargetMode="External"/><Relationship Id="rId9" Type="http://schemas.openxmlformats.org/officeDocument/2006/relationships/hyperlink" Target="https://specs.blockchainssc.org/tis/" TargetMode="External"/><Relationship Id="rId10" Type="http://schemas.openxmlformats.org/officeDocument/2006/relationships/hyperlink" Target="https://specs.blockchainssc.org/tis/" TargetMode="External"/><Relationship Id="rId11" Type="http://schemas.openxmlformats.org/officeDocument/2006/relationships/hyperlink" Target="https://specs.blockchainssc.org/tis/" TargetMode="External"/><Relationship Id="rId12" Type="http://schemas.openxmlformats.org/officeDocument/2006/relationships/hyperlink" Target="https://specs.blockchainssc.org/tis/" TargetMode="External"/><Relationship Id="rId13" Type="http://schemas.openxmlformats.org/officeDocument/2006/relationships/hyperlink" Target="https://specs.blockchainssc.org/tis/" TargetMode="External"/><Relationship Id="rId14" Type="http://schemas.openxmlformats.org/officeDocument/2006/relationships/hyperlink" Target="https://specs.blockchainssc.org/tis/" TargetMode="External"/><Relationship Id="rId15" Type="http://schemas.openxmlformats.org/officeDocument/2006/relationships/hyperlink" Target="https://specs.blockchainssc.org/tis/" TargetMode="External"/><Relationship Id="rId16" Type="http://schemas.openxmlformats.org/officeDocument/2006/relationships/hyperlink" Target="https://specs.blockchainssc.org/tis/" TargetMode="External"/><Relationship Id="rId17" Type="http://schemas.openxmlformats.org/officeDocument/2006/relationships/hyperlink" Target="https://specs.blockchainssc.org/tis/" TargetMode="External"/><Relationship Id="rId18" Type="http://schemas.openxmlformats.org/officeDocument/2006/relationships/hyperlink" Target="https://specs.blockchainssc.org/tis/" TargetMode="External"/><Relationship Id="rId19" Type="http://schemas.openxmlformats.org/officeDocument/2006/relationships/hyperlink" Target="https://specs.blockchainssc.org/tis/" TargetMode="External"/><Relationship Id="rId20" Type="http://schemas.openxmlformats.org/officeDocument/2006/relationships/hyperlink" Target="https://specs.blockchainssc.org/tis/" TargetMode="External"/><Relationship Id="rId21" Type="http://schemas.openxmlformats.org/officeDocument/2006/relationships/hyperlink" Target="https://specs.blockchainssc.org/tis/" TargetMode="External"/><Relationship Id="rId22" Type="http://schemas.openxmlformats.org/officeDocument/2006/relationships/hyperlink" Target="https://specs.blockchainssc.org/tis/" TargetMode="External"/><Relationship Id="rId23" Type="http://schemas.openxmlformats.org/officeDocument/2006/relationships/hyperlink" Target="https://specs.blockchainssc.org/tis/" TargetMode="External"/><Relationship Id="rId24" Type="http://schemas.openxmlformats.org/officeDocument/2006/relationships/hyperlink" Target="https://specs.blockchainssc.org/tis/" TargetMode="External"/><Relationship Id="rId25" Type="http://schemas.openxmlformats.org/officeDocument/2006/relationships/hyperlink" Target="https://specs.blockchainssc.org/tis/" TargetMode="External"/><Relationship Id="rId26" Type="http://schemas.openxmlformats.org/officeDocument/2006/relationships/hyperlink" Target="https://specs.blockchainssc.org/tis/" TargetMode="External"/><Relationship Id="rId27" Type="http://schemas.openxmlformats.org/officeDocument/2006/relationships/hyperlink" Target="https://specs.blockchainssc.org/tis/" TargetMode="External"/><Relationship Id="rId28" Type="http://schemas.openxmlformats.org/officeDocument/2006/relationships/hyperlink" Target="https://specs.blockchainssc.org/tis/" TargetMode="External"/><Relationship Id="rId29" Type="http://schemas.openxmlformats.org/officeDocument/2006/relationships/hyperlink" Target="https://specs.blockchainssc.org/tis/" TargetMode="External"/><Relationship Id="rId30" Type="http://schemas.openxmlformats.org/officeDocument/2006/relationships/hyperlink" Target="https://specs.blockchainssc.org/tis/" TargetMode="External"/><Relationship Id="rId31" Type="http://schemas.openxmlformats.org/officeDocument/2006/relationships/hyperlink" Target="https://specs.blockchainssc.org/tis/" TargetMode="External"/><Relationship Id="rId32" Type="http://schemas.openxmlformats.org/officeDocument/2006/relationships/hyperlink" Target="https://specs.blockchainssc.org/tis/" TargetMode="External"/><Relationship Id="rId33" Type="http://schemas.openxmlformats.org/officeDocument/2006/relationships/hyperlink" Target="https://specs.blockchainssc.org/tis/" TargetMode="External"/><Relationship Id="rId34" Type="http://schemas.openxmlformats.org/officeDocument/2006/relationships/hyperlink" Target="https://specs.blockchainssc.org/tis/" TargetMode="External"/><Relationship Id="rId35" Type="http://schemas.openxmlformats.org/officeDocument/2006/relationships/hyperlink" Target="https://specs.blockchainssc.org/tis/" TargetMode="External"/><Relationship Id="rId36" Type="http://schemas.openxmlformats.org/officeDocument/2006/relationships/hyperlink" Target="https://specs.blockchainssc.org/tis/" TargetMode="External"/><Relationship Id="rId37" Type="http://schemas.openxmlformats.org/officeDocument/2006/relationships/hyperlink" Target="https://specs.blockchainssc.org/tis/" TargetMode="External"/><Relationship Id="rId38" Type="http://schemas.openxmlformats.org/officeDocument/2006/relationships/hyperlink" Target="https://specs.blockchainssc.org/tis/" TargetMode="External"/><Relationship Id="rId39" Type="http://schemas.openxmlformats.org/officeDocument/2006/relationships/hyperlink" Target="https://specs.blockchainssc.org/tis/" TargetMode="External"/><Relationship Id="rId40" Type="http://schemas.openxmlformats.org/officeDocument/2006/relationships/hyperlink" Target="https://specs.blockchainssc.org/tis/" TargetMode="External"/><Relationship Id="rId41" Type="http://schemas.openxmlformats.org/officeDocument/2006/relationships/hyperlink" Target="https://specs.blockchainssc.org/tis/" TargetMode="External"/><Relationship Id="rId42" Type="http://schemas.openxmlformats.org/officeDocument/2006/relationships/hyperlink" Target="https://specs.blockchainssc.org/tis/" TargetMode="External"/><Relationship Id="rId43" Type="http://schemas.openxmlformats.org/officeDocument/2006/relationships/hyperlink" Target="https://specs.blockchainssc.org/tis/" TargetMode="External"/><Relationship Id="rId44" Type="http://schemas.openxmlformats.org/officeDocument/2006/relationships/hyperlink" Target="https://specs.blockchainssc.org/tis/" TargetMode="External"/><Relationship Id="rId45" Type="http://schemas.openxmlformats.org/officeDocument/2006/relationships/hyperlink" Target="https://specs.blockchainssc.org/tis/" TargetMode="External"/><Relationship Id="rId46" Type="http://schemas.openxmlformats.org/officeDocument/2006/relationships/hyperlink" Target="https://specs.blockchainssc.org/tis/" TargetMode="External"/><Relationship Id="rId47" Type="http://schemas.openxmlformats.org/officeDocument/2006/relationships/hyperlink" Target="https://specs.blockchainssc.org/tis/" TargetMode="External"/><Relationship Id="rId48" Type="http://schemas.openxmlformats.org/officeDocument/2006/relationships/hyperlink" Target="https://specs.blockchainssc.org/tis/" TargetMode="External"/><Relationship Id="rId49" Type="http://schemas.openxmlformats.org/officeDocument/2006/relationships/hyperlink" Target="https://specs.blockchainssc.org/tis/" TargetMode="External"/><Relationship Id="rId50" Type="http://schemas.openxmlformats.org/officeDocument/2006/relationships/hyperlink" Target="https://specs.blockchainssc.org/tis/" TargetMode="External"/><Relationship Id="rId5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kms/" TargetMode="External"/><Relationship Id="rId2" Type="http://schemas.openxmlformats.org/officeDocument/2006/relationships/hyperlink" Target="https://specs.blockchainssc.org/kms/" TargetMode="External"/><Relationship Id="rId3" Type="http://schemas.openxmlformats.org/officeDocument/2006/relationships/hyperlink" Target="https://specs.blockchainssc.org/kms/" TargetMode="External"/><Relationship Id="rId4" Type="http://schemas.openxmlformats.org/officeDocument/2006/relationships/hyperlink" Target="https://specs.blockchainssc.org/kms/" TargetMode="External"/><Relationship Id="rId5" Type="http://schemas.openxmlformats.org/officeDocument/2006/relationships/hyperlink" Target="https://specs.blockchainssc.org/kms/" TargetMode="External"/><Relationship Id="rId6" Type="http://schemas.openxmlformats.org/officeDocument/2006/relationships/hyperlink" Target="https://specs.blockchainssc.org/kms/" TargetMode="External"/><Relationship Id="rId7" Type="http://schemas.openxmlformats.org/officeDocument/2006/relationships/hyperlink" Target="https://specs.blockchainssc.org/kms/" TargetMode="External"/><Relationship Id="rId8" Type="http://schemas.openxmlformats.org/officeDocument/2006/relationships/hyperlink" Target="https://specs.blockchainssc.org/kms/" TargetMode="External"/><Relationship Id="rId9" Type="http://schemas.openxmlformats.org/officeDocument/2006/relationships/hyperlink" Target="https://specs.blockchainssc.org/kms/" TargetMode="External"/><Relationship Id="rId10" Type="http://schemas.openxmlformats.org/officeDocument/2006/relationships/hyperlink" Target="https://specs.blockchainssc.org/kms/" TargetMode="External"/><Relationship Id="rId11" Type="http://schemas.openxmlformats.org/officeDocument/2006/relationships/hyperlink" Target="https://specs.blockchainssc.org/kms/" TargetMode="External"/><Relationship Id="rId12" Type="http://schemas.openxmlformats.org/officeDocument/2006/relationships/hyperlink" Target="https://specs.blockchainssc.org/kms/" TargetMode="External"/><Relationship Id="rId13" Type="http://schemas.openxmlformats.org/officeDocument/2006/relationships/hyperlink" Target="https://specs.blockchainssc.org/kms/" TargetMode="External"/><Relationship Id="rId14" Type="http://schemas.openxmlformats.org/officeDocument/2006/relationships/hyperlink" Target="https://specs.blockchainssc.org/kms/" TargetMode="External"/><Relationship Id="rId15" Type="http://schemas.openxmlformats.org/officeDocument/2006/relationships/hyperlink" Target="https://specs.blockchainssc.org/kms/" TargetMode="External"/><Relationship Id="rId16" Type="http://schemas.openxmlformats.org/officeDocument/2006/relationships/hyperlink" Target="https://specs.blockchainssc.org/kms/" TargetMode="External"/><Relationship Id="rId17" Type="http://schemas.openxmlformats.org/officeDocument/2006/relationships/hyperlink" Target="https://specs.blockchainssc.org/kms/" TargetMode="External"/><Relationship Id="rId18" Type="http://schemas.openxmlformats.org/officeDocument/2006/relationships/hyperlink" Target="https://specs.blockchainssc.org/kms/" TargetMode="External"/><Relationship Id="rId19" Type="http://schemas.openxmlformats.org/officeDocument/2006/relationships/hyperlink" Target="https://specs.blockchainssc.org/kms/" TargetMode="External"/><Relationship Id="rId20" Type="http://schemas.openxmlformats.org/officeDocument/2006/relationships/hyperlink" Target="https://specs.blockchainssc.org/kms/" TargetMode="External"/><Relationship Id="rId21" Type="http://schemas.openxmlformats.org/officeDocument/2006/relationships/hyperlink" Target="https://specs.blockchainssc.org/kms/" TargetMode="External"/><Relationship Id="rId22" Type="http://schemas.openxmlformats.org/officeDocument/2006/relationships/hyperlink" Target="https://specs.blockchainssc.org/kms/" TargetMode="External"/><Relationship Id="rId23" Type="http://schemas.openxmlformats.org/officeDocument/2006/relationships/hyperlink" Target="https://specs.blockchainssc.org/kms/" TargetMode="External"/><Relationship Id="rId24" Type="http://schemas.openxmlformats.org/officeDocument/2006/relationships/hyperlink" Target="https://specs.blockchainssc.org/kms/" TargetMode="External"/><Relationship Id="rId25" Type="http://schemas.openxmlformats.org/officeDocument/2006/relationships/hyperlink" Target="https://specs.blockchainssc.org/kms/" TargetMode="External"/><Relationship Id="rId26" Type="http://schemas.openxmlformats.org/officeDocument/2006/relationships/hyperlink" Target="https://specs.blockchainssc.org/kms/" TargetMode="External"/><Relationship Id="rId27" Type="http://schemas.openxmlformats.org/officeDocument/2006/relationships/hyperlink" Target="https://specs.blockchainssc.org/kms/" TargetMode="External"/><Relationship Id="rId28" Type="http://schemas.openxmlformats.org/officeDocument/2006/relationships/hyperlink" Target="https://specs.blockchainssc.org/kms/" TargetMode="External"/><Relationship Id="rId29" Type="http://schemas.openxmlformats.org/officeDocument/2006/relationships/hyperlink" Target="https://specs.blockchainssc.org/kms/" TargetMode="External"/><Relationship Id="rId30" Type="http://schemas.openxmlformats.org/officeDocument/2006/relationships/hyperlink" Target="https://specs.blockchainssc.org/kms/" TargetMode="External"/><Relationship Id="rId31" Type="http://schemas.openxmlformats.org/officeDocument/2006/relationships/hyperlink" Target="https://specs.blockchainssc.org/kms/" TargetMode="External"/><Relationship Id="rId32" Type="http://schemas.openxmlformats.org/officeDocument/2006/relationships/hyperlink" Target="https://specs.blockchainssc.org/kms/" TargetMode="External"/><Relationship Id="rId33" Type="http://schemas.openxmlformats.org/officeDocument/2006/relationships/hyperlink" Target="https://specs.blockchainssc.org/kms/" TargetMode="External"/><Relationship Id="rId34" Type="http://schemas.openxmlformats.org/officeDocument/2006/relationships/hyperlink" Target="https://specs.blockchainssc.org/kms/" TargetMode="External"/><Relationship Id="rId35" Type="http://schemas.openxmlformats.org/officeDocument/2006/relationships/hyperlink" Target="https://specs.blockchainssc.org/kms/" TargetMode="External"/><Relationship Id="rId36" Type="http://schemas.openxmlformats.org/officeDocument/2006/relationships/hyperlink" Target="https://specs.blockchainssc.org/kms/" TargetMode="External"/><Relationship Id="rId37" Type="http://schemas.openxmlformats.org/officeDocument/2006/relationships/hyperlink" Target="https://specs.blockchainssc.org/kms/" TargetMode="External"/><Relationship Id="rId38" Type="http://schemas.openxmlformats.org/officeDocument/2006/relationships/hyperlink" Target="https://specs.blockchainssc.org/kms/" TargetMode="External"/><Relationship Id="rId39" Type="http://schemas.openxmlformats.org/officeDocument/2006/relationships/hyperlink" Target="https://specs.blockchainssc.org/kms/" TargetMode="External"/><Relationship Id="rId40" Type="http://schemas.openxmlformats.org/officeDocument/2006/relationships/hyperlink" Target="https://specs.blockchainssc.org/kms/" TargetMode="External"/><Relationship Id="rId41" Type="http://schemas.openxmlformats.org/officeDocument/2006/relationships/hyperlink" Target="https://specs.blockchainssc.org/kms/" TargetMode="External"/><Relationship Id="rId42" Type="http://schemas.openxmlformats.org/officeDocument/2006/relationships/hyperlink" Target="https://specs.blockchainssc.org/kms/" TargetMode="External"/><Relationship Id="rId43" Type="http://schemas.openxmlformats.org/officeDocument/2006/relationships/hyperlink" Target="https://specs.blockchainssc.org/kms/" TargetMode="External"/><Relationship Id="rId44" Type="http://schemas.openxmlformats.org/officeDocument/2006/relationships/hyperlink" Target="https://specs.blockchainssc.org/kms/" TargetMode="External"/><Relationship Id="rId45" Type="http://schemas.openxmlformats.org/officeDocument/2006/relationships/hyperlink" Target="https://specs.blockchainssc.org/kms/" TargetMode="External"/><Relationship Id="rId46" Type="http://schemas.openxmlformats.org/officeDocument/2006/relationships/hyperlink" Target="https://specs.blockchainssc.org/kms/" TargetMode="External"/><Relationship Id="rId47" Type="http://schemas.openxmlformats.org/officeDocument/2006/relationships/hyperlink" Target="https://specs.blockchainssc.org/kms/" TargetMode="External"/><Relationship Id="rId48" Type="http://schemas.openxmlformats.org/officeDocument/2006/relationships/hyperlink" Target="https://specs.blockchainssc.org/kms/" TargetMode="External"/><Relationship Id="rId49" Type="http://schemas.openxmlformats.org/officeDocument/2006/relationships/hyperlink" Target="https://specs.blockchainssc.org/kms/" TargetMode="External"/><Relationship Id="rId50" Type="http://schemas.openxmlformats.org/officeDocument/2006/relationships/hyperlink" Target="https://specs.blockchainssc.org/kms/" TargetMode="External"/><Relationship Id="rId51" Type="http://schemas.openxmlformats.org/officeDocument/2006/relationships/hyperlink" Target="https://specs.blockchainssc.org/kms/" TargetMode="External"/><Relationship Id="rId52" Type="http://schemas.openxmlformats.org/officeDocument/2006/relationships/hyperlink" Target="https://specs.blockchainssc.org/kms/" TargetMode="External"/><Relationship Id="rId53" Type="http://schemas.openxmlformats.org/officeDocument/2006/relationships/hyperlink" Target="https://specs.blockchainssc.org/kms/" TargetMode="External"/><Relationship Id="rId54" Type="http://schemas.openxmlformats.org/officeDocument/2006/relationships/hyperlink" Target="https://specs.blockchainssc.org/kms/" TargetMode="External"/><Relationship Id="rId55" Type="http://schemas.openxmlformats.org/officeDocument/2006/relationships/hyperlink" Target="https://specs.blockchainssc.org/kms/" TargetMode="External"/><Relationship Id="rId56" Type="http://schemas.openxmlformats.org/officeDocument/2006/relationships/hyperlink" Target="https://specs.blockchainssc.org/kms/" TargetMode="External"/><Relationship Id="rId57" Type="http://schemas.openxmlformats.org/officeDocument/2006/relationships/hyperlink" Target="https://specs.blockchainssc.org/kms/" TargetMode="External"/><Relationship Id="rId58" Type="http://schemas.openxmlformats.org/officeDocument/2006/relationships/hyperlink" Target="https://specs.blockchainssc.org/kms/" TargetMode="External"/><Relationship Id="rId59" Type="http://schemas.openxmlformats.org/officeDocument/2006/relationships/hyperlink" Target="https://specs.blockchainssc.org/kms/" TargetMode="External"/><Relationship Id="rId60" Type="http://schemas.openxmlformats.org/officeDocument/2006/relationships/hyperlink" Target="https://specs.blockchainssc.org/kms/" TargetMode="External"/><Relationship Id="rId61" Type="http://schemas.openxmlformats.org/officeDocument/2006/relationships/hyperlink" Target="https://specs.blockchainssc.org/kms/" TargetMode="External"/><Relationship Id="rId62" Type="http://schemas.openxmlformats.org/officeDocument/2006/relationships/hyperlink" Target="https://specs.blockchainssc.org/kms/" TargetMode="External"/><Relationship Id="rId63" Type="http://schemas.openxmlformats.org/officeDocument/2006/relationships/hyperlink" Target="https://specs.blockchainssc.org/kms/" TargetMode="External"/><Relationship Id="rId64" Type="http://schemas.openxmlformats.org/officeDocument/2006/relationships/hyperlink" Target="https://specs.blockchainssc.org/kms/" TargetMode="External"/><Relationship Id="rId65" Type="http://schemas.openxmlformats.org/officeDocument/2006/relationships/hyperlink" Target="https://specs.blockchainssc.org/kms/" TargetMode="External"/><Relationship Id="rId66" Type="http://schemas.openxmlformats.org/officeDocument/2006/relationships/hyperlink" Target="https://specs.blockchainssc.org/kms/" TargetMode="External"/><Relationship Id="rId67" Type="http://schemas.openxmlformats.org/officeDocument/2006/relationships/hyperlink" Target="https://specs.blockchainssc.org/kms/" TargetMode="External"/><Relationship Id="rId68" Type="http://schemas.openxmlformats.org/officeDocument/2006/relationships/hyperlink" Target="https://specs.blockchainssc.org/kms/" TargetMode="External"/><Relationship Id="rId69" Type="http://schemas.openxmlformats.org/officeDocument/2006/relationships/hyperlink" Target="https://specs.blockchainssc.org/kms/" TargetMode="External"/><Relationship Id="rId70" Type="http://schemas.openxmlformats.org/officeDocument/2006/relationships/hyperlink" Target="https://specs.blockchainssc.org/kms/" TargetMode="External"/><Relationship Id="rId71" Type="http://schemas.openxmlformats.org/officeDocument/2006/relationships/hyperlink" Target="https://specs.blockchainssc.org/kms/" TargetMode="External"/><Relationship Id="rId72" Type="http://schemas.openxmlformats.org/officeDocument/2006/relationships/hyperlink" Target="https://specs.blockchainssc.org/kms/" TargetMode="External"/><Relationship Id="rId73" Type="http://schemas.openxmlformats.org/officeDocument/2006/relationships/hyperlink" Target="https://specs.blockchainssc.org/kms/" TargetMode="External"/><Relationship Id="rId74" Type="http://schemas.openxmlformats.org/officeDocument/2006/relationships/hyperlink" Target="https://specs.blockchainssc.org/kms/" TargetMode="External"/><Relationship Id="rId75" Type="http://schemas.openxmlformats.org/officeDocument/2006/relationships/hyperlink" Target="https://specs.blockchainssc.org/kms/" TargetMode="External"/><Relationship Id="rId76" Type="http://schemas.openxmlformats.org/officeDocument/2006/relationships/hyperlink" Target="https://specs.blockchainssc.org/kms/" TargetMode="External"/><Relationship Id="rId77" Type="http://schemas.openxmlformats.org/officeDocument/2006/relationships/hyperlink" Target="https://specs.blockchainssc.org/kms/" TargetMode="External"/><Relationship Id="rId78" Type="http://schemas.openxmlformats.org/officeDocument/2006/relationships/hyperlink" Target="https://specs.blockchainssc.org/kms/" TargetMode="External"/><Relationship Id="rId79" Type="http://schemas.openxmlformats.org/officeDocument/2006/relationships/hyperlink" Target="https://specs.blockchainssc.org/kms/" TargetMode="External"/><Relationship Id="rId80" Type="http://schemas.openxmlformats.org/officeDocument/2006/relationships/hyperlink" Target="https://specs.blockchainssc.org/kms/" TargetMode="External"/><Relationship Id="rId81" Type="http://schemas.openxmlformats.org/officeDocument/2006/relationships/hyperlink" Target="https://specs.blockchainssc.org/kms/" TargetMode="External"/><Relationship Id="rId82" Type="http://schemas.openxmlformats.org/officeDocument/2006/relationships/hyperlink" Target="https://specs.blockchainssc.org/kms/" TargetMode="External"/><Relationship Id="rId83" Type="http://schemas.openxmlformats.org/officeDocument/2006/relationships/hyperlink" Target="https://specs.blockchainssc.org/kms/" TargetMode="External"/><Relationship Id="rId84" Type="http://schemas.openxmlformats.org/officeDocument/2006/relationships/hyperlink" Target="https://specs.blockchainssc.org/kms/" TargetMode="External"/><Relationship Id="rId85" Type="http://schemas.openxmlformats.org/officeDocument/2006/relationships/hyperlink" Target="https://specs.blockchainssc.org/kms/" TargetMode="External"/><Relationship Id="rId86" Type="http://schemas.openxmlformats.org/officeDocument/2006/relationships/hyperlink" Target="https://specs.blockchainssc.org/kms/" TargetMode="External"/><Relationship Id="rId87" Type="http://schemas.openxmlformats.org/officeDocument/2006/relationships/hyperlink" Target="https://specs.blockchainssc.org/kms/" TargetMode="External"/><Relationship Id="rId88" Type="http://schemas.openxmlformats.org/officeDocument/2006/relationships/hyperlink" Target="https://specs.blockchainssc.org/kms/" TargetMode="External"/><Relationship Id="rId89" Type="http://schemas.openxmlformats.org/officeDocument/2006/relationships/hyperlink" Target="https://specs.blockchainssc.org/kms/" TargetMode="External"/><Relationship Id="rId90" Type="http://schemas.openxmlformats.org/officeDocument/2006/relationships/hyperlink" Target="https://specs.blockchainssc.org/kms/" TargetMode="External"/><Relationship Id="rId91" Type="http://schemas.openxmlformats.org/officeDocument/2006/relationships/hyperlink" Target="https://specs.blockchainssc.org/kms/" TargetMode="External"/><Relationship Id="rId92" Type="http://schemas.openxmlformats.org/officeDocument/2006/relationships/hyperlink" Target="https://specs.blockchainssc.org/kms/" TargetMode="External"/><Relationship Id="rId93" Type="http://schemas.openxmlformats.org/officeDocument/2006/relationships/hyperlink" Target="https://specs.blockchainssc.org/kms/" TargetMode="External"/><Relationship Id="rId94" Type="http://schemas.openxmlformats.org/officeDocument/2006/relationships/hyperlink" Target="https://specs.blockchainssc.org/kms/" TargetMode="External"/><Relationship Id="rId95" Type="http://schemas.openxmlformats.org/officeDocument/2006/relationships/hyperlink" Target="https://specs.blockchainssc.org/kms/" TargetMode="External"/><Relationship Id="rId96" Type="http://schemas.openxmlformats.org/officeDocument/2006/relationships/hyperlink" Target="https://specs.blockchainssc.org/kms/" TargetMode="External"/><Relationship Id="rId97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scs/" TargetMode="External"/><Relationship Id="rId2" Type="http://schemas.openxmlformats.org/officeDocument/2006/relationships/hyperlink" Target="https://specs.blockchainssc.org/scs/" TargetMode="External"/><Relationship Id="rId3" Type="http://schemas.openxmlformats.org/officeDocument/2006/relationships/hyperlink" Target="https://specs.blockchainssc.org/scs/" TargetMode="External"/><Relationship Id="rId4" Type="http://schemas.openxmlformats.org/officeDocument/2006/relationships/hyperlink" Target="https://specs.blockchainssc.org/scs/" TargetMode="External"/><Relationship Id="rId5" Type="http://schemas.openxmlformats.org/officeDocument/2006/relationships/hyperlink" Target="https://specs.blockchainssc.org/scs/" TargetMode="External"/><Relationship Id="rId6" Type="http://schemas.openxmlformats.org/officeDocument/2006/relationships/hyperlink" Target="https://specs.blockchainssc.org/scs/" TargetMode="External"/><Relationship Id="rId7" Type="http://schemas.openxmlformats.org/officeDocument/2006/relationships/hyperlink" Target="https://specs.blockchainssc.org/scs/" TargetMode="External"/><Relationship Id="rId8" Type="http://schemas.openxmlformats.org/officeDocument/2006/relationships/hyperlink" Target="https://specs.blockchainssc.org/scs/" TargetMode="External"/><Relationship Id="rId9" Type="http://schemas.openxmlformats.org/officeDocument/2006/relationships/hyperlink" Target="https://specs.blockchainssc.org/scs/" TargetMode="External"/><Relationship Id="rId10" Type="http://schemas.openxmlformats.org/officeDocument/2006/relationships/hyperlink" Target="https://specs.blockchainssc.org/scs/" TargetMode="External"/><Relationship Id="rId11" Type="http://schemas.openxmlformats.org/officeDocument/2006/relationships/hyperlink" Target="https://specs.blockchainssc.org/scs/" TargetMode="External"/><Relationship Id="rId12" Type="http://schemas.openxmlformats.org/officeDocument/2006/relationships/hyperlink" Target="https://specs.blockchainssc.org/scs/" TargetMode="External"/><Relationship Id="rId13" Type="http://schemas.openxmlformats.org/officeDocument/2006/relationships/hyperlink" Target="https://specs.blockchainssc.org/scs/" TargetMode="External"/><Relationship Id="rId14" Type="http://schemas.openxmlformats.org/officeDocument/2006/relationships/hyperlink" Target="https://specs.blockchainssc.org/scs/" TargetMode="External"/><Relationship Id="rId15" Type="http://schemas.openxmlformats.org/officeDocument/2006/relationships/hyperlink" Target="https://specs.blockchainssc.org/scs/" TargetMode="External"/><Relationship Id="rId16" Type="http://schemas.openxmlformats.org/officeDocument/2006/relationships/hyperlink" Target="https://specs.blockchainssc.org/scs/" TargetMode="External"/><Relationship Id="rId17" Type="http://schemas.openxmlformats.org/officeDocument/2006/relationships/hyperlink" Target="https://specs.blockchainssc.org/scs/" TargetMode="External"/><Relationship Id="rId18" Type="http://schemas.openxmlformats.org/officeDocument/2006/relationships/hyperlink" Target="https://specs.blockchainssc.org/scs/" TargetMode="External"/><Relationship Id="rId19" Type="http://schemas.openxmlformats.org/officeDocument/2006/relationships/hyperlink" Target="https://specs.blockchainssc.org/scs/" TargetMode="External"/><Relationship Id="rId20" Type="http://schemas.openxmlformats.org/officeDocument/2006/relationships/hyperlink" Target="https://specs.blockchainssc.org/scs/" TargetMode="External"/><Relationship Id="rId21" Type="http://schemas.openxmlformats.org/officeDocument/2006/relationships/hyperlink" Target="https://specs.blockchainssc.org/scs/" TargetMode="External"/><Relationship Id="rId22" Type="http://schemas.openxmlformats.org/officeDocument/2006/relationships/hyperlink" Target="https://specs.blockchainssc.org/scs/" TargetMode="External"/><Relationship Id="rId23" Type="http://schemas.openxmlformats.org/officeDocument/2006/relationships/hyperlink" Target="https://specs.blockchainssc.org/scs/" TargetMode="External"/><Relationship Id="rId24" Type="http://schemas.openxmlformats.org/officeDocument/2006/relationships/hyperlink" Target="https://specs.blockchainssc.org/scs/" TargetMode="External"/><Relationship Id="rId25" Type="http://schemas.openxmlformats.org/officeDocument/2006/relationships/hyperlink" Target="https://specs.blockchainssc.org/scs/" TargetMode="External"/><Relationship Id="rId26" Type="http://schemas.openxmlformats.org/officeDocument/2006/relationships/hyperlink" Target="https://specs.blockchainssc.org/scs/" TargetMode="External"/><Relationship Id="rId27" Type="http://schemas.openxmlformats.org/officeDocument/2006/relationships/hyperlink" Target="https://specs.blockchainssc.org/scs/" TargetMode="External"/><Relationship Id="rId28" Type="http://schemas.openxmlformats.org/officeDocument/2006/relationships/hyperlink" Target="https://specs.blockchainssc.org/scs/" TargetMode="External"/><Relationship Id="rId29" Type="http://schemas.openxmlformats.org/officeDocument/2006/relationships/hyperlink" Target="https://specs.blockchainssc.org/scs/" TargetMode="External"/><Relationship Id="rId30" Type="http://schemas.openxmlformats.org/officeDocument/2006/relationships/hyperlink" Target="https://specs.blockchainssc.org/scs/" TargetMode="External"/><Relationship Id="rId31" Type="http://schemas.openxmlformats.org/officeDocument/2006/relationships/hyperlink" Target="https://specs.blockchainssc.org/scs/" TargetMode="External"/><Relationship Id="rId32" Type="http://schemas.openxmlformats.org/officeDocument/2006/relationships/hyperlink" Target="https://specs.blockchainssc.org/scs/" TargetMode="External"/><Relationship Id="rId33" Type="http://schemas.openxmlformats.org/officeDocument/2006/relationships/hyperlink" Target="https://specs.blockchainssc.org/scs/" TargetMode="External"/><Relationship Id="rId34" Type="http://schemas.openxmlformats.org/officeDocument/2006/relationships/hyperlink" Target="https://specs.blockchainssc.org/scs/" TargetMode="External"/><Relationship Id="rId35" Type="http://schemas.openxmlformats.org/officeDocument/2006/relationships/hyperlink" Target="https://specs.blockchainssc.org/scs/" TargetMode="External"/><Relationship Id="rId36" Type="http://schemas.openxmlformats.org/officeDocument/2006/relationships/hyperlink" Target="https://specs.blockchainssc.org/scs/" TargetMode="External"/><Relationship Id="rId37" Type="http://schemas.openxmlformats.org/officeDocument/2006/relationships/hyperlink" Target="https://specs.blockchainssc.org/scs/" TargetMode="External"/><Relationship Id="rId38" Type="http://schemas.openxmlformats.org/officeDocument/2006/relationships/hyperlink" Target="https://specs.blockchainssc.org/scs/" TargetMode="External"/><Relationship Id="rId39" Type="http://schemas.openxmlformats.org/officeDocument/2006/relationships/hyperlink" Target="https://specs.blockchainssc.org/scs/" TargetMode="External"/><Relationship Id="rId40" Type="http://schemas.openxmlformats.org/officeDocument/2006/relationships/hyperlink" Target="https://specs.blockchainssc.org/scs/" TargetMode="External"/><Relationship Id="rId41" Type="http://schemas.openxmlformats.org/officeDocument/2006/relationships/hyperlink" Target="https://specs.blockchainssc.org/scs/" TargetMode="External"/><Relationship Id="rId42" Type="http://schemas.openxmlformats.org/officeDocument/2006/relationships/hyperlink" Target="https://specs.blockchainssc.org/scs/" TargetMode="External"/><Relationship Id="rId43" Type="http://schemas.openxmlformats.org/officeDocument/2006/relationships/hyperlink" Target="https://specs.blockchainssc.org/scs/" TargetMode="External"/><Relationship Id="rId44" Type="http://schemas.openxmlformats.org/officeDocument/2006/relationships/hyperlink" Target="https://specs.blockchainssc.org/scs/" TargetMode="External"/><Relationship Id="rId45" Type="http://schemas.openxmlformats.org/officeDocument/2006/relationships/hyperlink" Target="https://specs.blockchainssc.org/scs/" TargetMode="External"/><Relationship Id="rId46" Type="http://schemas.openxmlformats.org/officeDocument/2006/relationships/hyperlink" Target="https://specs.blockchainssc.org/scs/" TargetMode="External"/><Relationship Id="rId47" Type="http://schemas.openxmlformats.org/officeDocument/2006/relationships/hyperlink" Target="https://specs.blockchainssc.org/scs/" TargetMode="External"/><Relationship Id="rId48" Type="http://schemas.openxmlformats.org/officeDocument/2006/relationships/hyperlink" Target="https://specs.blockchainssc.org/scs/" TargetMode="External"/><Relationship Id="rId49" Type="http://schemas.openxmlformats.org/officeDocument/2006/relationships/hyperlink" Target="https://specs.blockchainssc.org/scs/" TargetMode="External"/><Relationship Id="rId50" Type="http://schemas.openxmlformats.org/officeDocument/2006/relationships/hyperlink" Target="https://specs.blockchainssc.org/scs/" TargetMode="External"/><Relationship Id="rId51" Type="http://schemas.openxmlformats.org/officeDocument/2006/relationships/hyperlink" Target="https://specs.blockchainssc.org/scs/" TargetMode="External"/><Relationship Id="rId52" Type="http://schemas.openxmlformats.org/officeDocument/2006/relationships/hyperlink" Target="https://specs.blockchainssc.org/scs/" TargetMode="External"/><Relationship Id="rId53" Type="http://schemas.openxmlformats.org/officeDocument/2006/relationships/hyperlink" Target="https://specs.blockchainssc.org/scs/" TargetMode="External"/><Relationship Id="rId54" Type="http://schemas.openxmlformats.org/officeDocument/2006/relationships/hyperlink" Target="https://specs.blockchainssc.org/scs/" TargetMode="External"/><Relationship Id="rId55" Type="http://schemas.openxmlformats.org/officeDocument/2006/relationships/hyperlink" Target="https://specs.blockchainssc.org/scs/" TargetMode="External"/><Relationship Id="rId56" Type="http://schemas.openxmlformats.org/officeDocument/2006/relationships/hyperlink" Target="https://specs.blockchainssc.org/scs/" TargetMode="External"/><Relationship Id="rId57" Type="http://schemas.openxmlformats.org/officeDocument/2006/relationships/hyperlink" Target="https://specs.blockchainssc.org/scs/" TargetMode="External"/><Relationship Id="rId58" Type="http://schemas.openxmlformats.org/officeDocument/2006/relationships/hyperlink" Target="https://specs.blockchainssc.org/scs/" TargetMode="External"/><Relationship Id="rId59" Type="http://schemas.openxmlformats.org/officeDocument/2006/relationships/hyperlink" Target="https://specs.blockchainssc.org/scs/" TargetMode="External"/><Relationship Id="rId60" Type="http://schemas.openxmlformats.org/officeDocument/2006/relationships/hyperlink" Target="https://specs.blockchainssc.org/scs/" TargetMode="External"/><Relationship Id="rId61" Type="http://schemas.openxmlformats.org/officeDocument/2006/relationships/hyperlink" Target="https://specs.blockchainssc.org/scs/" TargetMode="External"/><Relationship Id="rId62" Type="http://schemas.openxmlformats.org/officeDocument/2006/relationships/hyperlink" Target="https://specs.blockchainssc.org/scs/" TargetMode="External"/><Relationship Id="rId63" Type="http://schemas.openxmlformats.org/officeDocument/2006/relationships/hyperlink" Target="https://specs.blockchainssc.org/scs/" TargetMode="External"/><Relationship Id="rId64" Type="http://schemas.openxmlformats.org/officeDocument/2006/relationships/hyperlink" Target="https://specs.blockchainssc.org/scs/" TargetMode="External"/><Relationship Id="rId65" Type="http://schemas.openxmlformats.org/officeDocument/2006/relationships/hyperlink" Target="https://specs.blockchainssc.org/scs/" TargetMode="External"/><Relationship Id="rId66" Type="http://schemas.openxmlformats.org/officeDocument/2006/relationships/hyperlink" Target="https://specs.blockchainssc.org/scs/" TargetMode="External"/><Relationship Id="rId67" Type="http://schemas.openxmlformats.org/officeDocument/2006/relationships/hyperlink" Target="https://specs.blockchainssc.org/scs/" TargetMode="External"/><Relationship Id="rId68" Type="http://schemas.openxmlformats.org/officeDocument/2006/relationships/hyperlink" Target="https://specs.blockchainssc.org/scs/" TargetMode="External"/><Relationship Id="rId69" Type="http://schemas.openxmlformats.org/officeDocument/2006/relationships/hyperlink" Target="https://specs.blockchainssc.org/scs/" TargetMode="External"/><Relationship Id="rId70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gsp/" TargetMode="External"/><Relationship Id="rId2" Type="http://schemas.openxmlformats.org/officeDocument/2006/relationships/hyperlink" Target="https://specs.blockchainssc.org/gsp/" TargetMode="External"/><Relationship Id="rId3" Type="http://schemas.openxmlformats.org/officeDocument/2006/relationships/hyperlink" Target="https://specs.blockchainssc.org/gsp/" TargetMode="External"/><Relationship Id="rId4" Type="http://schemas.openxmlformats.org/officeDocument/2006/relationships/hyperlink" Target="https://specs.blockchainssc.org/gsp/" TargetMode="External"/><Relationship Id="rId5" Type="http://schemas.openxmlformats.org/officeDocument/2006/relationships/hyperlink" Target="https://specs.blockchainssc.org/gsp/" TargetMode="External"/><Relationship Id="rId6" Type="http://schemas.openxmlformats.org/officeDocument/2006/relationships/hyperlink" Target="https://specs.blockchainssc.org/gsp/" TargetMode="External"/><Relationship Id="rId7" Type="http://schemas.openxmlformats.org/officeDocument/2006/relationships/hyperlink" Target="https://specs.blockchainssc.org/gsp/" TargetMode="External"/><Relationship Id="rId8" Type="http://schemas.openxmlformats.org/officeDocument/2006/relationships/hyperlink" Target="https://specs.blockchainssc.org/gsp/" TargetMode="External"/><Relationship Id="rId9" Type="http://schemas.openxmlformats.org/officeDocument/2006/relationships/hyperlink" Target="https://specs.blockchainssc.org/gsp/" TargetMode="External"/><Relationship Id="rId10" Type="http://schemas.openxmlformats.org/officeDocument/2006/relationships/hyperlink" Target="https://specs.blockchainssc.org/gsp/" TargetMode="External"/><Relationship Id="rId11" Type="http://schemas.openxmlformats.org/officeDocument/2006/relationships/hyperlink" Target="https://specs.blockchainssc.org/gsp/" TargetMode="External"/><Relationship Id="rId12" Type="http://schemas.openxmlformats.org/officeDocument/2006/relationships/hyperlink" Target="https://specs.blockchainssc.org/gsp/" TargetMode="External"/><Relationship Id="rId13" Type="http://schemas.openxmlformats.org/officeDocument/2006/relationships/hyperlink" Target="https://specs.blockchainssc.org/gsp/" TargetMode="External"/><Relationship Id="rId14" Type="http://schemas.openxmlformats.org/officeDocument/2006/relationships/hyperlink" Target="https://specs.blockchainssc.org/gsp/" TargetMode="External"/><Relationship Id="rId15" Type="http://schemas.openxmlformats.org/officeDocument/2006/relationships/hyperlink" Target="https://specs.blockchainssc.org/gsp/" TargetMode="External"/><Relationship Id="rId16" Type="http://schemas.openxmlformats.org/officeDocument/2006/relationships/hyperlink" Target="https://specs.blockchainssc.org/gsp/" TargetMode="External"/><Relationship Id="rId17" Type="http://schemas.openxmlformats.org/officeDocument/2006/relationships/hyperlink" Target="https://specs.blockchainssc.org/gsp/" TargetMode="External"/><Relationship Id="rId18" Type="http://schemas.openxmlformats.org/officeDocument/2006/relationships/hyperlink" Target="https://specs.blockchainssc.org/gsp/" TargetMode="External"/><Relationship Id="rId19" Type="http://schemas.openxmlformats.org/officeDocument/2006/relationships/hyperlink" Target="https://specs.blockchainssc.org/gsp/" TargetMode="External"/><Relationship Id="rId20" Type="http://schemas.openxmlformats.org/officeDocument/2006/relationships/hyperlink" Target="https://specs.blockchainssc.org/gsp/" TargetMode="External"/><Relationship Id="rId21" Type="http://schemas.openxmlformats.org/officeDocument/2006/relationships/hyperlink" Target="https://specs.blockchainssc.org/gsp/" TargetMode="External"/><Relationship Id="rId22" Type="http://schemas.openxmlformats.org/officeDocument/2006/relationships/hyperlink" Target="https://specs.blockchainssc.org/gsp/" TargetMode="External"/><Relationship Id="rId23" Type="http://schemas.openxmlformats.org/officeDocument/2006/relationships/hyperlink" Target="https://specs.blockchainssc.org/gsp/" TargetMode="External"/><Relationship Id="rId24" Type="http://schemas.openxmlformats.org/officeDocument/2006/relationships/hyperlink" Target="https://specs.blockchainssc.org/gsp/" TargetMode="External"/><Relationship Id="rId25" Type="http://schemas.openxmlformats.org/officeDocument/2006/relationships/hyperlink" Target="https://specs.blockchainssc.org/gsp/" TargetMode="External"/><Relationship Id="rId26" Type="http://schemas.openxmlformats.org/officeDocument/2006/relationships/hyperlink" Target="https://specs.blockchainssc.org/gsp/" TargetMode="External"/><Relationship Id="rId27" Type="http://schemas.openxmlformats.org/officeDocument/2006/relationships/hyperlink" Target="https://specs.blockchainssc.org/gsp/" TargetMode="External"/><Relationship Id="rId28" Type="http://schemas.openxmlformats.org/officeDocument/2006/relationships/hyperlink" Target="https://specs.blockchainssc.org/gsp/" TargetMode="External"/><Relationship Id="rId29" Type="http://schemas.openxmlformats.org/officeDocument/2006/relationships/hyperlink" Target="https://specs.blockchainssc.org/gsp/" TargetMode="External"/><Relationship Id="rId30" Type="http://schemas.openxmlformats.org/officeDocument/2006/relationships/hyperlink" Target="https://specs.blockchainssc.org/gsp/" TargetMode="External"/><Relationship Id="rId31" Type="http://schemas.openxmlformats.org/officeDocument/2006/relationships/hyperlink" Target="https://specs.blockchainssc.org/gsp/" TargetMode="External"/><Relationship Id="rId32" Type="http://schemas.openxmlformats.org/officeDocument/2006/relationships/hyperlink" Target="https://specs.blockchainssc.org/gsp/" TargetMode="External"/><Relationship Id="rId33" Type="http://schemas.openxmlformats.org/officeDocument/2006/relationships/hyperlink" Target="https://specs.blockchainssc.org/gsp/" TargetMode="External"/><Relationship Id="rId34" Type="http://schemas.openxmlformats.org/officeDocument/2006/relationships/hyperlink" Target="https://specs.blockchainssc.org/gsp/" TargetMode="External"/><Relationship Id="rId35" Type="http://schemas.openxmlformats.org/officeDocument/2006/relationships/hyperlink" Target="https://specs.blockchainssc.org/gsp/" TargetMode="External"/><Relationship Id="rId36" Type="http://schemas.openxmlformats.org/officeDocument/2006/relationships/hyperlink" Target="https://specs.blockchainssc.org/gsp/" TargetMode="External"/><Relationship Id="rId37" Type="http://schemas.openxmlformats.org/officeDocument/2006/relationships/hyperlink" Target="https://specs.blockchainssc.org/gsp/" TargetMode="External"/><Relationship Id="rId38" Type="http://schemas.openxmlformats.org/officeDocument/2006/relationships/hyperlink" Target="https://specs.blockchainssc.org/gsp/" TargetMode="External"/><Relationship Id="rId39" Type="http://schemas.openxmlformats.org/officeDocument/2006/relationships/hyperlink" Target="https://specs.blockchainssc.org/gsp/" TargetMode="External"/><Relationship Id="rId40" Type="http://schemas.openxmlformats.org/officeDocument/2006/relationships/hyperlink" Target="https://specs.blockchainssc.org/gsp/" TargetMode="External"/><Relationship Id="rId41" Type="http://schemas.openxmlformats.org/officeDocument/2006/relationships/hyperlink" Target="https://specs.blockchainssc.org/gsp/" TargetMode="External"/><Relationship Id="rId42" Type="http://schemas.openxmlformats.org/officeDocument/2006/relationships/hyperlink" Target="https://specs.blockchainssc.org/gsp/" TargetMode="External"/><Relationship Id="rId43" Type="http://schemas.openxmlformats.org/officeDocument/2006/relationships/hyperlink" Target="https://specs.blockchainssc.org/gsp/" TargetMode="External"/><Relationship Id="rId44" Type="http://schemas.openxmlformats.org/officeDocument/2006/relationships/hyperlink" Target="https://specs.blockchainssc.org/gsp/" TargetMode="External"/><Relationship Id="rId45" Type="http://schemas.openxmlformats.org/officeDocument/2006/relationships/hyperlink" Target="https://specs.blockchainssc.org/gsp/" TargetMode="External"/><Relationship Id="rId46" Type="http://schemas.openxmlformats.org/officeDocument/2006/relationships/hyperlink" Target="https://specs.blockchainssc.org/gsp/" TargetMode="External"/><Relationship Id="rId47" Type="http://schemas.openxmlformats.org/officeDocument/2006/relationships/hyperlink" Target="https://specs.blockchainssc.org/gsp/" TargetMode="External"/><Relationship Id="rId48" Type="http://schemas.openxmlformats.org/officeDocument/2006/relationships/hyperlink" Target="https://specs.blockchainssc.org/gsp/" TargetMode="External"/><Relationship Id="rId49" Type="http://schemas.openxmlformats.org/officeDocument/2006/relationships/hyperlink" Target="https://specs.blockchainssc.org/gsp/" TargetMode="External"/><Relationship Id="rId50" Type="http://schemas.openxmlformats.org/officeDocument/2006/relationships/hyperlink" Target="https://specs.blockchainssc.org/gsp/" TargetMode="External"/><Relationship Id="rId51" Type="http://schemas.openxmlformats.org/officeDocument/2006/relationships/hyperlink" Target="https://specs.blockchainssc.org/gsp/" TargetMode="External"/><Relationship Id="rId52" Type="http://schemas.openxmlformats.org/officeDocument/2006/relationships/hyperlink" Target="https://specs.blockchainssc.org/gsp/" TargetMode="External"/><Relationship Id="rId53" Type="http://schemas.openxmlformats.org/officeDocument/2006/relationships/hyperlink" Target="https://specs.blockchainssc.org/gsp/" TargetMode="External"/><Relationship Id="rId54" Type="http://schemas.openxmlformats.org/officeDocument/2006/relationships/hyperlink" Target="https://specs.blockchainssc.org/gsp/" TargetMode="External"/><Relationship Id="rId55" Type="http://schemas.openxmlformats.org/officeDocument/2006/relationships/hyperlink" Target="https://specs.blockchainssc.org/gsp/" TargetMode="External"/><Relationship Id="rId56" Type="http://schemas.openxmlformats.org/officeDocument/2006/relationships/hyperlink" Target="https://specs.blockchainssc.org/gsp/" TargetMode="External"/><Relationship Id="rId57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23.8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5" t="s">
        <v>25</v>
      </c>
    </row>
  </sheetData>
  <hyperlinks>
    <hyperlink ref="A5" r:id="rId1" display="NOS — Node Operation Standard, v2 (2026-05-14) — https://specs.blockchainssc.org/nos/"/>
    <hyperlink ref="A6" r:id="rId2" display="TIS — Token Integration Standard, v1 (2025-05-13) — https://specs.blockchainssc.org/tis/"/>
    <hyperlink ref="A7" r:id="rId3" display="KMS — Key Management Standard, v1 (2025-05-13) — https://specs.blockchainssc.org/kms/"/>
    <hyperlink ref="A8" r:id="rId4" display="SCS — Smart Contract Security Standard, v1 (2026-05-14) — https://specs.blockchainssc.org/scs/"/>
    <hyperlink ref="A9" r:id="rId5" display="GSP — General Security &amp; Privacy Guidelines, v2 (2026-05-14) — https://specs.blockchainssc.org/gsp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8" min="4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6" t="s">
        <v>26</v>
      </c>
    </row>
    <row r="2" customFormat="false" ht="15" hidden="false" customHeight="false" outlineLevel="0" collapsed="false">
      <c r="A2" s="7" t="s">
        <v>27</v>
      </c>
    </row>
    <row r="4" customFormat="false" ht="30" hidden="false" customHeight="true" outlineLevel="0" collapsed="false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  <c r="H4" s="8" t="s">
        <v>35</v>
      </c>
      <c r="I4" s="8" t="s">
        <v>36</v>
      </c>
      <c r="J4" s="8" t="s">
        <v>37</v>
      </c>
      <c r="K4" s="8" t="s">
        <v>38</v>
      </c>
    </row>
    <row r="5" customFormat="false" ht="15" hidden="false" customHeight="false" outlineLevel="0" collapsed="false">
      <c r="A5" s="9" t="s">
        <v>39</v>
      </c>
      <c r="B5" s="9" t="s">
        <v>40</v>
      </c>
      <c r="C5" s="9" t="s">
        <v>41</v>
      </c>
      <c r="D5" s="9" t="n">
        <f aca="false">COUNTIFS('All Controls'!$B$2:$B$326,$A5,'All Controls'!$I$2:$I$326,"Critical")</f>
        <v>11</v>
      </c>
      <c r="E5" s="9" t="n">
        <f aca="false">COUNTIFS('All Controls'!$B$2:$B$326,$A5,'All Controls'!$I$2:$I$326,"High")</f>
        <v>24</v>
      </c>
      <c r="F5" s="9" t="n">
        <f aca="false">COUNTIFS('All Controls'!$B$2:$B$326,$A5,'All Controls'!$I$2:$I$326,"Medium")</f>
        <v>16</v>
      </c>
      <c r="G5" s="9" t="n">
        <f aca="false">COUNTIFS('All Controls'!$B$2:$B$326,$A5,'All Controls'!$I$2:$I$326,"Low")</f>
        <v>3</v>
      </c>
      <c r="H5" s="9" t="n">
        <f aca="false">SUM(D5:G5)</f>
        <v>54</v>
      </c>
      <c r="I5" s="9" t="n">
        <f aca="false">COUNTIFS('All Controls'!$B$2:$B$326,$A5,'All Controls'!$P$2:$P$326,"Implemented")</f>
        <v>0</v>
      </c>
      <c r="J5" s="10" t="n">
        <f aca="false">IF((H5-K5)=0,0,I5/(H5-K5))</f>
        <v>0</v>
      </c>
      <c r="K5" s="9" t="n">
        <f aca="false">COUNTIFS('All Controls'!$B$2:$B$326,$A5,'All Controls'!$P$2:$P$326,"Not applicable")+COUNTIFS('All Controls'!$B$2:$B$326,$A5,'All Controls'!$P$2:$P$326,"Risk accepted")</f>
        <v>0</v>
      </c>
    </row>
    <row r="6" customFormat="false" ht="15" hidden="false" customHeight="false" outlineLevel="0" collapsed="false">
      <c r="A6" s="9" t="s">
        <v>42</v>
      </c>
      <c r="B6" s="9" t="s">
        <v>43</v>
      </c>
      <c r="C6" s="9" t="s">
        <v>44</v>
      </c>
      <c r="D6" s="9" t="n">
        <f aca="false">COUNTIFS('All Controls'!$B$2:$B$326,$A6,'All Controls'!$I$2:$I$326,"Critical")</f>
        <v>5</v>
      </c>
      <c r="E6" s="9" t="n">
        <f aca="false">COUNTIFS('All Controls'!$B$2:$B$326,$A6,'All Controls'!$I$2:$I$326,"High")</f>
        <v>20</v>
      </c>
      <c r="F6" s="9" t="n">
        <f aca="false">COUNTIFS('All Controls'!$B$2:$B$326,$A6,'All Controls'!$I$2:$I$326,"Medium")</f>
        <v>18</v>
      </c>
      <c r="G6" s="9" t="n">
        <f aca="false">COUNTIFS('All Controls'!$B$2:$B$326,$A6,'All Controls'!$I$2:$I$326,"Low")</f>
        <v>7</v>
      </c>
      <c r="H6" s="9" t="n">
        <f aca="false">SUM(D6:G6)</f>
        <v>50</v>
      </c>
      <c r="I6" s="9" t="n">
        <f aca="false">COUNTIFS('All Controls'!$B$2:$B$326,$A6,'All Controls'!$P$2:$P$326,"Implemented")</f>
        <v>0</v>
      </c>
      <c r="J6" s="10" t="n">
        <f aca="false">IF((H6-K6)=0,0,I6/(H6-K6))</f>
        <v>0</v>
      </c>
      <c r="K6" s="9" t="n">
        <f aca="false">COUNTIFS('All Controls'!$B$2:$B$326,$A6,'All Controls'!$P$2:$P$326,"Not applicable")+COUNTIFS('All Controls'!$B$2:$B$326,$A6,'All Controls'!$P$2:$P$326,"Risk accepted")</f>
        <v>0</v>
      </c>
    </row>
    <row r="7" customFormat="false" ht="15" hidden="false" customHeight="false" outlineLevel="0" collapsed="false">
      <c r="A7" s="9" t="s">
        <v>45</v>
      </c>
      <c r="B7" s="9" t="s">
        <v>46</v>
      </c>
      <c r="C7" s="9" t="s">
        <v>44</v>
      </c>
      <c r="D7" s="9" t="n">
        <f aca="false">COUNTIFS('All Controls'!$B$2:$B$326,$A7,'All Controls'!$I$2:$I$326,"Critical")</f>
        <v>26</v>
      </c>
      <c r="E7" s="9" t="n">
        <f aca="false">COUNTIFS('All Controls'!$B$2:$B$326,$A7,'All Controls'!$I$2:$I$326,"High")</f>
        <v>48</v>
      </c>
      <c r="F7" s="9" t="n">
        <f aca="false">COUNTIFS('All Controls'!$B$2:$B$326,$A7,'All Controls'!$I$2:$I$326,"Medium")</f>
        <v>19</v>
      </c>
      <c r="G7" s="9" t="n">
        <f aca="false">COUNTIFS('All Controls'!$B$2:$B$326,$A7,'All Controls'!$I$2:$I$326,"Low")</f>
        <v>3</v>
      </c>
      <c r="H7" s="9" t="n">
        <f aca="false">SUM(D7:G7)</f>
        <v>96</v>
      </c>
      <c r="I7" s="9" t="n">
        <f aca="false">COUNTIFS('All Controls'!$B$2:$B$326,$A7,'All Controls'!$P$2:$P$326,"Implemented")</f>
        <v>0</v>
      </c>
      <c r="J7" s="10" t="n">
        <f aca="false">IF((H7-K7)=0,0,I7/(H7-K7))</f>
        <v>0</v>
      </c>
      <c r="K7" s="9" t="n">
        <f aca="false">COUNTIFS('All Controls'!$B$2:$B$326,$A7,'All Controls'!$P$2:$P$326,"Not applicable")+COUNTIFS('All Controls'!$B$2:$B$326,$A7,'All Controls'!$P$2:$P$326,"Risk accepted")</f>
        <v>0</v>
      </c>
    </row>
    <row r="8" customFormat="false" ht="15" hidden="false" customHeight="false" outlineLevel="0" collapsed="false">
      <c r="A8" s="9" t="s">
        <v>47</v>
      </c>
      <c r="B8" s="9" t="s">
        <v>48</v>
      </c>
      <c r="C8" s="9" t="s">
        <v>49</v>
      </c>
      <c r="D8" s="9" t="n">
        <f aca="false">COUNTIFS('All Controls'!$B$2:$B$326,$A8,'All Controls'!$I$2:$I$326,"Critical")</f>
        <v>10</v>
      </c>
      <c r="E8" s="9" t="n">
        <f aca="false">COUNTIFS('All Controls'!$B$2:$B$326,$A8,'All Controls'!$I$2:$I$326,"High")</f>
        <v>18</v>
      </c>
      <c r="F8" s="9" t="n">
        <f aca="false">COUNTIFS('All Controls'!$B$2:$B$326,$A8,'All Controls'!$I$2:$I$326,"Medium")</f>
        <v>29</v>
      </c>
      <c r="G8" s="9" t="n">
        <f aca="false">COUNTIFS('All Controls'!$B$2:$B$326,$A8,'All Controls'!$I$2:$I$326,"Low")</f>
        <v>12</v>
      </c>
      <c r="H8" s="9" t="n">
        <f aca="false">SUM(D8:G8)</f>
        <v>69</v>
      </c>
      <c r="I8" s="9" t="n">
        <f aca="false">COUNTIFS('All Controls'!$B$2:$B$326,$A8,'All Controls'!$P$2:$P$326,"Implemented")</f>
        <v>0</v>
      </c>
      <c r="J8" s="10" t="n">
        <f aca="false">IF((H8-K8)=0,0,I8/(H8-K8))</f>
        <v>0</v>
      </c>
      <c r="K8" s="9" t="n">
        <f aca="false">COUNTIFS('All Controls'!$B$2:$B$326,$A8,'All Controls'!$P$2:$P$326,"Not applicable")+COUNTIFS('All Controls'!$B$2:$B$326,$A8,'All Controls'!$P$2:$P$326,"Risk accepted")</f>
        <v>0</v>
      </c>
    </row>
    <row r="9" customFormat="false" ht="15" hidden="false" customHeight="false" outlineLevel="0" collapsed="false">
      <c r="A9" s="9" t="s">
        <v>50</v>
      </c>
      <c r="B9" s="9" t="s">
        <v>51</v>
      </c>
      <c r="C9" s="9" t="s">
        <v>41</v>
      </c>
      <c r="D9" s="9" t="n">
        <f aca="false">COUNTIFS('All Controls'!$B$2:$B$326,$A9,'All Controls'!$I$2:$I$326,"Critical")</f>
        <v>3</v>
      </c>
      <c r="E9" s="9" t="n">
        <f aca="false">COUNTIFS('All Controls'!$B$2:$B$326,$A9,'All Controls'!$I$2:$I$326,"High")</f>
        <v>34</v>
      </c>
      <c r="F9" s="9" t="n">
        <f aca="false">COUNTIFS('All Controls'!$B$2:$B$326,$A9,'All Controls'!$I$2:$I$326,"Medium")</f>
        <v>18</v>
      </c>
      <c r="G9" s="9" t="n">
        <f aca="false">COUNTIFS('All Controls'!$B$2:$B$326,$A9,'All Controls'!$I$2:$I$326,"Low")</f>
        <v>1</v>
      </c>
      <c r="H9" s="9" t="n">
        <f aca="false">SUM(D9:G9)</f>
        <v>56</v>
      </c>
      <c r="I9" s="9" t="n">
        <f aca="false">COUNTIFS('All Controls'!$B$2:$B$326,$A9,'All Controls'!$P$2:$P$326,"Implemented")</f>
        <v>0</v>
      </c>
      <c r="J9" s="10" t="n">
        <f aca="false">IF((H9-K9)=0,0,I9/(H9-K9))</f>
        <v>0</v>
      </c>
      <c r="K9" s="9" t="n">
        <f aca="false">COUNTIFS('All Controls'!$B$2:$B$326,$A9,'All Controls'!$P$2:$P$326,"Not applicable")+COUNTIFS('All Controls'!$B$2:$B$326,$A9,'All Controls'!$P$2:$P$326,"Risk accepted")</f>
        <v>0</v>
      </c>
    </row>
    <row r="10" customFormat="false" ht="15" hidden="false" customHeight="false" outlineLevel="0" collapsed="false">
      <c r="A10" s="11" t="s">
        <v>35</v>
      </c>
      <c r="B10" s="11"/>
      <c r="C10" s="11"/>
      <c r="D10" s="11" t="n">
        <f aca="false">SUM(D5:D9)</f>
        <v>55</v>
      </c>
      <c r="E10" s="11" t="n">
        <f aca="false">SUM(E5:E9)</f>
        <v>144</v>
      </c>
      <c r="F10" s="11" t="n">
        <f aca="false">SUM(F5:F9)</f>
        <v>100</v>
      </c>
      <c r="G10" s="11" t="n">
        <f aca="false">SUM(G5:G9)</f>
        <v>26</v>
      </c>
      <c r="H10" s="11" t="n">
        <f aca="false">SUM(H5:H9)</f>
        <v>325</v>
      </c>
      <c r="I10" s="11" t="n">
        <f aca="false">SUM(I5:I9)</f>
        <v>0</v>
      </c>
      <c r="J10" s="12" t="n">
        <f aca="false">IF((H10-K10)=0,0,I10/(H10-K10))</f>
        <v>0</v>
      </c>
      <c r="K10" s="11" t="n">
        <f aca="false">SUM(K5:K9)</f>
        <v>0</v>
      </c>
    </row>
    <row r="12" customFormat="false" ht="15" hidden="false" customHeight="false" outlineLevel="0" collapsed="false">
      <c r="A12" s="13" t="s">
        <v>52</v>
      </c>
    </row>
    <row r="13" customFormat="false" ht="15" hidden="false" customHeight="false" outlineLevel="0" collapsed="false">
      <c r="A13" s="14" t="s">
        <v>53</v>
      </c>
      <c r="B13" s="14" t="s">
        <v>39</v>
      </c>
      <c r="C13" s="14" t="s">
        <v>42</v>
      </c>
      <c r="D13" s="14" t="s">
        <v>45</v>
      </c>
      <c r="E13" s="14" t="s">
        <v>47</v>
      </c>
      <c r="F13" s="14" t="s">
        <v>50</v>
      </c>
      <c r="G13" s="14" t="s">
        <v>35</v>
      </c>
    </row>
    <row r="14" customFormat="false" ht="15" hidden="false" customHeight="false" outlineLevel="0" collapsed="false">
      <c r="A14" s="9" t="s">
        <v>54</v>
      </c>
      <c r="B14" s="9" t="n">
        <f aca="false">COUNTIFS('All Controls'!$B$2:$B$326,"NOS",'All Controls'!$H$2:$H$326,$A14)</f>
        <v>40</v>
      </c>
      <c r="C14" s="9" t="n">
        <f aca="false">COUNTIFS('All Controls'!$B$2:$B$326,"TIS",'All Controls'!$H$2:$H$326,$A14)</f>
        <v>40</v>
      </c>
      <c r="D14" s="9" t="n">
        <f aca="false">COUNTIFS('All Controls'!$B$2:$B$326,"KMS",'All Controls'!$H$2:$H$326,$A14)</f>
        <v>49</v>
      </c>
      <c r="E14" s="9" t="n">
        <f aca="false">COUNTIFS('All Controls'!$B$2:$B$326,"SCS",'All Controls'!$H$2:$H$326,$A14)</f>
        <v>38</v>
      </c>
      <c r="F14" s="9" t="n">
        <f aca="false">COUNTIFS('All Controls'!$B$2:$B$326,"GSP",'All Controls'!$H$2:$H$326,$A14)</f>
        <v>0</v>
      </c>
      <c r="G14" s="9" t="n">
        <f aca="false">SUM(B14:F14)</f>
        <v>167</v>
      </c>
    </row>
    <row r="15" customFormat="false" ht="15" hidden="false" customHeight="false" outlineLevel="0" collapsed="false">
      <c r="A15" s="9" t="s">
        <v>55</v>
      </c>
      <c r="B15" s="9" t="n">
        <f aca="false">COUNTIFS('All Controls'!$B$2:$B$326,"NOS",'All Controls'!$H$2:$H$326,$A15)</f>
        <v>0</v>
      </c>
      <c r="C15" s="9" t="n">
        <f aca="false">COUNTIFS('All Controls'!$B$2:$B$326,"TIS",'All Controls'!$H$2:$H$326,$A15)</f>
        <v>2</v>
      </c>
      <c r="D15" s="9" t="n">
        <f aca="false">COUNTIFS('All Controls'!$B$2:$B$326,"KMS",'All Controls'!$H$2:$H$326,$A15)</f>
        <v>1</v>
      </c>
      <c r="E15" s="9" t="n">
        <f aca="false">COUNTIFS('All Controls'!$B$2:$B$326,"SCS",'All Controls'!$H$2:$H$326,$A15)</f>
        <v>0</v>
      </c>
      <c r="F15" s="9" t="n">
        <f aca="false">COUNTIFS('All Controls'!$B$2:$B$326,"GSP",'All Controls'!$H$2:$H$326,$A15)</f>
        <v>0</v>
      </c>
      <c r="G15" s="9" t="n">
        <f aca="false">SUM(B15:F15)</f>
        <v>3</v>
      </c>
    </row>
    <row r="16" customFormat="false" ht="15" hidden="false" customHeight="false" outlineLevel="0" collapsed="false">
      <c r="A16" s="9" t="s">
        <v>56</v>
      </c>
      <c r="B16" s="9" t="n">
        <f aca="false">COUNTIFS('All Controls'!$B$2:$B$326,"NOS",'All Controls'!$H$2:$H$326,$A16)</f>
        <v>11</v>
      </c>
      <c r="C16" s="9" t="n">
        <f aca="false">COUNTIFS('All Controls'!$B$2:$B$326,"TIS",'All Controls'!$H$2:$H$326,$A16)</f>
        <v>4</v>
      </c>
      <c r="D16" s="9" t="n">
        <f aca="false">COUNTIFS('All Controls'!$B$2:$B$326,"KMS",'All Controls'!$H$2:$H$326,$A16)</f>
        <v>43</v>
      </c>
      <c r="E16" s="9" t="n">
        <f aca="false">COUNTIFS('All Controls'!$B$2:$B$326,"SCS",'All Controls'!$H$2:$H$326,$A16)</f>
        <v>23</v>
      </c>
      <c r="F16" s="9" t="n">
        <f aca="false">COUNTIFS('All Controls'!$B$2:$B$326,"GSP",'All Controls'!$H$2:$H$326,$A16)</f>
        <v>56</v>
      </c>
      <c r="G16" s="9" t="n">
        <f aca="false">SUM(B16:F16)</f>
        <v>137</v>
      </c>
    </row>
    <row r="17" customFormat="false" ht="15" hidden="false" customHeight="false" outlineLevel="0" collapsed="false">
      <c r="A17" s="9" t="s">
        <v>57</v>
      </c>
      <c r="B17" s="9" t="n">
        <f aca="false">COUNTIFS('All Controls'!$B$2:$B$326,"NOS",'All Controls'!$H$2:$H$326,$A17)</f>
        <v>1</v>
      </c>
      <c r="C17" s="9" t="n">
        <f aca="false">COUNTIFS('All Controls'!$B$2:$B$326,"TIS",'All Controls'!$H$2:$H$326,$A17)</f>
        <v>3</v>
      </c>
      <c r="D17" s="9" t="n">
        <f aca="false">COUNTIFS('All Controls'!$B$2:$B$326,"KMS",'All Controls'!$H$2:$H$326,$A17)</f>
        <v>1</v>
      </c>
      <c r="E17" s="9" t="n">
        <f aca="false">COUNTIFS('All Controls'!$B$2:$B$326,"SCS",'All Controls'!$H$2:$H$326,$A17)</f>
        <v>0</v>
      </c>
      <c r="F17" s="9" t="n">
        <f aca="false">COUNTIFS('All Controls'!$B$2:$B$326,"GSP",'All Controls'!$H$2:$H$326,$A17)</f>
        <v>0</v>
      </c>
      <c r="G17" s="9" t="n">
        <f aca="false">SUM(B17:F17)</f>
        <v>5</v>
      </c>
    </row>
    <row r="18" customFormat="false" ht="15" hidden="false" customHeight="false" outlineLevel="0" collapsed="false">
      <c r="A18" s="9" t="s">
        <v>58</v>
      </c>
      <c r="B18" s="9" t="n">
        <f aca="false">COUNTIFS('All Controls'!$B$2:$B$326,"NOS",'All Controls'!$H$2:$H$326,$A18)</f>
        <v>0</v>
      </c>
      <c r="C18" s="9" t="n">
        <f aca="false">COUNTIFS('All Controls'!$B$2:$B$326,"TIS",'All Controls'!$H$2:$H$326,$A18)</f>
        <v>1</v>
      </c>
      <c r="D18" s="9" t="n">
        <f aca="false">COUNTIFS('All Controls'!$B$2:$B$326,"KMS",'All Controls'!$H$2:$H$326,$A18)</f>
        <v>2</v>
      </c>
      <c r="E18" s="9" t="n">
        <f aca="false">COUNTIFS('All Controls'!$B$2:$B$326,"SCS",'All Controls'!$H$2:$H$326,$A18)</f>
        <v>1</v>
      </c>
      <c r="F18" s="9" t="n">
        <f aca="false">COUNTIFS('All Controls'!$B$2:$B$326,"GSP",'All Controls'!$H$2:$H$326,$A18)</f>
        <v>0</v>
      </c>
      <c r="G18" s="9" t="n">
        <f aca="false">SUM(B18:F18)</f>
        <v>4</v>
      </c>
    </row>
    <row r="19" customFormat="false" ht="15" hidden="false" customHeight="false" outlineLevel="0" collapsed="false">
      <c r="A19" s="9" t="s">
        <v>59</v>
      </c>
      <c r="B19" s="9" t="n">
        <f aca="false">COUNTIFS('All Controls'!$B$2:$B$326,"NOS",'All Controls'!$H$2:$H$326,$A19)</f>
        <v>1</v>
      </c>
      <c r="C19" s="9" t="n">
        <f aca="false">COUNTIFS('All Controls'!$B$2:$B$326,"TIS",'All Controls'!$H$2:$H$326,$A19)</f>
        <v>0</v>
      </c>
      <c r="D19" s="9" t="n">
        <f aca="false">COUNTIFS('All Controls'!$B$2:$B$326,"KMS",'All Controls'!$H$2:$H$326,$A19)</f>
        <v>0</v>
      </c>
      <c r="E19" s="9" t="n">
        <f aca="false">COUNTIFS('All Controls'!$B$2:$B$326,"SCS",'All Controls'!$H$2:$H$326,$A19)</f>
        <v>0</v>
      </c>
      <c r="F19" s="9" t="n">
        <f aca="false">COUNTIFS('All Controls'!$B$2:$B$326,"GSP",'All Controls'!$H$2:$H$326,$A19)</f>
        <v>0</v>
      </c>
      <c r="G19" s="9" t="n">
        <f aca="false">SUM(B19:F19)</f>
        <v>1</v>
      </c>
    </row>
    <row r="20" customFormat="false" ht="15" hidden="false" customHeight="false" outlineLevel="0" collapsed="false">
      <c r="A20" s="9" t="s">
        <v>60</v>
      </c>
      <c r="B20" s="9" t="n">
        <f aca="false">COUNTIFS('All Controls'!$B$2:$B$326,"NOS",'All Controls'!$H$2:$H$326,$A20)</f>
        <v>0</v>
      </c>
      <c r="C20" s="9" t="n">
        <f aca="false">COUNTIFS('All Controls'!$B$2:$B$326,"TIS",'All Controls'!$H$2:$H$326,$A20)</f>
        <v>0</v>
      </c>
      <c r="D20" s="9" t="n">
        <f aca="false">COUNTIFS('All Controls'!$B$2:$B$326,"KMS",'All Controls'!$H$2:$H$326,$A20)</f>
        <v>0</v>
      </c>
      <c r="E20" s="9" t="n">
        <f aca="false">COUNTIFS('All Controls'!$B$2:$B$326,"SCS",'All Controls'!$H$2:$H$326,$A20)</f>
        <v>6</v>
      </c>
      <c r="F20" s="9" t="n">
        <f aca="false">COUNTIFS('All Controls'!$B$2:$B$326,"GSP",'All Controls'!$H$2:$H$326,$A20)</f>
        <v>0</v>
      </c>
      <c r="G20" s="9" t="n">
        <f aca="false">SUM(B20:F20)</f>
        <v>6</v>
      </c>
    </row>
    <row r="21" customFormat="false" ht="15" hidden="false" customHeight="false" outlineLevel="0" collapsed="false">
      <c r="A21" s="9" t="s">
        <v>61</v>
      </c>
      <c r="B21" s="9" t="n">
        <f aca="false">COUNTIFS('All Controls'!$B$2:$B$326,"NOS",'All Controls'!$H$2:$H$326,$A21)</f>
        <v>0</v>
      </c>
      <c r="C21" s="9" t="n">
        <f aca="false">COUNTIFS('All Controls'!$B$2:$B$326,"TIS",'All Controls'!$H$2:$H$326,$A21)</f>
        <v>0</v>
      </c>
      <c r="D21" s="9" t="n">
        <f aca="false">COUNTIFS('All Controls'!$B$2:$B$326,"KMS",'All Controls'!$H$2:$H$326,$A21)</f>
        <v>0</v>
      </c>
      <c r="E21" s="9" t="n">
        <f aca="false">COUNTIFS('All Controls'!$B$2:$B$326,"SCS",'All Controls'!$H$2:$H$326,$A21)</f>
        <v>1</v>
      </c>
      <c r="F21" s="9" t="n">
        <f aca="false">COUNTIFS('All Controls'!$B$2:$B$326,"GSP",'All Controls'!$H$2:$H$326,$A21)</f>
        <v>0</v>
      </c>
      <c r="G21" s="9" t="n">
        <f aca="false">SUM(B21:F21)</f>
        <v>1</v>
      </c>
    </row>
    <row r="22" customFormat="false" ht="15" hidden="false" customHeight="false" outlineLevel="0" collapsed="false">
      <c r="A22" s="9" t="s">
        <v>62</v>
      </c>
      <c r="B22" s="9" t="n">
        <f aca="false">COUNTIFS('All Controls'!$B$2:$B$326,"NOS",'All Controls'!$H$2:$H$326,$A22)</f>
        <v>1</v>
      </c>
      <c r="C22" s="9" t="n">
        <f aca="false">COUNTIFS('All Controls'!$B$2:$B$326,"TIS",'All Controls'!$H$2:$H$326,$A22)</f>
        <v>0</v>
      </c>
      <c r="D22" s="9" t="n">
        <f aca="false">COUNTIFS('All Controls'!$B$2:$B$326,"KMS",'All Controls'!$H$2:$H$326,$A22)</f>
        <v>0</v>
      </c>
      <c r="E22" s="9" t="n">
        <f aca="false">COUNTIFS('All Controls'!$B$2:$B$326,"SCS",'All Controls'!$H$2:$H$326,$A22)</f>
        <v>0</v>
      </c>
      <c r="F22" s="9" t="n">
        <f aca="false">COUNTIFS('All Controls'!$B$2:$B$326,"GSP",'All Controls'!$H$2:$H$326,$A22)</f>
        <v>0</v>
      </c>
      <c r="G22" s="9" t="n">
        <f aca="false">SUM(B22:F22)</f>
        <v>1</v>
      </c>
    </row>
    <row r="23" customFormat="false" ht="15" hidden="false" customHeight="false" outlineLevel="0" collapsed="false">
      <c r="A23" s="11" t="s">
        <v>35</v>
      </c>
      <c r="B23" s="11" t="n">
        <f aca="false">SUM(B14:B22)</f>
        <v>54</v>
      </c>
      <c r="C23" s="11" t="n">
        <f aca="false">SUM(C14:C22)</f>
        <v>50</v>
      </c>
      <c r="D23" s="11" t="n">
        <f aca="false">SUM(D14:D22)</f>
        <v>96</v>
      </c>
      <c r="E23" s="11" t="n">
        <f aca="false">SUM(E14:E22)</f>
        <v>69</v>
      </c>
      <c r="F23" s="11" t="n">
        <f aca="false">SUM(F14:F22)</f>
        <v>56</v>
      </c>
      <c r="G23" s="11" t="n">
        <f aca="false">SUM(G14:G22)</f>
        <v>325</v>
      </c>
    </row>
    <row r="24" customFormat="false" ht="15" hidden="false" customHeight="false" outlineLevel="0" collapsed="false">
      <c r="A24" s="7" t="s">
        <v>63</v>
      </c>
      <c r="G24" s="15" t="str">
        <f aca="false">IF(G23=H10,"OK","MISMATCH")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4" min="14" style="0" width="44"/>
    <col collapsed="false" customWidth="true" hidden="fals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24"/>
  </cols>
  <sheetData>
    <row r="1" customFormat="false" ht="31.5" hidden="false" customHeight="true" outlineLevel="0" collapsed="false">
      <c r="A1" s="8" t="s">
        <v>64</v>
      </c>
      <c r="B1" s="8" t="s">
        <v>28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</row>
    <row r="2" customFormat="false" ht="32.8" hidden="false" customHeight="false" outlineLevel="0" collapsed="false">
      <c r="A2" s="16" t="s">
        <v>81</v>
      </c>
      <c r="B2" s="16" t="s">
        <v>39</v>
      </c>
      <c r="C2" s="16" t="s">
        <v>82</v>
      </c>
      <c r="D2" s="16" t="s">
        <v>83</v>
      </c>
      <c r="E2" s="16" t="s">
        <v>84</v>
      </c>
      <c r="F2" s="16" t="s">
        <v>85</v>
      </c>
      <c r="G2" s="16" t="s">
        <v>86</v>
      </c>
      <c r="H2" s="16" t="s">
        <v>54</v>
      </c>
      <c r="I2" s="16" t="s">
        <v>31</v>
      </c>
      <c r="J2" s="16" t="s">
        <v>87</v>
      </c>
      <c r="K2" s="16" t="s">
        <v>88</v>
      </c>
      <c r="L2" s="16" t="s">
        <v>89</v>
      </c>
      <c r="M2" s="16" t="s">
        <v>90</v>
      </c>
      <c r="N2" s="16" t="s">
        <v>91</v>
      </c>
      <c r="O2" s="17" t="s">
        <v>92</v>
      </c>
      <c r="P2" s="18" t="s">
        <v>93</v>
      </c>
      <c r="Q2" s="18"/>
      <c r="R2" s="18"/>
    </row>
    <row r="3" customFormat="false" ht="22.35" hidden="false" customHeight="false" outlineLevel="0" collapsed="false">
      <c r="A3" s="16" t="s">
        <v>94</v>
      </c>
      <c r="B3" s="16" t="s">
        <v>39</v>
      </c>
      <c r="C3" s="16" t="s">
        <v>82</v>
      </c>
      <c r="D3" s="16" t="s">
        <v>95</v>
      </c>
      <c r="E3" s="16" t="s">
        <v>96</v>
      </c>
      <c r="F3" s="16" t="s">
        <v>85</v>
      </c>
      <c r="G3" s="16" t="s">
        <v>97</v>
      </c>
      <c r="H3" s="16" t="s">
        <v>54</v>
      </c>
      <c r="I3" s="16" t="s">
        <v>32</v>
      </c>
      <c r="J3" s="16" t="s">
        <v>87</v>
      </c>
      <c r="K3" s="16" t="s">
        <v>98</v>
      </c>
      <c r="L3" s="16" t="s">
        <v>99</v>
      </c>
      <c r="M3" s="16" t="s">
        <v>100</v>
      </c>
      <c r="N3" s="16" t="s">
        <v>101</v>
      </c>
      <c r="O3" s="17" t="s">
        <v>92</v>
      </c>
      <c r="P3" s="18" t="s">
        <v>93</v>
      </c>
      <c r="Q3" s="18"/>
      <c r="R3" s="18"/>
    </row>
    <row r="4" customFormat="false" ht="22.35" hidden="false" customHeight="false" outlineLevel="0" collapsed="false">
      <c r="A4" s="16" t="s">
        <v>102</v>
      </c>
      <c r="B4" s="16" t="s">
        <v>39</v>
      </c>
      <c r="C4" s="16" t="s">
        <v>103</v>
      </c>
      <c r="D4" s="16" t="s">
        <v>104</v>
      </c>
      <c r="E4" s="16" t="s">
        <v>105</v>
      </c>
      <c r="F4" s="16" t="s">
        <v>106</v>
      </c>
      <c r="G4" s="16" t="s">
        <v>107</v>
      </c>
      <c r="H4" s="16" t="s">
        <v>54</v>
      </c>
      <c r="I4" s="16" t="s">
        <v>32</v>
      </c>
      <c r="J4" s="16" t="s">
        <v>87</v>
      </c>
      <c r="K4" s="16" t="s">
        <v>108</v>
      </c>
      <c r="L4" s="16" t="s">
        <v>109</v>
      </c>
      <c r="M4" s="16" t="s">
        <v>100</v>
      </c>
      <c r="N4" s="16" t="s">
        <v>110</v>
      </c>
      <c r="O4" s="17" t="s">
        <v>92</v>
      </c>
      <c r="P4" s="18" t="s">
        <v>93</v>
      </c>
      <c r="Q4" s="18"/>
      <c r="R4" s="18"/>
    </row>
    <row r="5" customFormat="false" ht="32.8" hidden="false" customHeight="false" outlineLevel="0" collapsed="false">
      <c r="A5" s="16" t="s">
        <v>111</v>
      </c>
      <c r="B5" s="16" t="s">
        <v>39</v>
      </c>
      <c r="C5" s="16" t="s">
        <v>103</v>
      </c>
      <c r="D5" s="16" t="s">
        <v>104</v>
      </c>
      <c r="E5" s="16" t="s">
        <v>112</v>
      </c>
      <c r="F5" s="16" t="s">
        <v>106</v>
      </c>
      <c r="G5" s="16" t="s">
        <v>113</v>
      </c>
      <c r="H5" s="16" t="s">
        <v>54</v>
      </c>
      <c r="I5" s="16" t="s">
        <v>32</v>
      </c>
      <c r="J5" s="16" t="s">
        <v>87</v>
      </c>
      <c r="K5" s="16" t="s">
        <v>114</v>
      </c>
      <c r="L5" s="16" t="s">
        <v>115</v>
      </c>
      <c r="M5" s="16" t="s">
        <v>100</v>
      </c>
      <c r="N5" s="16" t="s">
        <v>116</v>
      </c>
      <c r="O5" s="17" t="s">
        <v>92</v>
      </c>
      <c r="P5" s="18" t="s">
        <v>93</v>
      </c>
      <c r="Q5" s="18"/>
      <c r="R5" s="18"/>
    </row>
    <row r="6" customFormat="false" ht="22.35" hidden="false" customHeight="false" outlineLevel="0" collapsed="false">
      <c r="A6" s="16" t="s">
        <v>117</v>
      </c>
      <c r="B6" s="16" t="s">
        <v>39</v>
      </c>
      <c r="C6" s="16" t="s">
        <v>103</v>
      </c>
      <c r="D6" s="16" t="s">
        <v>118</v>
      </c>
      <c r="E6" s="16" t="s">
        <v>119</v>
      </c>
      <c r="F6" s="16" t="s">
        <v>106</v>
      </c>
      <c r="G6" s="16" t="s">
        <v>120</v>
      </c>
      <c r="H6" s="16" t="s">
        <v>54</v>
      </c>
      <c r="I6" s="16" t="s">
        <v>32</v>
      </c>
      <c r="J6" s="16" t="s">
        <v>87</v>
      </c>
      <c r="K6" s="16" t="s">
        <v>121</v>
      </c>
      <c r="L6" s="16" t="s">
        <v>122</v>
      </c>
      <c r="M6" s="16" t="s">
        <v>100</v>
      </c>
      <c r="N6" s="16" t="s">
        <v>123</v>
      </c>
      <c r="O6" s="17" t="s">
        <v>92</v>
      </c>
      <c r="P6" s="18" t="s">
        <v>93</v>
      </c>
      <c r="Q6" s="18"/>
      <c r="R6" s="18"/>
    </row>
    <row r="7" customFormat="false" ht="22.35" hidden="false" customHeight="false" outlineLevel="0" collapsed="false">
      <c r="A7" s="16" t="s">
        <v>124</v>
      </c>
      <c r="B7" s="16" t="s">
        <v>39</v>
      </c>
      <c r="C7" s="16" t="s">
        <v>103</v>
      </c>
      <c r="D7" s="16" t="s">
        <v>118</v>
      </c>
      <c r="E7" s="16" t="s">
        <v>125</v>
      </c>
      <c r="F7" s="16" t="s">
        <v>106</v>
      </c>
      <c r="G7" s="16" t="s">
        <v>126</v>
      </c>
      <c r="H7" s="16" t="s">
        <v>54</v>
      </c>
      <c r="I7" s="16" t="s">
        <v>31</v>
      </c>
      <c r="J7" s="16" t="s">
        <v>87</v>
      </c>
      <c r="K7" s="16" t="s">
        <v>127</v>
      </c>
      <c r="L7" s="16" t="s">
        <v>128</v>
      </c>
      <c r="M7" s="16" t="s">
        <v>100</v>
      </c>
      <c r="N7" s="16" t="s">
        <v>129</v>
      </c>
      <c r="O7" s="17" t="s">
        <v>92</v>
      </c>
      <c r="P7" s="18" t="s">
        <v>93</v>
      </c>
      <c r="Q7" s="18"/>
      <c r="R7" s="18"/>
    </row>
    <row r="8" customFormat="false" ht="22.35" hidden="false" customHeight="false" outlineLevel="0" collapsed="false">
      <c r="A8" s="16" t="s">
        <v>130</v>
      </c>
      <c r="B8" s="16" t="s">
        <v>39</v>
      </c>
      <c r="C8" s="16" t="s">
        <v>103</v>
      </c>
      <c r="D8" s="16" t="s">
        <v>118</v>
      </c>
      <c r="E8" s="16" t="s">
        <v>131</v>
      </c>
      <c r="F8" s="16" t="s">
        <v>106</v>
      </c>
      <c r="G8" s="16" t="s">
        <v>132</v>
      </c>
      <c r="H8" s="16" t="s">
        <v>54</v>
      </c>
      <c r="I8" s="16" t="s">
        <v>32</v>
      </c>
      <c r="J8" s="16" t="s">
        <v>87</v>
      </c>
      <c r="K8" s="16" t="s">
        <v>133</v>
      </c>
      <c r="L8" s="16" t="s">
        <v>134</v>
      </c>
      <c r="M8" s="16" t="s">
        <v>100</v>
      </c>
      <c r="N8" s="16" t="s">
        <v>135</v>
      </c>
      <c r="O8" s="17" t="s">
        <v>92</v>
      </c>
      <c r="P8" s="18" t="s">
        <v>93</v>
      </c>
      <c r="Q8" s="18"/>
      <c r="R8" s="18"/>
    </row>
    <row r="9" customFormat="false" ht="22.35" hidden="false" customHeight="false" outlineLevel="0" collapsed="false">
      <c r="A9" s="16" t="s">
        <v>136</v>
      </c>
      <c r="B9" s="16" t="s">
        <v>39</v>
      </c>
      <c r="C9" s="16" t="s">
        <v>103</v>
      </c>
      <c r="D9" s="16" t="s">
        <v>137</v>
      </c>
      <c r="E9" s="16" t="s">
        <v>138</v>
      </c>
      <c r="F9" s="16" t="s">
        <v>106</v>
      </c>
      <c r="G9" s="16" t="s">
        <v>139</v>
      </c>
      <c r="H9" s="16" t="s">
        <v>54</v>
      </c>
      <c r="I9" s="16" t="s">
        <v>33</v>
      </c>
      <c r="J9" s="16" t="s">
        <v>87</v>
      </c>
      <c r="K9" s="16" t="s">
        <v>140</v>
      </c>
      <c r="L9" s="16" t="s">
        <v>141</v>
      </c>
      <c r="M9" s="16" t="s">
        <v>100</v>
      </c>
      <c r="N9" s="16" t="s">
        <v>142</v>
      </c>
      <c r="O9" s="17" t="s">
        <v>92</v>
      </c>
      <c r="P9" s="18" t="s">
        <v>93</v>
      </c>
      <c r="Q9" s="18"/>
      <c r="R9" s="18"/>
    </row>
    <row r="10" customFormat="false" ht="22.35" hidden="false" customHeight="false" outlineLevel="0" collapsed="false">
      <c r="A10" s="16" t="s">
        <v>143</v>
      </c>
      <c r="B10" s="16" t="s">
        <v>39</v>
      </c>
      <c r="C10" s="16" t="s">
        <v>103</v>
      </c>
      <c r="D10" s="16" t="s">
        <v>137</v>
      </c>
      <c r="E10" s="16" t="s">
        <v>144</v>
      </c>
      <c r="F10" s="16" t="s">
        <v>106</v>
      </c>
      <c r="G10" s="16" t="s">
        <v>145</v>
      </c>
      <c r="H10" s="16" t="s">
        <v>54</v>
      </c>
      <c r="I10" s="16" t="s">
        <v>32</v>
      </c>
      <c r="J10" s="16" t="s">
        <v>87</v>
      </c>
      <c r="K10" s="16" t="s">
        <v>146</v>
      </c>
      <c r="L10" s="16" t="s">
        <v>147</v>
      </c>
      <c r="M10" s="16" t="s">
        <v>100</v>
      </c>
      <c r="N10" s="16" t="s">
        <v>148</v>
      </c>
      <c r="O10" s="17" t="s">
        <v>92</v>
      </c>
      <c r="P10" s="18" t="s">
        <v>93</v>
      </c>
      <c r="Q10" s="18"/>
      <c r="R10" s="18"/>
    </row>
    <row r="11" customFormat="false" ht="22.35" hidden="false" customHeight="false" outlineLevel="0" collapsed="false">
      <c r="A11" s="16" t="s">
        <v>149</v>
      </c>
      <c r="B11" s="16" t="s">
        <v>39</v>
      </c>
      <c r="C11" s="16" t="s">
        <v>103</v>
      </c>
      <c r="D11" s="16" t="s">
        <v>137</v>
      </c>
      <c r="E11" s="16" t="s">
        <v>150</v>
      </c>
      <c r="F11" s="16" t="s">
        <v>106</v>
      </c>
      <c r="G11" s="16" t="s">
        <v>151</v>
      </c>
      <c r="H11" s="16" t="s">
        <v>54</v>
      </c>
      <c r="I11" s="16" t="s">
        <v>32</v>
      </c>
      <c r="J11" s="16" t="s">
        <v>87</v>
      </c>
      <c r="K11" s="16" t="s">
        <v>152</v>
      </c>
      <c r="L11" s="16" t="s">
        <v>153</v>
      </c>
      <c r="M11" s="16" t="s">
        <v>100</v>
      </c>
      <c r="N11" s="16" t="s">
        <v>154</v>
      </c>
      <c r="O11" s="17" t="s">
        <v>92</v>
      </c>
      <c r="P11" s="18" t="s">
        <v>93</v>
      </c>
      <c r="Q11" s="18"/>
      <c r="R11" s="18"/>
    </row>
    <row r="12" customFormat="false" ht="22.35" hidden="false" customHeight="false" outlineLevel="0" collapsed="false">
      <c r="A12" s="16" t="s">
        <v>155</v>
      </c>
      <c r="B12" s="16" t="s">
        <v>39</v>
      </c>
      <c r="C12" s="16" t="s">
        <v>103</v>
      </c>
      <c r="D12" s="16" t="s">
        <v>156</v>
      </c>
      <c r="E12" s="16" t="s">
        <v>157</v>
      </c>
      <c r="F12" s="16" t="s">
        <v>106</v>
      </c>
      <c r="G12" s="16" t="s">
        <v>158</v>
      </c>
      <c r="H12" s="16" t="s">
        <v>54</v>
      </c>
      <c r="I12" s="16" t="s">
        <v>31</v>
      </c>
      <c r="J12" s="16" t="s">
        <v>87</v>
      </c>
      <c r="K12" s="16" t="s">
        <v>159</v>
      </c>
      <c r="L12" s="16" t="s">
        <v>160</v>
      </c>
      <c r="M12" s="16" t="s">
        <v>100</v>
      </c>
      <c r="N12" s="16" t="s">
        <v>161</v>
      </c>
      <c r="O12" s="17" t="s">
        <v>92</v>
      </c>
      <c r="P12" s="18" t="s">
        <v>93</v>
      </c>
      <c r="Q12" s="18"/>
      <c r="R12" s="18"/>
    </row>
    <row r="13" customFormat="false" ht="22.35" hidden="false" customHeight="false" outlineLevel="0" collapsed="false">
      <c r="A13" s="16" t="s">
        <v>162</v>
      </c>
      <c r="B13" s="16" t="s">
        <v>39</v>
      </c>
      <c r="C13" s="16" t="s">
        <v>103</v>
      </c>
      <c r="D13" s="16" t="s">
        <v>163</v>
      </c>
      <c r="E13" s="16" t="s">
        <v>164</v>
      </c>
      <c r="F13" s="16" t="s">
        <v>106</v>
      </c>
      <c r="G13" s="16" t="s">
        <v>165</v>
      </c>
      <c r="H13" s="16" t="s">
        <v>54</v>
      </c>
      <c r="I13" s="16" t="s">
        <v>33</v>
      </c>
      <c r="J13" s="16" t="s">
        <v>87</v>
      </c>
      <c r="K13" s="16" t="s">
        <v>166</v>
      </c>
      <c r="L13" s="16" t="s">
        <v>89</v>
      </c>
      <c r="M13" s="16" t="s">
        <v>100</v>
      </c>
      <c r="N13" s="16" t="s">
        <v>167</v>
      </c>
      <c r="O13" s="17" t="s">
        <v>92</v>
      </c>
      <c r="P13" s="18" t="s">
        <v>93</v>
      </c>
      <c r="Q13" s="18"/>
      <c r="R13" s="18"/>
    </row>
    <row r="14" customFormat="false" ht="22.35" hidden="false" customHeight="false" outlineLevel="0" collapsed="false">
      <c r="A14" s="16" t="s">
        <v>168</v>
      </c>
      <c r="B14" s="16" t="s">
        <v>39</v>
      </c>
      <c r="C14" s="16" t="s">
        <v>103</v>
      </c>
      <c r="D14" s="16" t="s">
        <v>163</v>
      </c>
      <c r="E14" s="16" t="s">
        <v>169</v>
      </c>
      <c r="F14" s="16" t="s">
        <v>106</v>
      </c>
      <c r="G14" s="16" t="s">
        <v>170</v>
      </c>
      <c r="H14" s="16" t="s">
        <v>56</v>
      </c>
      <c r="I14" s="16" t="s">
        <v>33</v>
      </c>
      <c r="J14" s="16" t="s">
        <v>87</v>
      </c>
      <c r="K14" s="16" t="s">
        <v>171</v>
      </c>
      <c r="L14" s="16" t="s">
        <v>89</v>
      </c>
      <c r="M14" s="16" t="s">
        <v>100</v>
      </c>
      <c r="N14" s="16" t="s">
        <v>172</v>
      </c>
      <c r="O14" s="17" t="s">
        <v>92</v>
      </c>
      <c r="P14" s="18" t="s">
        <v>93</v>
      </c>
      <c r="Q14" s="18"/>
      <c r="R14" s="18"/>
    </row>
    <row r="15" customFormat="false" ht="22.35" hidden="false" customHeight="false" outlineLevel="0" collapsed="false">
      <c r="A15" s="16" t="s">
        <v>173</v>
      </c>
      <c r="B15" s="16" t="s">
        <v>39</v>
      </c>
      <c r="C15" s="16" t="s">
        <v>174</v>
      </c>
      <c r="D15" s="16" t="s">
        <v>175</v>
      </c>
      <c r="E15" s="16" t="s">
        <v>176</v>
      </c>
      <c r="F15" s="16" t="s">
        <v>177</v>
      </c>
      <c r="G15" s="16" t="s">
        <v>178</v>
      </c>
      <c r="H15" s="16" t="s">
        <v>54</v>
      </c>
      <c r="I15" s="16" t="s">
        <v>32</v>
      </c>
      <c r="J15" s="16" t="s">
        <v>87</v>
      </c>
      <c r="K15" s="16" t="s">
        <v>179</v>
      </c>
      <c r="L15" s="16" t="s">
        <v>180</v>
      </c>
      <c r="M15" s="16" t="s">
        <v>100</v>
      </c>
      <c r="N15" s="16" t="s">
        <v>181</v>
      </c>
      <c r="O15" s="17" t="s">
        <v>92</v>
      </c>
      <c r="P15" s="18" t="s">
        <v>93</v>
      </c>
      <c r="Q15" s="18"/>
      <c r="R15" s="18"/>
    </row>
    <row r="16" customFormat="false" ht="22.35" hidden="false" customHeight="false" outlineLevel="0" collapsed="false">
      <c r="A16" s="16" t="s">
        <v>182</v>
      </c>
      <c r="B16" s="16" t="s">
        <v>39</v>
      </c>
      <c r="C16" s="16" t="s">
        <v>174</v>
      </c>
      <c r="D16" s="16" t="s">
        <v>175</v>
      </c>
      <c r="E16" s="16" t="s">
        <v>183</v>
      </c>
      <c r="F16" s="16" t="s">
        <v>177</v>
      </c>
      <c r="G16" s="16" t="s">
        <v>184</v>
      </c>
      <c r="H16" s="16" t="s">
        <v>54</v>
      </c>
      <c r="I16" s="16" t="s">
        <v>32</v>
      </c>
      <c r="J16" s="16" t="s">
        <v>87</v>
      </c>
      <c r="K16" s="16" t="s">
        <v>185</v>
      </c>
      <c r="L16" s="16" t="s">
        <v>186</v>
      </c>
      <c r="M16" s="16" t="s">
        <v>100</v>
      </c>
      <c r="N16" s="16" t="s">
        <v>187</v>
      </c>
      <c r="O16" s="17" t="s">
        <v>92</v>
      </c>
      <c r="P16" s="18" t="s">
        <v>93</v>
      </c>
      <c r="Q16" s="18"/>
      <c r="R16" s="18"/>
    </row>
    <row r="17" customFormat="false" ht="22.35" hidden="false" customHeight="false" outlineLevel="0" collapsed="false">
      <c r="A17" s="16" t="s">
        <v>188</v>
      </c>
      <c r="B17" s="16" t="s">
        <v>39</v>
      </c>
      <c r="C17" s="16" t="s">
        <v>174</v>
      </c>
      <c r="D17" s="16" t="s">
        <v>175</v>
      </c>
      <c r="E17" s="16" t="s">
        <v>189</v>
      </c>
      <c r="F17" s="16" t="s">
        <v>177</v>
      </c>
      <c r="G17" s="16" t="s">
        <v>190</v>
      </c>
      <c r="H17" s="16" t="s">
        <v>56</v>
      </c>
      <c r="I17" s="16" t="s">
        <v>33</v>
      </c>
      <c r="J17" s="16" t="s">
        <v>87</v>
      </c>
      <c r="K17" s="16" t="s">
        <v>185</v>
      </c>
      <c r="L17" s="16" t="s">
        <v>191</v>
      </c>
      <c r="M17" s="16" t="s">
        <v>100</v>
      </c>
      <c r="N17" s="16" t="s">
        <v>192</v>
      </c>
      <c r="O17" s="17" t="s">
        <v>92</v>
      </c>
      <c r="P17" s="18" t="s">
        <v>93</v>
      </c>
      <c r="Q17" s="18"/>
      <c r="R17" s="18"/>
    </row>
    <row r="18" customFormat="false" ht="22.35" hidden="false" customHeight="false" outlineLevel="0" collapsed="false">
      <c r="A18" s="16" t="s">
        <v>193</v>
      </c>
      <c r="B18" s="16" t="s">
        <v>39</v>
      </c>
      <c r="C18" s="16" t="s">
        <v>174</v>
      </c>
      <c r="D18" s="16" t="s">
        <v>194</v>
      </c>
      <c r="E18" s="16" t="s">
        <v>195</v>
      </c>
      <c r="F18" s="16" t="s">
        <v>177</v>
      </c>
      <c r="G18" s="16" t="s">
        <v>196</v>
      </c>
      <c r="H18" s="16" t="s">
        <v>54</v>
      </c>
      <c r="I18" s="16" t="s">
        <v>32</v>
      </c>
      <c r="J18" s="16" t="s">
        <v>87</v>
      </c>
      <c r="K18" s="16" t="s">
        <v>179</v>
      </c>
      <c r="L18" s="16" t="s">
        <v>180</v>
      </c>
      <c r="M18" s="16" t="s">
        <v>100</v>
      </c>
      <c r="N18" s="16" t="s">
        <v>197</v>
      </c>
      <c r="O18" s="17" t="s">
        <v>92</v>
      </c>
      <c r="P18" s="18" t="s">
        <v>93</v>
      </c>
      <c r="Q18" s="18"/>
      <c r="R18" s="18"/>
    </row>
    <row r="19" customFormat="false" ht="22.35" hidden="false" customHeight="false" outlineLevel="0" collapsed="false">
      <c r="A19" s="16" t="s">
        <v>198</v>
      </c>
      <c r="B19" s="16" t="s">
        <v>39</v>
      </c>
      <c r="C19" s="16" t="s">
        <v>174</v>
      </c>
      <c r="D19" s="16" t="s">
        <v>194</v>
      </c>
      <c r="E19" s="16" t="s">
        <v>199</v>
      </c>
      <c r="F19" s="16" t="s">
        <v>177</v>
      </c>
      <c r="G19" s="16" t="s">
        <v>200</v>
      </c>
      <c r="H19" s="16" t="s">
        <v>54</v>
      </c>
      <c r="I19" s="16" t="s">
        <v>32</v>
      </c>
      <c r="J19" s="16" t="s">
        <v>87</v>
      </c>
      <c r="K19" s="16" t="s">
        <v>201</v>
      </c>
      <c r="L19" s="16" t="s">
        <v>191</v>
      </c>
      <c r="M19" s="16" t="s">
        <v>202</v>
      </c>
      <c r="N19" s="16" t="s">
        <v>203</v>
      </c>
      <c r="O19" s="17" t="s">
        <v>92</v>
      </c>
      <c r="P19" s="18" t="s">
        <v>93</v>
      </c>
      <c r="Q19" s="18"/>
      <c r="R19" s="18"/>
    </row>
    <row r="20" customFormat="false" ht="22.35" hidden="false" customHeight="false" outlineLevel="0" collapsed="false">
      <c r="A20" s="16" t="s">
        <v>204</v>
      </c>
      <c r="B20" s="16" t="s">
        <v>39</v>
      </c>
      <c r="C20" s="16" t="s">
        <v>174</v>
      </c>
      <c r="D20" s="16" t="s">
        <v>194</v>
      </c>
      <c r="E20" s="16" t="s">
        <v>205</v>
      </c>
      <c r="F20" s="16" t="s">
        <v>177</v>
      </c>
      <c r="G20" s="16" t="s">
        <v>206</v>
      </c>
      <c r="H20" s="16" t="s">
        <v>54</v>
      </c>
      <c r="I20" s="16" t="s">
        <v>31</v>
      </c>
      <c r="J20" s="16" t="s">
        <v>87</v>
      </c>
      <c r="K20" s="16" t="s">
        <v>207</v>
      </c>
      <c r="L20" s="16" t="s">
        <v>208</v>
      </c>
      <c r="M20" s="16" t="s">
        <v>100</v>
      </c>
      <c r="N20" s="16" t="s">
        <v>209</v>
      </c>
      <c r="O20" s="17" t="s">
        <v>92</v>
      </c>
      <c r="P20" s="18" t="s">
        <v>93</v>
      </c>
      <c r="Q20" s="18"/>
      <c r="R20" s="18"/>
    </row>
    <row r="21" customFormat="false" ht="22.35" hidden="false" customHeight="false" outlineLevel="0" collapsed="false">
      <c r="A21" s="16" t="s">
        <v>210</v>
      </c>
      <c r="B21" s="16" t="s">
        <v>39</v>
      </c>
      <c r="C21" s="16" t="s">
        <v>174</v>
      </c>
      <c r="D21" s="16" t="s">
        <v>194</v>
      </c>
      <c r="E21" s="16" t="s">
        <v>211</v>
      </c>
      <c r="F21" s="16" t="s">
        <v>177</v>
      </c>
      <c r="G21" s="16" t="s">
        <v>212</v>
      </c>
      <c r="H21" s="16" t="s">
        <v>54</v>
      </c>
      <c r="I21" s="16" t="s">
        <v>32</v>
      </c>
      <c r="J21" s="16" t="s">
        <v>87</v>
      </c>
      <c r="K21" s="16" t="s">
        <v>213</v>
      </c>
      <c r="L21" s="16" t="s">
        <v>208</v>
      </c>
      <c r="M21" s="16" t="s">
        <v>100</v>
      </c>
      <c r="N21" s="16" t="s">
        <v>214</v>
      </c>
      <c r="O21" s="17" t="s">
        <v>92</v>
      </c>
      <c r="P21" s="18" t="s">
        <v>93</v>
      </c>
      <c r="Q21" s="18"/>
      <c r="R21" s="18"/>
    </row>
    <row r="22" customFormat="false" ht="22.35" hidden="false" customHeight="false" outlineLevel="0" collapsed="false">
      <c r="A22" s="16" t="s">
        <v>215</v>
      </c>
      <c r="B22" s="16" t="s">
        <v>39</v>
      </c>
      <c r="C22" s="16" t="s">
        <v>174</v>
      </c>
      <c r="D22" s="16" t="s">
        <v>216</v>
      </c>
      <c r="E22" s="16" t="s">
        <v>217</v>
      </c>
      <c r="F22" s="16" t="s">
        <v>177</v>
      </c>
      <c r="G22" s="16" t="s">
        <v>218</v>
      </c>
      <c r="H22" s="16" t="s">
        <v>54</v>
      </c>
      <c r="I22" s="16" t="s">
        <v>33</v>
      </c>
      <c r="J22" s="16" t="s">
        <v>87</v>
      </c>
      <c r="K22" s="16" t="s">
        <v>219</v>
      </c>
      <c r="L22" s="16" t="s">
        <v>220</v>
      </c>
      <c r="M22" s="16" t="s">
        <v>100</v>
      </c>
      <c r="N22" s="16" t="s">
        <v>221</v>
      </c>
      <c r="O22" s="17" t="s">
        <v>92</v>
      </c>
      <c r="P22" s="18" t="s">
        <v>93</v>
      </c>
      <c r="Q22" s="18"/>
      <c r="R22" s="18"/>
    </row>
    <row r="23" customFormat="false" ht="22.35" hidden="false" customHeight="false" outlineLevel="0" collapsed="false">
      <c r="A23" s="16" t="s">
        <v>222</v>
      </c>
      <c r="B23" s="16" t="s">
        <v>39</v>
      </c>
      <c r="C23" s="16" t="s">
        <v>174</v>
      </c>
      <c r="D23" s="16" t="s">
        <v>216</v>
      </c>
      <c r="E23" s="16" t="s">
        <v>223</v>
      </c>
      <c r="F23" s="16" t="s">
        <v>177</v>
      </c>
      <c r="G23" s="16" t="s">
        <v>224</v>
      </c>
      <c r="H23" s="16" t="s">
        <v>56</v>
      </c>
      <c r="I23" s="16" t="s">
        <v>33</v>
      </c>
      <c r="J23" s="16" t="s">
        <v>87</v>
      </c>
      <c r="K23" s="16" t="s">
        <v>179</v>
      </c>
      <c r="L23" s="16" t="s">
        <v>220</v>
      </c>
      <c r="M23" s="16" t="s">
        <v>100</v>
      </c>
      <c r="N23" s="16" t="s">
        <v>225</v>
      </c>
      <c r="O23" s="17" t="s">
        <v>92</v>
      </c>
      <c r="P23" s="18" t="s">
        <v>93</v>
      </c>
      <c r="Q23" s="18"/>
      <c r="R23" s="18"/>
    </row>
    <row r="24" customFormat="false" ht="22.35" hidden="false" customHeight="false" outlineLevel="0" collapsed="false">
      <c r="A24" s="16" t="s">
        <v>226</v>
      </c>
      <c r="B24" s="16" t="s">
        <v>39</v>
      </c>
      <c r="C24" s="16" t="s">
        <v>174</v>
      </c>
      <c r="D24" s="16" t="s">
        <v>216</v>
      </c>
      <c r="E24" s="16" t="s">
        <v>227</v>
      </c>
      <c r="F24" s="16" t="s">
        <v>177</v>
      </c>
      <c r="G24" s="16" t="s">
        <v>228</v>
      </c>
      <c r="H24" s="16" t="s">
        <v>56</v>
      </c>
      <c r="I24" s="16" t="s">
        <v>34</v>
      </c>
      <c r="J24" s="16" t="s">
        <v>87</v>
      </c>
      <c r="K24" s="16" t="s">
        <v>229</v>
      </c>
      <c r="L24" s="16" t="s">
        <v>220</v>
      </c>
      <c r="M24" s="16" t="s">
        <v>100</v>
      </c>
      <c r="N24" s="16" t="s">
        <v>230</v>
      </c>
      <c r="O24" s="17" t="s">
        <v>92</v>
      </c>
      <c r="P24" s="18" t="s">
        <v>93</v>
      </c>
      <c r="Q24" s="18"/>
      <c r="R24" s="18"/>
    </row>
    <row r="25" customFormat="false" ht="32.8" hidden="false" customHeight="false" outlineLevel="0" collapsed="false">
      <c r="A25" s="16" t="s">
        <v>231</v>
      </c>
      <c r="B25" s="16" t="s">
        <v>39</v>
      </c>
      <c r="C25" s="16" t="s">
        <v>174</v>
      </c>
      <c r="D25" s="16" t="s">
        <v>232</v>
      </c>
      <c r="E25" s="16" t="s">
        <v>233</v>
      </c>
      <c r="F25" s="16" t="s">
        <v>177</v>
      </c>
      <c r="G25" s="16" t="s">
        <v>234</v>
      </c>
      <c r="H25" s="16" t="s">
        <v>62</v>
      </c>
      <c r="I25" s="16" t="s">
        <v>31</v>
      </c>
      <c r="J25" s="16" t="s">
        <v>87</v>
      </c>
      <c r="K25" s="16" t="s">
        <v>235</v>
      </c>
      <c r="L25" s="16" t="s">
        <v>99</v>
      </c>
      <c r="M25" s="16" t="s">
        <v>100</v>
      </c>
      <c r="N25" s="16" t="s">
        <v>236</v>
      </c>
      <c r="O25" s="17" t="s">
        <v>92</v>
      </c>
      <c r="P25" s="18" t="s">
        <v>93</v>
      </c>
      <c r="Q25" s="18"/>
      <c r="R25" s="18"/>
    </row>
    <row r="26" customFormat="false" ht="22.35" hidden="false" customHeight="false" outlineLevel="0" collapsed="false">
      <c r="A26" s="16" t="s">
        <v>237</v>
      </c>
      <c r="B26" s="16" t="s">
        <v>39</v>
      </c>
      <c r="C26" s="16" t="s">
        <v>238</v>
      </c>
      <c r="D26" s="16" t="s">
        <v>239</v>
      </c>
      <c r="E26" s="16" t="s">
        <v>240</v>
      </c>
      <c r="F26" s="16" t="s">
        <v>241</v>
      </c>
      <c r="G26" s="16" t="s">
        <v>242</v>
      </c>
      <c r="H26" s="16" t="s">
        <v>56</v>
      </c>
      <c r="I26" s="16" t="s">
        <v>33</v>
      </c>
      <c r="J26" s="16" t="s">
        <v>87</v>
      </c>
      <c r="K26" s="16" t="s">
        <v>207</v>
      </c>
      <c r="L26" s="16" t="s">
        <v>208</v>
      </c>
      <c r="M26" s="16" t="s">
        <v>100</v>
      </c>
      <c r="N26" s="16" t="s">
        <v>243</v>
      </c>
      <c r="O26" s="17" t="s">
        <v>92</v>
      </c>
      <c r="P26" s="18" t="s">
        <v>93</v>
      </c>
      <c r="Q26" s="18"/>
      <c r="R26" s="18"/>
    </row>
    <row r="27" customFormat="false" ht="22.35" hidden="false" customHeight="false" outlineLevel="0" collapsed="false">
      <c r="A27" s="16" t="s">
        <v>244</v>
      </c>
      <c r="B27" s="16" t="s">
        <v>39</v>
      </c>
      <c r="C27" s="16" t="s">
        <v>238</v>
      </c>
      <c r="D27" s="16" t="s">
        <v>239</v>
      </c>
      <c r="E27" s="16" t="s">
        <v>245</v>
      </c>
      <c r="F27" s="16" t="s">
        <v>241</v>
      </c>
      <c r="G27" s="16" t="s">
        <v>246</v>
      </c>
      <c r="H27" s="16" t="s">
        <v>57</v>
      </c>
      <c r="I27" s="16" t="s">
        <v>32</v>
      </c>
      <c r="J27" s="16" t="s">
        <v>87</v>
      </c>
      <c r="K27" s="16" t="s">
        <v>207</v>
      </c>
      <c r="L27" s="16" t="s">
        <v>208</v>
      </c>
      <c r="M27" s="16" t="s">
        <v>100</v>
      </c>
      <c r="N27" s="16" t="s">
        <v>247</v>
      </c>
      <c r="O27" s="17" t="s">
        <v>92</v>
      </c>
      <c r="P27" s="18" t="s">
        <v>93</v>
      </c>
      <c r="Q27" s="18"/>
      <c r="R27" s="18"/>
    </row>
    <row r="28" customFormat="false" ht="22.35" hidden="false" customHeight="false" outlineLevel="0" collapsed="false">
      <c r="A28" s="16" t="s">
        <v>248</v>
      </c>
      <c r="B28" s="16" t="s">
        <v>39</v>
      </c>
      <c r="C28" s="16" t="s">
        <v>238</v>
      </c>
      <c r="D28" s="16" t="s">
        <v>249</v>
      </c>
      <c r="E28" s="16" t="s">
        <v>250</v>
      </c>
      <c r="F28" s="16" t="s">
        <v>241</v>
      </c>
      <c r="G28" s="16" t="s">
        <v>251</v>
      </c>
      <c r="H28" s="16" t="s">
        <v>54</v>
      </c>
      <c r="I28" s="16" t="s">
        <v>32</v>
      </c>
      <c r="J28" s="16" t="s">
        <v>87</v>
      </c>
      <c r="K28" s="16" t="s">
        <v>252</v>
      </c>
      <c r="L28" s="16" t="s">
        <v>253</v>
      </c>
      <c r="M28" s="16" t="s">
        <v>100</v>
      </c>
      <c r="N28" s="16" t="s">
        <v>254</v>
      </c>
      <c r="O28" s="17" t="s">
        <v>92</v>
      </c>
      <c r="P28" s="18" t="s">
        <v>93</v>
      </c>
      <c r="Q28" s="18"/>
      <c r="R28" s="18"/>
    </row>
    <row r="29" customFormat="false" ht="22.35" hidden="false" customHeight="false" outlineLevel="0" collapsed="false">
      <c r="A29" s="16" t="s">
        <v>255</v>
      </c>
      <c r="B29" s="16" t="s">
        <v>39</v>
      </c>
      <c r="C29" s="16" t="s">
        <v>238</v>
      </c>
      <c r="D29" s="16" t="s">
        <v>249</v>
      </c>
      <c r="E29" s="16" t="s">
        <v>256</v>
      </c>
      <c r="F29" s="16" t="s">
        <v>241</v>
      </c>
      <c r="G29" s="16" t="s">
        <v>257</v>
      </c>
      <c r="H29" s="16" t="s">
        <v>54</v>
      </c>
      <c r="I29" s="16" t="s">
        <v>32</v>
      </c>
      <c r="J29" s="16" t="s">
        <v>87</v>
      </c>
      <c r="K29" s="16" t="s">
        <v>229</v>
      </c>
      <c r="L29" s="16" t="s">
        <v>186</v>
      </c>
      <c r="M29" s="16" t="s">
        <v>100</v>
      </c>
      <c r="N29" s="16" t="s">
        <v>258</v>
      </c>
      <c r="O29" s="17" t="s">
        <v>92</v>
      </c>
      <c r="P29" s="18" t="s">
        <v>93</v>
      </c>
      <c r="Q29" s="18"/>
      <c r="R29" s="18"/>
    </row>
    <row r="30" customFormat="false" ht="22.35" hidden="false" customHeight="false" outlineLevel="0" collapsed="false">
      <c r="A30" s="16" t="s">
        <v>259</v>
      </c>
      <c r="B30" s="16" t="s">
        <v>39</v>
      </c>
      <c r="C30" s="16" t="s">
        <v>238</v>
      </c>
      <c r="D30" s="16" t="s">
        <v>249</v>
      </c>
      <c r="E30" s="16" t="s">
        <v>260</v>
      </c>
      <c r="F30" s="16" t="s">
        <v>241</v>
      </c>
      <c r="G30" s="16" t="s">
        <v>261</v>
      </c>
      <c r="H30" s="16" t="s">
        <v>54</v>
      </c>
      <c r="I30" s="16" t="s">
        <v>33</v>
      </c>
      <c r="J30" s="16" t="s">
        <v>87</v>
      </c>
      <c r="K30" s="16" t="s">
        <v>207</v>
      </c>
      <c r="L30" s="16" t="s">
        <v>208</v>
      </c>
      <c r="M30" s="16" t="s">
        <v>100</v>
      </c>
      <c r="N30" s="16" t="s">
        <v>262</v>
      </c>
      <c r="O30" s="17" t="s">
        <v>92</v>
      </c>
      <c r="P30" s="18" t="s">
        <v>93</v>
      </c>
      <c r="Q30" s="18"/>
      <c r="R30" s="18"/>
    </row>
    <row r="31" customFormat="false" ht="22.35" hidden="false" customHeight="false" outlineLevel="0" collapsed="false">
      <c r="A31" s="16" t="s">
        <v>263</v>
      </c>
      <c r="B31" s="16" t="s">
        <v>39</v>
      </c>
      <c r="C31" s="16" t="s">
        <v>238</v>
      </c>
      <c r="D31" s="16" t="s">
        <v>249</v>
      </c>
      <c r="E31" s="16" t="s">
        <v>264</v>
      </c>
      <c r="F31" s="16" t="s">
        <v>241</v>
      </c>
      <c r="G31" s="16" t="s">
        <v>265</v>
      </c>
      <c r="H31" s="16" t="s">
        <v>56</v>
      </c>
      <c r="I31" s="16" t="s">
        <v>33</v>
      </c>
      <c r="J31" s="16" t="s">
        <v>87</v>
      </c>
      <c r="K31" s="16" t="s">
        <v>207</v>
      </c>
      <c r="L31" s="16" t="s">
        <v>208</v>
      </c>
      <c r="M31" s="16" t="s">
        <v>100</v>
      </c>
      <c r="N31" s="16" t="s">
        <v>266</v>
      </c>
      <c r="O31" s="17" t="s">
        <v>92</v>
      </c>
      <c r="P31" s="18" t="s">
        <v>93</v>
      </c>
      <c r="Q31" s="18"/>
      <c r="R31" s="18"/>
    </row>
    <row r="32" customFormat="false" ht="22.35" hidden="false" customHeight="false" outlineLevel="0" collapsed="false">
      <c r="A32" s="16" t="s">
        <v>267</v>
      </c>
      <c r="B32" s="16" t="s">
        <v>39</v>
      </c>
      <c r="C32" s="16" t="s">
        <v>238</v>
      </c>
      <c r="D32" s="16" t="s">
        <v>268</v>
      </c>
      <c r="E32" s="16" t="s">
        <v>269</v>
      </c>
      <c r="F32" s="16" t="s">
        <v>241</v>
      </c>
      <c r="G32" s="16" t="s">
        <v>270</v>
      </c>
      <c r="H32" s="16" t="s">
        <v>54</v>
      </c>
      <c r="I32" s="16" t="s">
        <v>32</v>
      </c>
      <c r="J32" s="16" t="s">
        <v>87</v>
      </c>
      <c r="K32" s="16" t="s">
        <v>271</v>
      </c>
      <c r="L32" s="16" t="s">
        <v>272</v>
      </c>
      <c r="M32" s="16" t="s">
        <v>100</v>
      </c>
      <c r="N32" s="16" t="s">
        <v>273</v>
      </c>
      <c r="O32" s="17" t="s">
        <v>92</v>
      </c>
      <c r="P32" s="18" t="s">
        <v>93</v>
      </c>
      <c r="Q32" s="18"/>
      <c r="R32" s="18"/>
    </row>
    <row r="33" customFormat="false" ht="22.35" hidden="false" customHeight="false" outlineLevel="0" collapsed="false">
      <c r="A33" s="16" t="s">
        <v>274</v>
      </c>
      <c r="B33" s="16" t="s">
        <v>39</v>
      </c>
      <c r="C33" s="16" t="s">
        <v>238</v>
      </c>
      <c r="D33" s="16" t="s">
        <v>268</v>
      </c>
      <c r="E33" s="16" t="s">
        <v>275</v>
      </c>
      <c r="F33" s="16" t="s">
        <v>241</v>
      </c>
      <c r="G33" s="16" t="s">
        <v>276</v>
      </c>
      <c r="H33" s="16" t="s">
        <v>54</v>
      </c>
      <c r="I33" s="16" t="s">
        <v>33</v>
      </c>
      <c r="J33" s="16" t="s">
        <v>87</v>
      </c>
      <c r="K33" s="16" t="s">
        <v>277</v>
      </c>
      <c r="L33" s="16" t="s">
        <v>272</v>
      </c>
      <c r="M33" s="16" t="s">
        <v>100</v>
      </c>
      <c r="N33" s="16" t="s">
        <v>278</v>
      </c>
      <c r="O33" s="17" t="s">
        <v>92</v>
      </c>
      <c r="P33" s="18" t="s">
        <v>93</v>
      </c>
      <c r="Q33" s="18"/>
      <c r="R33" s="18"/>
    </row>
    <row r="34" customFormat="false" ht="22.35" hidden="false" customHeight="false" outlineLevel="0" collapsed="false">
      <c r="A34" s="16" t="s">
        <v>279</v>
      </c>
      <c r="B34" s="16" t="s">
        <v>39</v>
      </c>
      <c r="C34" s="16" t="s">
        <v>238</v>
      </c>
      <c r="D34" s="16" t="s">
        <v>268</v>
      </c>
      <c r="E34" s="16" t="s">
        <v>280</v>
      </c>
      <c r="F34" s="16" t="s">
        <v>241</v>
      </c>
      <c r="G34" s="16" t="s">
        <v>281</v>
      </c>
      <c r="H34" s="16" t="s">
        <v>56</v>
      </c>
      <c r="I34" s="16" t="s">
        <v>33</v>
      </c>
      <c r="J34" s="16" t="s">
        <v>87</v>
      </c>
      <c r="K34" s="16" t="s">
        <v>282</v>
      </c>
      <c r="L34" s="16" t="s">
        <v>89</v>
      </c>
      <c r="M34" s="16" t="s">
        <v>100</v>
      </c>
      <c r="N34" s="16" t="s">
        <v>283</v>
      </c>
      <c r="O34" s="17" t="s">
        <v>92</v>
      </c>
      <c r="P34" s="18" t="s">
        <v>93</v>
      </c>
      <c r="Q34" s="18"/>
      <c r="R34" s="18"/>
    </row>
    <row r="35" customFormat="false" ht="22.35" hidden="false" customHeight="false" outlineLevel="0" collapsed="false">
      <c r="A35" s="16" t="s">
        <v>284</v>
      </c>
      <c r="B35" s="16" t="s">
        <v>39</v>
      </c>
      <c r="C35" s="16" t="s">
        <v>238</v>
      </c>
      <c r="D35" s="16" t="s">
        <v>268</v>
      </c>
      <c r="E35" s="16" t="s">
        <v>285</v>
      </c>
      <c r="F35" s="16" t="s">
        <v>241</v>
      </c>
      <c r="G35" s="16" t="s">
        <v>286</v>
      </c>
      <c r="H35" s="16" t="s">
        <v>56</v>
      </c>
      <c r="I35" s="16" t="s">
        <v>34</v>
      </c>
      <c r="J35" s="16" t="s">
        <v>87</v>
      </c>
      <c r="K35" s="16" t="s">
        <v>282</v>
      </c>
      <c r="L35" s="16" t="s">
        <v>89</v>
      </c>
      <c r="M35" s="16" t="s">
        <v>100</v>
      </c>
      <c r="N35" s="16" t="s">
        <v>287</v>
      </c>
      <c r="O35" s="17" t="s">
        <v>92</v>
      </c>
      <c r="P35" s="18" t="s">
        <v>93</v>
      </c>
      <c r="Q35" s="18"/>
      <c r="R35" s="18"/>
    </row>
    <row r="36" customFormat="false" ht="22.35" hidden="false" customHeight="false" outlineLevel="0" collapsed="false">
      <c r="A36" s="16" t="s">
        <v>288</v>
      </c>
      <c r="B36" s="16" t="s">
        <v>39</v>
      </c>
      <c r="C36" s="16" t="s">
        <v>238</v>
      </c>
      <c r="D36" s="16" t="s">
        <v>289</v>
      </c>
      <c r="E36" s="16" t="s">
        <v>290</v>
      </c>
      <c r="F36" s="16" t="s">
        <v>241</v>
      </c>
      <c r="G36" s="16" t="s">
        <v>291</v>
      </c>
      <c r="H36" s="16" t="s">
        <v>54</v>
      </c>
      <c r="I36" s="16" t="s">
        <v>32</v>
      </c>
      <c r="J36" s="16" t="s">
        <v>87</v>
      </c>
      <c r="K36" s="16" t="s">
        <v>292</v>
      </c>
      <c r="L36" s="16" t="s">
        <v>293</v>
      </c>
      <c r="M36" s="16" t="s">
        <v>100</v>
      </c>
      <c r="N36" s="16" t="s">
        <v>294</v>
      </c>
      <c r="O36" s="17" t="s">
        <v>92</v>
      </c>
      <c r="P36" s="18" t="s">
        <v>93</v>
      </c>
      <c r="Q36" s="18"/>
      <c r="R36" s="18"/>
    </row>
    <row r="37" customFormat="false" ht="22.35" hidden="false" customHeight="false" outlineLevel="0" collapsed="false">
      <c r="A37" s="16" t="s">
        <v>295</v>
      </c>
      <c r="B37" s="16" t="s">
        <v>39</v>
      </c>
      <c r="C37" s="16" t="s">
        <v>238</v>
      </c>
      <c r="D37" s="16" t="s">
        <v>289</v>
      </c>
      <c r="E37" s="16" t="s">
        <v>296</v>
      </c>
      <c r="F37" s="16" t="s">
        <v>241</v>
      </c>
      <c r="G37" s="16" t="s">
        <v>297</v>
      </c>
      <c r="H37" s="16" t="s">
        <v>54</v>
      </c>
      <c r="I37" s="16" t="s">
        <v>33</v>
      </c>
      <c r="J37" s="16" t="s">
        <v>87</v>
      </c>
      <c r="K37" s="16" t="s">
        <v>292</v>
      </c>
      <c r="L37" s="16" t="s">
        <v>293</v>
      </c>
      <c r="M37" s="16" t="s">
        <v>100</v>
      </c>
      <c r="N37" s="16" t="s">
        <v>298</v>
      </c>
      <c r="O37" s="17" t="s">
        <v>92</v>
      </c>
      <c r="P37" s="18" t="s">
        <v>93</v>
      </c>
      <c r="Q37" s="18"/>
      <c r="R37" s="18"/>
    </row>
    <row r="38" customFormat="false" ht="22.35" hidden="false" customHeight="false" outlineLevel="0" collapsed="false">
      <c r="A38" s="16" t="s">
        <v>299</v>
      </c>
      <c r="B38" s="16" t="s">
        <v>39</v>
      </c>
      <c r="C38" s="16" t="s">
        <v>300</v>
      </c>
      <c r="D38" s="16" t="s">
        <v>301</v>
      </c>
      <c r="E38" s="16" t="s">
        <v>302</v>
      </c>
      <c r="F38" s="16" t="s">
        <v>303</v>
      </c>
      <c r="G38" s="16" t="s">
        <v>304</v>
      </c>
      <c r="H38" s="16" t="s">
        <v>56</v>
      </c>
      <c r="I38" s="16" t="s">
        <v>31</v>
      </c>
      <c r="J38" s="16" t="s">
        <v>87</v>
      </c>
      <c r="K38" s="16" t="s">
        <v>305</v>
      </c>
      <c r="L38" s="16" t="s">
        <v>306</v>
      </c>
      <c r="M38" s="16" t="s">
        <v>307</v>
      </c>
      <c r="N38" s="16" t="s">
        <v>308</v>
      </c>
      <c r="O38" s="17" t="s">
        <v>92</v>
      </c>
      <c r="P38" s="18" t="s">
        <v>93</v>
      </c>
      <c r="Q38" s="18"/>
      <c r="R38" s="18"/>
    </row>
    <row r="39" customFormat="false" ht="22.35" hidden="false" customHeight="false" outlineLevel="0" collapsed="false">
      <c r="A39" s="16" t="s">
        <v>309</v>
      </c>
      <c r="B39" s="16" t="s">
        <v>39</v>
      </c>
      <c r="C39" s="16" t="s">
        <v>300</v>
      </c>
      <c r="D39" s="16" t="s">
        <v>301</v>
      </c>
      <c r="E39" s="16" t="s">
        <v>310</v>
      </c>
      <c r="F39" s="16" t="s">
        <v>303</v>
      </c>
      <c r="G39" s="16" t="s">
        <v>311</v>
      </c>
      <c r="H39" s="16" t="s">
        <v>54</v>
      </c>
      <c r="I39" s="16" t="s">
        <v>31</v>
      </c>
      <c r="J39" s="16" t="s">
        <v>87</v>
      </c>
      <c r="K39" s="16" t="s">
        <v>312</v>
      </c>
      <c r="L39" s="16" t="s">
        <v>89</v>
      </c>
      <c r="M39" s="16" t="s">
        <v>313</v>
      </c>
      <c r="N39" s="16" t="s">
        <v>314</v>
      </c>
      <c r="O39" s="17" t="s">
        <v>92</v>
      </c>
      <c r="P39" s="18" t="s">
        <v>93</v>
      </c>
      <c r="Q39" s="18"/>
      <c r="R39" s="18"/>
    </row>
    <row r="40" customFormat="false" ht="22.35" hidden="false" customHeight="false" outlineLevel="0" collapsed="false">
      <c r="A40" s="16" t="s">
        <v>315</v>
      </c>
      <c r="B40" s="16" t="s">
        <v>39</v>
      </c>
      <c r="C40" s="16" t="s">
        <v>300</v>
      </c>
      <c r="D40" s="16" t="s">
        <v>301</v>
      </c>
      <c r="E40" s="16" t="s">
        <v>316</v>
      </c>
      <c r="F40" s="16" t="s">
        <v>303</v>
      </c>
      <c r="G40" s="16" t="s">
        <v>317</v>
      </c>
      <c r="H40" s="16" t="s">
        <v>56</v>
      </c>
      <c r="I40" s="16" t="s">
        <v>32</v>
      </c>
      <c r="J40" s="16" t="s">
        <v>87</v>
      </c>
      <c r="K40" s="16" t="s">
        <v>318</v>
      </c>
      <c r="L40" s="16" t="s">
        <v>319</v>
      </c>
      <c r="M40" s="16" t="s">
        <v>100</v>
      </c>
      <c r="N40" s="16" t="s">
        <v>320</v>
      </c>
      <c r="O40" s="17" t="s">
        <v>92</v>
      </c>
      <c r="P40" s="18" t="s">
        <v>93</v>
      </c>
      <c r="Q40" s="18"/>
      <c r="R40" s="18"/>
    </row>
    <row r="41" customFormat="false" ht="22.35" hidden="false" customHeight="false" outlineLevel="0" collapsed="false">
      <c r="A41" s="16" t="s">
        <v>321</v>
      </c>
      <c r="B41" s="16" t="s">
        <v>39</v>
      </c>
      <c r="C41" s="16" t="s">
        <v>300</v>
      </c>
      <c r="D41" s="16" t="s">
        <v>301</v>
      </c>
      <c r="E41" s="16" t="s">
        <v>322</v>
      </c>
      <c r="F41" s="16" t="s">
        <v>303</v>
      </c>
      <c r="G41" s="16" t="s">
        <v>323</v>
      </c>
      <c r="H41" s="16" t="s">
        <v>54</v>
      </c>
      <c r="I41" s="16" t="s">
        <v>33</v>
      </c>
      <c r="J41" s="16" t="s">
        <v>87</v>
      </c>
      <c r="K41" s="16" t="s">
        <v>324</v>
      </c>
      <c r="L41" s="16" t="s">
        <v>325</v>
      </c>
      <c r="M41" s="16" t="s">
        <v>100</v>
      </c>
      <c r="N41" s="16" t="s">
        <v>326</v>
      </c>
      <c r="O41" s="17" t="s">
        <v>92</v>
      </c>
      <c r="P41" s="18" t="s">
        <v>93</v>
      </c>
      <c r="Q41" s="18"/>
      <c r="R41" s="18"/>
    </row>
    <row r="42" customFormat="false" ht="22.35" hidden="false" customHeight="false" outlineLevel="0" collapsed="false">
      <c r="A42" s="16" t="s">
        <v>327</v>
      </c>
      <c r="B42" s="16" t="s">
        <v>39</v>
      </c>
      <c r="C42" s="16" t="s">
        <v>300</v>
      </c>
      <c r="D42" s="16" t="s">
        <v>301</v>
      </c>
      <c r="E42" s="16" t="s">
        <v>328</v>
      </c>
      <c r="F42" s="16" t="s">
        <v>303</v>
      </c>
      <c r="G42" s="16" t="s">
        <v>329</v>
      </c>
      <c r="H42" s="16" t="s">
        <v>54</v>
      </c>
      <c r="I42" s="16" t="s">
        <v>31</v>
      </c>
      <c r="J42" s="16" t="s">
        <v>87</v>
      </c>
      <c r="K42" s="16" t="s">
        <v>330</v>
      </c>
      <c r="L42" s="16" t="s">
        <v>331</v>
      </c>
      <c r="M42" s="16" t="s">
        <v>332</v>
      </c>
      <c r="N42" s="16" t="s">
        <v>333</v>
      </c>
      <c r="O42" s="17" t="s">
        <v>92</v>
      </c>
      <c r="P42" s="18" t="s">
        <v>93</v>
      </c>
      <c r="Q42" s="18"/>
      <c r="R42" s="18"/>
    </row>
    <row r="43" customFormat="false" ht="22.35" hidden="false" customHeight="false" outlineLevel="0" collapsed="false">
      <c r="A43" s="16" t="s">
        <v>334</v>
      </c>
      <c r="B43" s="16" t="s">
        <v>39</v>
      </c>
      <c r="C43" s="16" t="s">
        <v>300</v>
      </c>
      <c r="D43" s="16" t="s">
        <v>301</v>
      </c>
      <c r="E43" s="16" t="s">
        <v>335</v>
      </c>
      <c r="F43" s="16" t="s">
        <v>303</v>
      </c>
      <c r="G43" s="16" t="s">
        <v>336</v>
      </c>
      <c r="H43" s="16" t="s">
        <v>54</v>
      </c>
      <c r="I43" s="16" t="s">
        <v>31</v>
      </c>
      <c r="J43" s="16" t="s">
        <v>87</v>
      </c>
      <c r="K43" s="16" t="s">
        <v>219</v>
      </c>
      <c r="L43" s="16" t="s">
        <v>337</v>
      </c>
      <c r="M43" s="16" t="s">
        <v>100</v>
      </c>
      <c r="N43" s="16" t="s">
        <v>338</v>
      </c>
      <c r="O43" s="17" t="s">
        <v>92</v>
      </c>
      <c r="P43" s="18" t="s">
        <v>93</v>
      </c>
      <c r="Q43" s="18"/>
      <c r="R43" s="18"/>
    </row>
    <row r="44" customFormat="false" ht="22.35" hidden="false" customHeight="false" outlineLevel="0" collapsed="false">
      <c r="A44" s="16" t="s">
        <v>339</v>
      </c>
      <c r="B44" s="16" t="s">
        <v>39</v>
      </c>
      <c r="C44" s="16" t="s">
        <v>300</v>
      </c>
      <c r="D44" s="16" t="s">
        <v>340</v>
      </c>
      <c r="E44" s="16" t="s">
        <v>341</v>
      </c>
      <c r="F44" s="16" t="s">
        <v>303</v>
      </c>
      <c r="G44" s="16" t="s">
        <v>342</v>
      </c>
      <c r="H44" s="16" t="s">
        <v>59</v>
      </c>
      <c r="I44" s="16" t="s">
        <v>32</v>
      </c>
      <c r="J44" s="16" t="s">
        <v>87</v>
      </c>
      <c r="K44" s="16" t="s">
        <v>343</v>
      </c>
      <c r="L44" s="16" t="s">
        <v>191</v>
      </c>
      <c r="M44" s="16" t="s">
        <v>202</v>
      </c>
      <c r="N44" s="16" t="s">
        <v>344</v>
      </c>
      <c r="O44" s="17" t="s">
        <v>92</v>
      </c>
      <c r="P44" s="18" t="s">
        <v>93</v>
      </c>
      <c r="Q44" s="18"/>
      <c r="R44" s="18"/>
    </row>
    <row r="45" customFormat="false" ht="22.35" hidden="false" customHeight="false" outlineLevel="0" collapsed="false">
      <c r="A45" s="16" t="s">
        <v>345</v>
      </c>
      <c r="B45" s="16" t="s">
        <v>39</v>
      </c>
      <c r="C45" s="16" t="s">
        <v>300</v>
      </c>
      <c r="D45" s="16" t="s">
        <v>340</v>
      </c>
      <c r="E45" s="16" t="s">
        <v>346</v>
      </c>
      <c r="F45" s="16" t="s">
        <v>303</v>
      </c>
      <c r="G45" s="16" t="s">
        <v>347</v>
      </c>
      <c r="H45" s="16" t="s">
        <v>56</v>
      </c>
      <c r="I45" s="16" t="s">
        <v>33</v>
      </c>
      <c r="J45" s="16" t="s">
        <v>87</v>
      </c>
      <c r="K45" s="16" t="s">
        <v>348</v>
      </c>
      <c r="L45" s="16" t="s">
        <v>349</v>
      </c>
      <c r="M45" s="16" t="s">
        <v>202</v>
      </c>
      <c r="N45" s="16" t="s">
        <v>350</v>
      </c>
      <c r="O45" s="17" t="s">
        <v>92</v>
      </c>
      <c r="P45" s="18" t="s">
        <v>93</v>
      </c>
      <c r="Q45" s="18"/>
      <c r="R45" s="18"/>
    </row>
    <row r="46" customFormat="false" ht="22.35" hidden="false" customHeight="false" outlineLevel="0" collapsed="false">
      <c r="A46" s="16" t="s">
        <v>351</v>
      </c>
      <c r="B46" s="16" t="s">
        <v>39</v>
      </c>
      <c r="C46" s="16" t="s">
        <v>300</v>
      </c>
      <c r="D46" s="16" t="s">
        <v>340</v>
      </c>
      <c r="E46" s="16" t="s">
        <v>352</v>
      </c>
      <c r="F46" s="16" t="s">
        <v>303</v>
      </c>
      <c r="G46" s="16" t="s">
        <v>353</v>
      </c>
      <c r="H46" s="16" t="s">
        <v>54</v>
      </c>
      <c r="I46" s="16" t="s">
        <v>31</v>
      </c>
      <c r="J46" s="16" t="s">
        <v>87</v>
      </c>
      <c r="K46" s="16" t="s">
        <v>354</v>
      </c>
      <c r="L46" s="16" t="s">
        <v>355</v>
      </c>
      <c r="M46" s="16" t="s">
        <v>202</v>
      </c>
      <c r="N46" s="16" t="s">
        <v>356</v>
      </c>
      <c r="O46" s="17" t="s">
        <v>92</v>
      </c>
      <c r="P46" s="18" t="s">
        <v>93</v>
      </c>
      <c r="Q46" s="18"/>
      <c r="R46" s="18"/>
    </row>
    <row r="47" customFormat="false" ht="22.35" hidden="false" customHeight="false" outlineLevel="0" collapsed="false">
      <c r="A47" s="16" t="s">
        <v>357</v>
      </c>
      <c r="B47" s="16" t="s">
        <v>39</v>
      </c>
      <c r="C47" s="16" t="s">
        <v>300</v>
      </c>
      <c r="D47" s="16" t="s">
        <v>340</v>
      </c>
      <c r="E47" s="16" t="s">
        <v>358</v>
      </c>
      <c r="F47" s="16" t="s">
        <v>303</v>
      </c>
      <c r="G47" s="16" t="s">
        <v>359</v>
      </c>
      <c r="H47" s="16" t="s">
        <v>54</v>
      </c>
      <c r="I47" s="16" t="s">
        <v>32</v>
      </c>
      <c r="J47" s="16" t="s">
        <v>87</v>
      </c>
      <c r="K47" s="16" t="s">
        <v>360</v>
      </c>
      <c r="L47" s="16" t="s">
        <v>191</v>
      </c>
      <c r="M47" s="16" t="s">
        <v>202</v>
      </c>
      <c r="N47" s="16" t="s">
        <v>361</v>
      </c>
      <c r="O47" s="17" t="s">
        <v>92</v>
      </c>
      <c r="P47" s="18" t="s">
        <v>93</v>
      </c>
      <c r="Q47" s="18"/>
      <c r="R47" s="18"/>
    </row>
    <row r="48" customFormat="false" ht="22.35" hidden="false" customHeight="false" outlineLevel="0" collapsed="false">
      <c r="A48" s="16" t="s">
        <v>362</v>
      </c>
      <c r="B48" s="16" t="s">
        <v>39</v>
      </c>
      <c r="C48" s="16" t="s">
        <v>300</v>
      </c>
      <c r="D48" s="16" t="s">
        <v>340</v>
      </c>
      <c r="E48" s="16" t="s">
        <v>363</v>
      </c>
      <c r="F48" s="16" t="s">
        <v>303</v>
      </c>
      <c r="G48" s="16" t="s">
        <v>364</v>
      </c>
      <c r="H48" s="16" t="s">
        <v>54</v>
      </c>
      <c r="I48" s="16" t="s">
        <v>32</v>
      </c>
      <c r="J48" s="16" t="s">
        <v>87</v>
      </c>
      <c r="K48" s="16" t="s">
        <v>365</v>
      </c>
      <c r="L48" s="16" t="s">
        <v>349</v>
      </c>
      <c r="M48" s="16" t="s">
        <v>202</v>
      </c>
      <c r="N48" s="16" t="s">
        <v>366</v>
      </c>
      <c r="O48" s="17" t="s">
        <v>92</v>
      </c>
      <c r="P48" s="18" t="s">
        <v>93</v>
      </c>
      <c r="Q48" s="18"/>
      <c r="R48" s="18"/>
    </row>
    <row r="49" customFormat="false" ht="22.35" hidden="false" customHeight="false" outlineLevel="0" collapsed="false">
      <c r="A49" s="16" t="s">
        <v>367</v>
      </c>
      <c r="B49" s="16" t="s">
        <v>39</v>
      </c>
      <c r="C49" s="16" t="s">
        <v>300</v>
      </c>
      <c r="D49" s="16" t="s">
        <v>368</v>
      </c>
      <c r="E49" s="16" t="s">
        <v>369</v>
      </c>
      <c r="F49" s="16" t="s">
        <v>303</v>
      </c>
      <c r="G49" s="16" t="s">
        <v>370</v>
      </c>
      <c r="H49" s="16" t="s">
        <v>54</v>
      </c>
      <c r="I49" s="16" t="s">
        <v>32</v>
      </c>
      <c r="J49" s="16" t="s">
        <v>87</v>
      </c>
      <c r="K49" s="16" t="s">
        <v>371</v>
      </c>
      <c r="L49" s="16" t="s">
        <v>372</v>
      </c>
      <c r="M49" s="16" t="s">
        <v>373</v>
      </c>
      <c r="N49" s="16" t="s">
        <v>374</v>
      </c>
      <c r="O49" s="17" t="s">
        <v>92</v>
      </c>
      <c r="P49" s="18" t="s">
        <v>93</v>
      </c>
      <c r="Q49" s="18"/>
      <c r="R49" s="18"/>
    </row>
    <row r="50" customFormat="false" ht="22.35" hidden="false" customHeight="false" outlineLevel="0" collapsed="false">
      <c r="A50" s="16" t="s">
        <v>375</v>
      </c>
      <c r="B50" s="16" t="s">
        <v>39</v>
      </c>
      <c r="C50" s="16" t="s">
        <v>300</v>
      </c>
      <c r="D50" s="16" t="s">
        <v>368</v>
      </c>
      <c r="E50" s="16" t="s">
        <v>376</v>
      </c>
      <c r="F50" s="16" t="s">
        <v>303</v>
      </c>
      <c r="G50" s="16" t="s">
        <v>377</v>
      </c>
      <c r="H50" s="16" t="s">
        <v>54</v>
      </c>
      <c r="I50" s="16" t="s">
        <v>32</v>
      </c>
      <c r="J50" s="16" t="s">
        <v>87</v>
      </c>
      <c r="K50" s="16" t="s">
        <v>378</v>
      </c>
      <c r="L50" s="16" t="s">
        <v>379</v>
      </c>
      <c r="M50" s="16" t="s">
        <v>373</v>
      </c>
      <c r="N50" s="16" t="s">
        <v>380</v>
      </c>
      <c r="O50" s="17" t="s">
        <v>92</v>
      </c>
      <c r="P50" s="18" t="s">
        <v>93</v>
      </c>
      <c r="Q50" s="18"/>
      <c r="R50" s="18"/>
    </row>
    <row r="51" customFormat="false" ht="22.35" hidden="false" customHeight="false" outlineLevel="0" collapsed="false">
      <c r="A51" s="16" t="s">
        <v>381</v>
      </c>
      <c r="B51" s="16" t="s">
        <v>39</v>
      </c>
      <c r="C51" s="16" t="s">
        <v>382</v>
      </c>
      <c r="D51" s="16" t="s">
        <v>383</v>
      </c>
      <c r="E51" s="16" t="s">
        <v>384</v>
      </c>
      <c r="F51" s="16" t="s">
        <v>385</v>
      </c>
      <c r="G51" s="16" t="s">
        <v>386</v>
      </c>
      <c r="H51" s="16" t="s">
        <v>54</v>
      </c>
      <c r="I51" s="16" t="s">
        <v>33</v>
      </c>
      <c r="J51" s="16" t="s">
        <v>87</v>
      </c>
      <c r="K51" s="16" t="s">
        <v>387</v>
      </c>
      <c r="L51" s="16" t="s">
        <v>388</v>
      </c>
      <c r="M51" s="16" t="s">
        <v>100</v>
      </c>
      <c r="N51" s="16" t="s">
        <v>389</v>
      </c>
      <c r="O51" s="17" t="s">
        <v>92</v>
      </c>
      <c r="P51" s="18" t="s">
        <v>93</v>
      </c>
      <c r="Q51" s="18"/>
      <c r="R51" s="18"/>
    </row>
    <row r="52" customFormat="false" ht="22.35" hidden="false" customHeight="false" outlineLevel="0" collapsed="false">
      <c r="A52" s="16" t="s">
        <v>390</v>
      </c>
      <c r="B52" s="16" t="s">
        <v>39</v>
      </c>
      <c r="C52" s="16" t="s">
        <v>382</v>
      </c>
      <c r="D52" s="16" t="s">
        <v>383</v>
      </c>
      <c r="E52" s="16" t="s">
        <v>391</v>
      </c>
      <c r="F52" s="16" t="s">
        <v>385</v>
      </c>
      <c r="G52" s="16" t="s">
        <v>392</v>
      </c>
      <c r="H52" s="16" t="s">
        <v>54</v>
      </c>
      <c r="I52" s="16" t="s">
        <v>31</v>
      </c>
      <c r="J52" s="16" t="s">
        <v>87</v>
      </c>
      <c r="K52" s="16" t="s">
        <v>318</v>
      </c>
      <c r="L52" s="16" t="s">
        <v>393</v>
      </c>
      <c r="M52" s="16" t="s">
        <v>394</v>
      </c>
      <c r="N52" s="16" t="s">
        <v>395</v>
      </c>
      <c r="O52" s="17" t="s">
        <v>92</v>
      </c>
      <c r="P52" s="18" t="s">
        <v>93</v>
      </c>
      <c r="Q52" s="18"/>
      <c r="R52" s="18"/>
    </row>
    <row r="53" customFormat="false" ht="22.35" hidden="false" customHeight="false" outlineLevel="0" collapsed="false">
      <c r="A53" s="16" t="s">
        <v>396</v>
      </c>
      <c r="B53" s="16" t="s">
        <v>39</v>
      </c>
      <c r="C53" s="16" t="s">
        <v>382</v>
      </c>
      <c r="D53" s="16" t="s">
        <v>383</v>
      </c>
      <c r="E53" s="16" t="s">
        <v>397</v>
      </c>
      <c r="F53" s="16" t="s">
        <v>385</v>
      </c>
      <c r="G53" s="16" t="s">
        <v>398</v>
      </c>
      <c r="H53" s="16" t="s">
        <v>54</v>
      </c>
      <c r="I53" s="16" t="s">
        <v>33</v>
      </c>
      <c r="J53" s="16" t="s">
        <v>87</v>
      </c>
      <c r="K53" s="16" t="s">
        <v>387</v>
      </c>
      <c r="L53" s="16" t="s">
        <v>147</v>
      </c>
      <c r="M53" s="16" t="s">
        <v>100</v>
      </c>
      <c r="N53" s="16" t="s">
        <v>399</v>
      </c>
      <c r="O53" s="17" t="s">
        <v>92</v>
      </c>
      <c r="P53" s="18" t="s">
        <v>93</v>
      </c>
      <c r="Q53" s="18"/>
      <c r="R53" s="18"/>
    </row>
    <row r="54" customFormat="false" ht="22.35" hidden="false" customHeight="false" outlineLevel="0" collapsed="false">
      <c r="A54" s="16" t="s">
        <v>400</v>
      </c>
      <c r="B54" s="16" t="s">
        <v>39</v>
      </c>
      <c r="C54" s="16" t="s">
        <v>382</v>
      </c>
      <c r="D54" s="16" t="s">
        <v>383</v>
      </c>
      <c r="E54" s="16" t="s">
        <v>401</v>
      </c>
      <c r="F54" s="16" t="s">
        <v>385</v>
      </c>
      <c r="G54" s="16" t="s">
        <v>402</v>
      </c>
      <c r="H54" s="16" t="s">
        <v>54</v>
      </c>
      <c r="I54" s="16" t="s">
        <v>32</v>
      </c>
      <c r="J54" s="16" t="s">
        <v>87</v>
      </c>
      <c r="K54" s="16" t="s">
        <v>318</v>
      </c>
      <c r="L54" s="16" t="s">
        <v>393</v>
      </c>
      <c r="M54" s="16" t="s">
        <v>100</v>
      </c>
      <c r="N54" s="16" t="s">
        <v>403</v>
      </c>
      <c r="O54" s="17" t="s">
        <v>92</v>
      </c>
      <c r="P54" s="18" t="s">
        <v>93</v>
      </c>
      <c r="Q54" s="18"/>
      <c r="R54" s="18"/>
    </row>
    <row r="55" customFormat="false" ht="22.35" hidden="false" customHeight="false" outlineLevel="0" collapsed="false">
      <c r="A55" s="16" t="s">
        <v>404</v>
      </c>
      <c r="B55" s="16" t="s">
        <v>39</v>
      </c>
      <c r="C55" s="16" t="s">
        <v>382</v>
      </c>
      <c r="D55" s="16" t="s">
        <v>383</v>
      </c>
      <c r="E55" s="16" t="s">
        <v>405</v>
      </c>
      <c r="F55" s="16" t="s">
        <v>385</v>
      </c>
      <c r="G55" s="16" t="s">
        <v>406</v>
      </c>
      <c r="H55" s="16" t="s">
        <v>54</v>
      </c>
      <c r="I55" s="16" t="s">
        <v>34</v>
      </c>
      <c r="J55" s="16" t="s">
        <v>87</v>
      </c>
      <c r="K55" s="16" t="s">
        <v>387</v>
      </c>
      <c r="L55" s="16" t="s">
        <v>99</v>
      </c>
      <c r="M55" s="16" t="s">
        <v>100</v>
      </c>
      <c r="N55" s="16" t="s">
        <v>407</v>
      </c>
      <c r="O55" s="17" t="s">
        <v>92</v>
      </c>
      <c r="P55" s="18" t="s">
        <v>93</v>
      </c>
      <c r="Q55" s="18"/>
      <c r="R55" s="18"/>
    </row>
    <row r="56" customFormat="false" ht="32.8" hidden="false" customHeight="false" outlineLevel="0" collapsed="false">
      <c r="A56" s="16" t="s">
        <v>408</v>
      </c>
      <c r="B56" s="16" t="s">
        <v>42</v>
      </c>
      <c r="C56" s="16" t="s">
        <v>409</v>
      </c>
      <c r="D56" s="16" t="s">
        <v>410</v>
      </c>
      <c r="E56" s="16" t="s">
        <v>411</v>
      </c>
      <c r="F56" s="16" t="s">
        <v>412</v>
      </c>
      <c r="G56" s="16" t="s">
        <v>413</v>
      </c>
      <c r="H56" s="16" t="s">
        <v>54</v>
      </c>
      <c r="I56" s="16" t="s">
        <v>32</v>
      </c>
      <c r="J56" s="16" t="s">
        <v>414</v>
      </c>
      <c r="K56" s="16" t="s">
        <v>415</v>
      </c>
      <c r="L56" s="16" t="s">
        <v>416</v>
      </c>
      <c r="M56" s="16" t="s">
        <v>100</v>
      </c>
      <c r="N56" s="16" t="s">
        <v>417</v>
      </c>
      <c r="O56" s="17" t="s">
        <v>92</v>
      </c>
      <c r="P56" s="18" t="s">
        <v>93</v>
      </c>
      <c r="Q56" s="18"/>
      <c r="R56" s="18"/>
    </row>
    <row r="57" customFormat="false" ht="32.8" hidden="false" customHeight="false" outlineLevel="0" collapsed="false">
      <c r="A57" s="16" t="s">
        <v>418</v>
      </c>
      <c r="B57" s="16" t="s">
        <v>42</v>
      </c>
      <c r="C57" s="16" t="s">
        <v>409</v>
      </c>
      <c r="D57" s="16" t="s">
        <v>410</v>
      </c>
      <c r="E57" s="16" t="s">
        <v>419</v>
      </c>
      <c r="F57" s="16" t="s">
        <v>412</v>
      </c>
      <c r="G57" s="16" t="s">
        <v>420</v>
      </c>
      <c r="H57" s="16" t="s">
        <v>54</v>
      </c>
      <c r="I57" s="16" t="s">
        <v>33</v>
      </c>
      <c r="J57" s="16" t="s">
        <v>414</v>
      </c>
      <c r="K57" s="16" t="s">
        <v>415</v>
      </c>
      <c r="L57" s="16" t="s">
        <v>416</v>
      </c>
      <c r="M57" s="16" t="s">
        <v>100</v>
      </c>
      <c r="N57" s="16" t="s">
        <v>421</v>
      </c>
      <c r="O57" s="17" t="s">
        <v>92</v>
      </c>
      <c r="P57" s="18" t="s">
        <v>93</v>
      </c>
      <c r="Q57" s="18"/>
      <c r="R57" s="18"/>
    </row>
    <row r="58" customFormat="false" ht="32.8" hidden="false" customHeight="false" outlineLevel="0" collapsed="false">
      <c r="A58" s="16" t="s">
        <v>422</v>
      </c>
      <c r="B58" s="16" t="s">
        <v>42</v>
      </c>
      <c r="C58" s="16" t="s">
        <v>409</v>
      </c>
      <c r="D58" s="16" t="s">
        <v>423</v>
      </c>
      <c r="E58" s="16" t="s">
        <v>424</v>
      </c>
      <c r="F58" s="16" t="s">
        <v>412</v>
      </c>
      <c r="G58" s="16" t="s">
        <v>425</v>
      </c>
      <c r="H58" s="16" t="s">
        <v>54</v>
      </c>
      <c r="I58" s="16" t="s">
        <v>32</v>
      </c>
      <c r="J58" s="16" t="s">
        <v>414</v>
      </c>
      <c r="K58" s="16" t="s">
        <v>426</v>
      </c>
      <c r="L58" s="16" t="s">
        <v>427</v>
      </c>
      <c r="M58" s="16" t="s">
        <v>100</v>
      </c>
      <c r="N58" s="16" t="s">
        <v>428</v>
      </c>
      <c r="O58" s="17" t="s">
        <v>92</v>
      </c>
      <c r="P58" s="18" t="s">
        <v>93</v>
      </c>
      <c r="Q58" s="18"/>
      <c r="R58" s="18"/>
    </row>
    <row r="59" customFormat="false" ht="32.8" hidden="false" customHeight="false" outlineLevel="0" collapsed="false">
      <c r="A59" s="16" t="s">
        <v>429</v>
      </c>
      <c r="B59" s="16" t="s">
        <v>42</v>
      </c>
      <c r="C59" s="16" t="s">
        <v>409</v>
      </c>
      <c r="D59" s="16" t="s">
        <v>410</v>
      </c>
      <c r="E59" s="16" t="s">
        <v>430</v>
      </c>
      <c r="F59" s="16" t="s">
        <v>412</v>
      </c>
      <c r="G59" s="16" t="s">
        <v>431</v>
      </c>
      <c r="H59" s="16" t="s">
        <v>54</v>
      </c>
      <c r="I59" s="16" t="s">
        <v>34</v>
      </c>
      <c r="J59" s="16" t="s">
        <v>414</v>
      </c>
      <c r="K59" s="16" t="s">
        <v>415</v>
      </c>
      <c r="L59" s="16" t="s">
        <v>416</v>
      </c>
      <c r="M59" s="16" t="s">
        <v>100</v>
      </c>
      <c r="N59" s="16" t="s">
        <v>432</v>
      </c>
      <c r="O59" s="17" t="s">
        <v>92</v>
      </c>
      <c r="P59" s="18" t="s">
        <v>93</v>
      </c>
      <c r="Q59" s="18"/>
      <c r="R59" s="18"/>
    </row>
    <row r="60" customFormat="false" ht="32.8" hidden="false" customHeight="false" outlineLevel="0" collapsed="false">
      <c r="A60" s="16" t="s">
        <v>433</v>
      </c>
      <c r="B60" s="16" t="s">
        <v>42</v>
      </c>
      <c r="C60" s="16" t="s">
        <v>409</v>
      </c>
      <c r="D60" s="16" t="s">
        <v>410</v>
      </c>
      <c r="E60" s="16" t="s">
        <v>434</v>
      </c>
      <c r="F60" s="16" t="s">
        <v>412</v>
      </c>
      <c r="G60" s="16" t="s">
        <v>435</v>
      </c>
      <c r="H60" s="16" t="s">
        <v>54</v>
      </c>
      <c r="I60" s="16" t="s">
        <v>33</v>
      </c>
      <c r="J60" s="16" t="s">
        <v>414</v>
      </c>
      <c r="K60" s="16" t="s">
        <v>415</v>
      </c>
      <c r="L60" s="16" t="s">
        <v>436</v>
      </c>
      <c r="M60" s="16" t="s">
        <v>100</v>
      </c>
      <c r="N60" s="16" t="s">
        <v>437</v>
      </c>
      <c r="O60" s="17" t="s">
        <v>92</v>
      </c>
      <c r="P60" s="18" t="s">
        <v>93</v>
      </c>
      <c r="Q60" s="18"/>
      <c r="R60" s="18"/>
    </row>
    <row r="61" customFormat="false" ht="32.8" hidden="false" customHeight="false" outlineLevel="0" collapsed="false">
      <c r="A61" s="16" t="s">
        <v>438</v>
      </c>
      <c r="B61" s="16" t="s">
        <v>42</v>
      </c>
      <c r="C61" s="16" t="s">
        <v>409</v>
      </c>
      <c r="D61" s="16" t="s">
        <v>423</v>
      </c>
      <c r="E61" s="16" t="s">
        <v>439</v>
      </c>
      <c r="F61" s="16" t="s">
        <v>412</v>
      </c>
      <c r="G61" s="16" t="s">
        <v>440</v>
      </c>
      <c r="H61" s="16" t="s">
        <v>54</v>
      </c>
      <c r="I61" s="16" t="s">
        <v>31</v>
      </c>
      <c r="J61" s="16" t="s">
        <v>414</v>
      </c>
      <c r="K61" s="16" t="s">
        <v>426</v>
      </c>
      <c r="L61" s="16" t="s">
        <v>427</v>
      </c>
      <c r="M61" s="16" t="s">
        <v>100</v>
      </c>
      <c r="N61" s="16" t="s">
        <v>441</v>
      </c>
      <c r="O61" s="17" t="s">
        <v>92</v>
      </c>
      <c r="P61" s="18" t="s">
        <v>93</v>
      </c>
      <c r="Q61" s="18"/>
      <c r="R61" s="18"/>
    </row>
    <row r="62" customFormat="false" ht="32.8" hidden="false" customHeight="false" outlineLevel="0" collapsed="false">
      <c r="A62" s="16" t="s">
        <v>442</v>
      </c>
      <c r="B62" s="16" t="s">
        <v>42</v>
      </c>
      <c r="C62" s="16" t="s">
        <v>409</v>
      </c>
      <c r="D62" s="16" t="s">
        <v>423</v>
      </c>
      <c r="E62" s="16" t="s">
        <v>443</v>
      </c>
      <c r="F62" s="16" t="s">
        <v>412</v>
      </c>
      <c r="G62" s="16" t="s">
        <v>444</v>
      </c>
      <c r="H62" s="16" t="s">
        <v>54</v>
      </c>
      <c r="I62" s="16" t="s">
        <v>32</v>
      </c>
      <c r="J62" s="16" t="s">
        <v>414</v>
      </c>
      <c r="K62" s="16" t="s">
        <v>171</v>
      </c>
      <c r="L62" s="16" t="s">
        <v>416</v>
      </c>
      <c r="M62" s="16" t="s">
        <v>100</v>
      </c>
      <c r="N62" s="16" t="s">
        <v>445</v>
      </c>
      <c r="O62" s="17" t="s">
        <v>92</v>
      </c>
      <c r="P62" s="18" t="s">
        <v>93</v>
      </c>
      <c r="Q62" s="18"/>
      <c r="R62" s="18"/>
    </row>
    <row r="63" customFormat="false" ht="32.8" hidden="false" customHeight="false" outlineLevel="0" collapsed="false">
      <c r="A63" s="16" t="s">
        <v>446</v>
      </c>
      <c r="B63" s="16" t="s">
        <v>42</v>
      </c>
      <c r="C63" s="16" t="s">
        <v>409</v>
      </c>
      <c r="D63" s="16" t="s">
        <v>447</v>
      </c>
      <c r="E63" s="16" t="s">
        <v>448</v>
      </c>
      <c r="F63" s="16" t="s">
        <v>412</v>
      </c>
      <c r="G63" s="16" t="s">
        <v>449</v>
      </c>
      <c r="H63" s="16" t="s">
        <v>54</v>
      </c>
      <c r="I63" s="16" t="s">
        <v>32</v>
      </c>
      <c r="J63" s="16" t="s">
        <v>414</v>
      </c>
      <c r="K63" s="16" t="s">
        <v>171</v>
      </c>
      <c r="L63" s="16" t="s">
        <v>450</v>
      </c>
      <c r="M63" s="16" t="s">
        <v>100</v>
      </c>
      <c r="N63" s="16" t="s">
        <v>451</v>
      </c>
      <c r="O63" s="17" t="s">
        <v>92</v>
      </c>
      <c r="P63" s="18" t="s">
        <v>93</v>
      </c>
      <c r="Q63" s="18"/>
      <c r="R63" s="18"/>
    </row>
    <row r="64" customFormat="false" ht="32.8" hidden="false" customHeight="false" outlineLevel="0" collapsed="false">
      <c r="A64" s="16" t="s">
        <v>452</v>
      </c>
      <c r="B64" s="16" t="s">
        <v>42</v>
      </c>
      <c r="C64" s="16" t="s">
        <v>409</v>
      </c>
      <c r="D64" s="16" t="s">
        <v>453</v>
      </c>
      <c r="E64" s="16" t="s">
        <v>454</v>
      </c>
      <c r="F64" s="16" t="s">
        <v>412</v>
      </c>
      <c r="G64" s="16" t="s">
        <v>455</v>
      </c>
      <c r="H64" s="16" t="s">
        <v>54</v>
      </c>
      <c r="I64" s="16" t="s">
        <v>32</v>
      </c>
      <c r="J64" s="16" t="s">
        <v>414</v>
      </c>
      <c r="K64" s="16" t="s">
        <v>171</v>
      </c>
      <c r="L64" s="16" t="s">
        <v>416</v>
      </c>
      <c r="M64" s="16" t="s">
        <v>100</v>
      </c>
      <c r="N64" s="16" t="s">
        <v>456</v>
      </c>
      <c r="O64" s="17" t="s">
        <v>92</v>
      </c>
      <c r="P64" s="18" t="s">
        <v>93</v>
      </c>
      <c r="Q64" s="18"/>
      <c r="R64" s="18"/>
    </row>
    <row r="65" customFormat="false" ht="32.8" hidden="false" customHeight="false" outlineLevel="0" collapsed="false">
      <c r="A65" s="16" t="s">
        <v>457</v>
      </c>
      <c r="B65" s="16" t="s">
        <v>42</v>
      </c>
      <c r="C65" s="16" t="s">
        <v>409</v>
      </c>
      <c r="D65" s="16" t="s">
        <v>458</v>
      </c>
      <c r="E65" s="16" t="s">
        <v>459</v>
      </c>
      <c r="F65" s="16" t="s">
        <v>412</v>
      </c>
      <c r="G65" s="16" t="s">
        <v>460</v>
      </c>
      <c r="H65" s="16" t="s">
        <v>54</v>
      </c>
      <c r="I65" s="16" t="s">
        <v>33</v>
      </c>
      <c r="J65" s="16" t="s">
        <v>414</v>
      </c>
      <c r="K65" s="16" t="s">
        <v>171</v>
      </c>
      <c r="L65" s="16" t="s">
        <v>416</v>
      </c>
      <c r="M65" s="16" t="s">
        <v>100</v>
      </c>
      <c r="N65" s="16" t="s">
        <v>461</v>
      </c>
      <c r="O65" s="17" t="s">
        <v>92</v>
      </c>
      <c r="P65" s="18" t="s">
        <v>93</v>
      </c>
      <c r="Q65" s="18"/>
      <c r="R65" s="18"/>
    </row>
    <row r="66" customFormat="false" ht="32.8" hidden="false" customHeight="false" outlineLevel="0" collapsed="false">
      <c r="A66" s="16" t="s">
        <v>462</v>
      </c>
      <c r="B66" s="16" t="s">
        <v>42</v>
      </c>
      <c r="C66" s="16" t="s">
        <v>409</v>
      </c>
      <c r="D66" s="16" t="s">
        <v>458</v>
      </c>
      <c r="E66" s="16" t="s">
        <v>463</v>
      </c>
      <c r="F66" s="16" t="s">
        <v>412</v>
      </c>
      <c r="G66" s="16" t="s">
        <v>464</v>
      </c>
      <c r="H66" s="16" t="s">
        <v>54</v>
      </c>
      <c r="I66" s="16" t="s">
        <v>33</v>
      </c>
      <c r="J66" s="16" t="s">
        <v>414</v>
      </c>
      <c r="K66" s="16" t="s">
        <v>171</v>
      </c>
      <c r="L66" s="16" t="s">
        <v>416</v>
      </c>
      <c r="M66" s="16" t="s">
        <v>100</v>
      </c>
      <c r="N66" s="16" t="s">
        <v>465</v>
      </c>
      <c r="O66" s="17" t="s">
        <v>92</v>
      </c>
      <c r="P66" s="18" t="s">
        <v>93</v>
      </c>
      <c r="Q66" s="18"/>
      <c r="R66" s="18"/>
    </row>
    <row r="67" customFormat="false" ht="32.8" hidden="false" customHeight="false" outlineLevel="0" collapsed="false">
      <c r="A67" s="16" t="s">
        <v>466</v>
      </c>
      <c r="B67" s="16" t="s">
        <v>42</v>
      </c>
      <c r="C67" s="16" t="s">
        <v>409</v>
      </c>
      <c r="D67" s="16" t="s">
        <v>458</v>
      </c>
      <c r="E67" s="16" t="s">
        <v>467</v>
      </c>
      <c r="F67" s="16" t="s">
        <v>412</v>
      </c>
      <c r="G67" s="16" t="s">
        <v>468</v>
      </c>
      <c r="H67" s="16" t="s">
        <v>54</v>
      </c>
      <c r="I67" s="16" t="s">
        <v>32</v>
      </c>
      <c r="J67" s="16" t="s">
        <v>414</v>
      </c>
      <c r="K67" s="16" t="s">
        <v>171</v>
      </c>
      <c r="L67" s="16" t="s">
        <v>416</v>
      </c>
      <c r="M67" s="16" t="s">
        <v>469</v>
      </c>
      <c r="N67" s="16" t="s">
        <v>470</v>
      </c>
      <c r="O67" s="17" t="s">
        <v>92</v>
      </c>
      <c r="P67" s="18" t="s">
        <v>93</v>
      </c>
      <c r="Q67" s="18"/>
      <c r="R67" s="18"/>
    </row>
    <row r="68" customFormat="false" ht="32.8" hidden="false" customHeight="false" outlineLevel="0" collapsed="false">
      <c r="A68" s="16" t="s">
        <v>471</v>
      </c>
      <c r="B68" s="16" t="s">
        <v>42</v>
      </c>
      <c r="C68" s="16" t="s">
        <v>472</v>
      </c>
      <c r="D68" s="16" t="s">
        <v>473</v>
      </c>
      <c r="E68" s="16" t="s">
        <v>474</v>
      </c>
      <c r="F68" s="16" t="s">
        <v>475</v>
      </c>
      <c r="G68" s="16" t="s">
        <v>476</v>
      </c>
      <c r="H68" s="16" t="s">
        <v>54</v>
      </c>
      <c r="I68" s="16" t="s">
        <v>32</v>
      </c>
      <c r="J68" s="16" t="s">
        <v>414</v>
      </c>
      <c r="K68" s="16" t="s">
        <v>140</v>
      </c>
      <c r="L68" s="16" t="s">
        <v>141</v>
      </c>
      <c r="M68" s="16" t="s">
        <v>100</v>
      </c>
      <c r="N68" s="16" t="s">
        <v>477</v>
      </c>
      <c r="O68" s="17" t="s">
        <v>92</v>
      </c>
      <c r="P68" s="18" t="s">
        <v>93</v>
      </c>
      <c r="Q68" s="18"/>
      <c r="R68" s="18"/>
    </row>
    <row r="69" customFormat="false" ht="32.8" hidden="false" customHeight="false" outlineLevel="0" collapsed="false">
      <c r="A69" s="16" t="s">
        <v>478</v>
      </c>
      <c r="B69" s="16" t="s">
        <v>42</v>
      </c>
      <c r="C69" s="16" t="s">
        <v>472</v>
      </c>
      <c r="D69" s="16" t="s">
        <v>473</v>
      </c>
      <c r="E69" s="16" t="s">
        <v>479</v>
      </c>
      <c r="F69" s="16" t="s">
        <v>475</v>
      </c>
      <c r="G69" s="16" t="s">
        <v>480</v>
      </c>
      <c r="H69" s="16" t="s">
        <v>56</v>
      </c>
      <c r="I69" s="16" t="s">
        <v>32</v>
      </c>
      <c r="J69" s="16" t="s">
        <v>414</v>
      </c>
      <c r="K69" s="16" t="s">
        <v>330</v>
      </c>
      <c r="L69" s="16" t="s">
        <v>481</v>
      </c>
      <c r="M69" s="16" t="s">
        <v>100</v>
      </c>
      <c r="N69" s="16" t="s">
        <v>482</v>
      </c>
      <c r="O69" s="17" t="s">
        <v>92</v>
      </c>
      <c r="P69" s="18" t="s">
        <v>93</v>
      </c>
      <c r="Q69" s="18"/>
      <c r="R69" s="18"/>
    </row>
    <row r="70" customFormat="false" ht="32.8" hidden="false" customHeight="false" outlineLevel="0" collapsed="false">
      <c r="A70" s="16" t="s">
        <v>483</v>
      </c>
      <c r="B70" s="16" t="s">
        <v>42</v>
      </c>
      <c r="C70" s="16" t="s">
        <v>472</v>
      </c>
      <c r="D70" s="16" t="s">
        <v>484</v>
      </c>
      <c r="E70" s="16" t="s">
        <v>485</v>
      </c>
      <c r="F70" s="16" t="s">
        <v>475</v>
      </c>
      <c r="G70" s="16" t="s">
        <v>486</v>
      </c>
      <c r="H70" s="16" t="s">
        <v>54</v>
      </c>
      <c r="I70" s="16" t="s">
        <v>31</v>
      </c>
      <c r="J70" s="16" t="s">
        <v>414</v>
      </c>
      <c r="K70" s="16" t="s">
        <v>140</v>
      </c>
      <c r="L70" s="16" t="s">
        <v>141</v>
      </c>
      <c r="M70" s="16" t="s">
        <v>100</v>
      </c>
      <c r="N70" s="16" t="s">
        <v>487</v>
      </c>
      <c r="O70" s="17" t="s">
        <v>92</v>
      </c>
      <c r="P70" s="18" t="s">
        <v>93</v>
      </c>
      <c r="Q70" s="18"/>
      <c r="R70" s="18"/>
    </row>
    <row r="71" customFormat="false" ht="32.8" hidden="false" customHeight="false" outlineLevel="0" collapsed="false">
      <c r="A71" s="16" t="s">
        <v>488</v>
      </c>
      <c r="B71" s="16" t="s">
        <v>42</v>
      </c>
      <c r="C71" s="16" t="s">
        <v>472</v>
      </c>
      <c r="D71" s="16" t="s">
        <v>484</v>
      </c>
      <c r="E71" s="16" t="s">
        <v>489</v>
      </c>
      <c r="F71" s="16" t="s">
        <v>475</v>
      </c>
      <c r="G71" s="16" t="s">
        <v>490</v>
      </c>
      <c r="H71" s="16" t="s">
        <v>54</v>
      </c>
      <c r="I71" s="16" t="s">
        <v>32</v>
      </c>
      <c r="J71" s="16" t="s">
        <v>414</v>
      </c>
      <c r="K71" s="16" t="s">
        <v>491</v>
      </c>
      <c r="L71" s="16" t="s">
        <v>481</v>
      </c>
      <c r="M71" s="16" t="s">
        <v>100</v>
      </c>
      <c r="N71" s="16" t="s">
        <v>492</v>
      </c>
      <c r="O71" s="17" t="s">
        <v>92</v>
      </c>
      <c r="P71" s="18" t="s">
        <v>93</v>
      </c>
      <c r="Q71" s="18"/>
      <c r="R71" s="18"/>
    </row>
    <row r="72" customFormat="false" ht="32.8" hidden="false" customHeight="false" outlineLevel="0" collapsed="false">
      <c r="A72" s="16" t="s">
        <v>493</v>
      </c>
      <c r="B72" s="16" t="s">
        <v>42</v>
      </c>
      <c r="C72" s="16" t="s">
        <v>472</v>
      </c>
      <c r="D72" s="16" t="s">
        <v>484</v>
      </c>
      <c r="E72" s="16" t="s">
        <v>494</v>
      </c>
      <c r="F72" s="16" t="s">
        <v>475</v>
      </c>
      <c r="G72" s="16" t="s">
        <v>495</v>
      </c>
      <c r="H72" s="16" t="s">
        <v>54</v>
      </c>
      <c r="I72" s="16" t="s">
        <v>33</v>
      </c>
      <c r="J72" s="16" t="s">
        <v>414</v>
      </c>
      <c r="K72" s="16" t="s">
        <v>140</v>
      </c>
      <c r="L72" s="16" t="s">
        <v>141</v>
      </c>
      <c r="M72" s="16" t="s">
        <v>100</v>
      </c>
      <c r="N72" s="16" t="s">
        <v>496</v>
      </c>
      <c r="O72" s="17" t="s">
        <v>92</v>
      </c>
      <c r="P72" s="18" t="s">
        <v>93</v>
      </c>
      <c r="Q72" s="18"/>
      <c r="R72" s="18"/>
    </row>
    <row r="73" customFormat="false" ht="32.8" hidden="false" customHeight="false" outlineLevel="0" collapsed="false">
      <c r="A73" s="16" t="s">
        <v>497</v>
      </c>
      <c r="B73" s="16" t="s">
        <v>42</v>
      </c>
      <c r="C73" s="16" t="s">
        <v>498</v>
      </c>
      <c r="D73" s="16" t="s">
        <v>499</v>
      </c>
      <c r="E73" s="16" t="s">
        <v>500</v>
      </c>
      <c r="F73" s="16" t="s">
        <v>501</v>
      </c>
      <c r="G73" s="16" t="s">
        <v>502</v>
      </c>
      <c r="H73" s="16" t="s">
        <v>57</v>
      </c>
      <c r="I73" s="16" t="s">
        <v>32</v>
      </c>
      <c r="J73" s="16" t="s">
        <v>414</v>
      </c>
      <c r="K73" s="16" t="s">
        <v>171</v>
      </c>
      <c r="L73" s="16" t="s">
        <v>272</v>
      </c>
      <c r="M73" s="16" t="s">
        <v>100</v>
      </c>
      <c r="N73" s="16" t="s">
        <v>503</v>
      </c>
      <c r="O73" s="17" t="s">
        <v>92</v>
      </c>
      <c r="P73" s="18" t="s">
        <v>93</v>
      </c>
      <c r="Q73" s="18"/>
      <c r="R73" s="18"/>
    </row>
    <row r="74" customFormat="false" ht="32.8" hidden="false" customHeight="false" outlineLevel="0" collapsed="false">
      <c r="A74" s="16" t="s">
        <v>504</v>
      </c>
      <c r="B74" s="16" t="s">
        <v>42</v>
      </c>
      <c r="C74" s="16" t="s">
        <v>498</v>
      </c>
      <c r="D74" s="16" t="s">
        <v>505</v>
      </c>
      <c r="E74" s="16" t="s">
        <v>506</v>
      </c>
      <c r="F74" s="16" t="s">
        <v>501</v>
      </c>
      <c r="G74" s="16" t="s">
        <v>507</v>
      </c>
      <c r="H74" s="16" t="s">
        <v>54</v>
      </c>
      <c r="I74" s="16" t="s">
        <v>32</v>
      </c>
      <c r="J74" s="16" t="s">
        <v>414</v>
      </c>
      <c r="K74" s="16" t="s">
        <v>415</v>
      </c>
      <c r="L74" s="16" t="s">
        <v>272</v>
      </c>
      <c r="M74" s="16" t="s">
        <v>100</v>
      </c>
      <c r="N74" s="16" t="s">
        <v>508</v>
      </c>
      <c r="O74" s="17" t="s">
        <v>92</v>
      </c>
      <c r="P74" s="18" t="s">
        <v>93</v>
      </c>
      <c r="Q74" s="18"/>
      <c r="R74" s="18"/>
    </row>
    <row r="75" customFormat="false" ht="32.8" hidden="false" customHeight="false" outlineLevel="0" collapsed="false">
      <c r="A75" s="16" t="s">
        <v>509</v>
      </c>
      <c r="B75" s="16" t="s">
        <v>42</v>
      </c>
      <c r="C75" s="16" t="s">
        <v>498</v>
      </c>
      <c r="D75" s="16" t="s">
        <v>505</v>
      </c>
      <c r="E75" s="16" t="s">
        <v>510</v>
      </c>
      <c r="F75" s="16" t="s">
        <v>501</v>
      </c>
      <c r="G75" s="16" t="s">
        <v>511</v>
      </c>
      <c r="H75" s="16" t="s">
        <v>54</v>
      </c>
      <c r="I75" s="16" t="s">
        <v>33</v>
      </c>
      <c r="J75" s="16" t="s">
        <v>414</v>
      </c>
      <c r="K75" s="16" t="s">
        <v>426</v>
      </c>
      <c r="L75" s="16" t="s">
        <v>272</v>
      </c>
      <c r="M75" s="16" t="s">
        <v>100</v>
      </c>
      <c r="N75" s="16" t="s">
        <v>512</v>
      </c>
      <c r="O75" s="17" t="s">
        <v>92</v>
      </c>
      <c r="P75" s="18" t="s">
        <v>93</v>
      </c>
      <c r="Q75" s="18"/>
      <c r="R75" s="18"/>
    </row>
    <row r="76" customFormat="false" ht="32.8" hidden="false" customHeight="false" outlineLevel="0" collapsed="false">
      <c r="A76" s="16" t="s">
        <v>513</v>
      </c>
      <c r="B76" s="16" t="s">
        <v>42</v>
      </c>
      <c r="C76" s="16" t="s">
        <v>498</v>
      </c>
      <c r="D76" s="16" t="s">
        <v>505</v>
      </c>
      <c r="E76" s="16" t="s">
        <v>514</v>
      </c>
      <c r="F76" s="16" t="s">
        <v>501</v>
      </c>
      <c r="G76" s="16" t="s">
        <v>515</v>
      </c>
      <c r="H76" s="16" t="s">
        <v>54</v>
      </c>
      <c r="I76" s="16" t="s">
        <v>34</v>
      </c>
      <c r="J76" s="16" t="s">
        <v>414</v>
      </c>
      <c r="K76" s="16" t="s">
        <v>171</v>
      </c>
      <c r="L76" s="16" t="s">
        <v>272</v>
      </c>
      <c r="M76" s="16" t="s">
        <v>100</v>
      </c>
      <c r="N76" s="16" t="s">
        <v>516</v>
      </c>
      <c r="O76" s="17" t="s">
        <v>92</v>
      </c>
      <c r="P76" s="18" t="s">
        <v>93</v>
      </c>
      <c r="Q76" s="18"/>
      <c r="R76" s="18"/>
    </row>
    <row r="77" customFormat="false" ht="32.8" hidden="false" customHeight="false" outlineLevel="0" collapsed="false">
      <c r="A77" s="16" t="s">
        <v>517</v>
      </c>
      <c r="B77" s="16" t="s">
        <v>42</v>
      </c>
      <c r="C77" s="16" t="s">
        <v>498</v>
      </c>
      <c r="D77" s="16" t="s">
        <v>505</v>
      </c>
      <c r="E77" s="16" t="s">
        <v>518</v>
      </c>
      <c r="F77" s="16" t="s">
        <v>501</v>
      </c>
      <c r="G77" s="16" t="s">
        <v>519</v>
      </c>
      <c r="H77" s="16" t="s">
        <v>54</v>
      </c>
      <c r="I77" s="16" t="s">
        <v>32</v>
      </c>
      <c r="J77" s="16" t="s">
        <v>414</v>
      </c>
      <c r="K77" s="16" t="s">
        <v>520</v>
      </c>
      <c r="L77" s="16" t="s">
        <v>272</v>
      </c>
      <c r="M77" s="16" t="s">
        <v>100</v>
      </c>
      <c r="N77" s="16" t="s">
        <v>521</v>
      </c>
      <c r="O77" s="17" t="s">
        <v>92</v>
      </c>
      <c r="P77" s="18" t="s">
        <v>93</v>
      </c>
      <c r="Q77" s="18"/>
      <c r="R77" s="18"/>
    </row>
    <row r="78" customFormat="false" ht="32.8" hidden="false" customHeight="false" outlineLevel="0" collapsed="false">
      <c r="A78" s="16" t="s">
        <v>522</v>
      </c>
      <c r="B78" s="16" t="s">
        <v>42</v>
      </c>
      <c r="C78" s="16" t="s">
        <v>498</v>
      </c>
      <c r="D78" s="16" t="s">
        <v>505</v>
      </c>
      <c r="E78" s="16" t="s">
        <v>523</v>
      </c>
      <c r="F78" s="16" t="s">
        <v>501</v>
      </c>
      <c r="G78" s="16" t="s">
        <v>524</v>
      </c>
      <c r="H78" s="16" t="s">
        <v>54</v>
      </c>
      <c r="I78" s="16" t="s">
        <v>34</v>
      </c>
      <c r="J78" s="16" t="s">
        <v>414</v>
      </c>
      <c r="K78" s="16" t="s">
        <v>415</v>
      </c>
      <c r="L78" s="16" t="s">
        <v>272</v>
      </c>
      <c r="M78" s="16" t="s">
        <v>100</v>
      </c>
      <c r="N78" s="16" t="s">
        <v>525</v>
      </c>
      <c r="O78" s="17" t="s">
        <v>92</v>
      </c>
      <c r="P78" s="18" t="s">
        <v>93</v>
      </c>
      <c r="Q78" s="18"/>
      <c r="R78" s="18"/>
    </row>
    <row r="79" customFormat="false" ht="32.8" hidden="false" customHeight="false" outlineLevel="0" collapsed="false">
      <c r="A79" s="16" t="s">
        <v>526</v>
      </c>
      <c r="B79" s="16" t="s">
        <v>42</v>
      </c>
      <c r="C79" s="16" t="s">
        <v>498</v>
      </c>
      <c r="D79" s="16" t="s">
        <v>505</v>
      </c>
      <c r="E79" s="16" t="s">
        <v>527</v>
      </c>
      <c r="F79" s="16" t="s">
        <v>501</v>
      </c>
      <c r="G79" s="16" t="s">
        <v>528</v>
      </c>
      <c r="H79" s="16" t="s">
        <v>54</v>
      </c>
      <c r="I79" s="16" t="s">
        <v>33</v>
      </c>
      <c r="J79" s="16" t="s">
        <v>414</v>
      </c>
      <c r="K79" s="16" t="s">
        <v>415</v>
      </c>
      <c r="L79" s="16" t="s">
        <v>272</v>
      </c>
      <c r="M79" s="16" t="s">
        <v>100</v>
      </c>
      <c r="N79" s="16" t="s">
        <v>529</v>
      </c>
      <c r="O79" s="17" t="s">
        <v>92</v>
      </c>
      <c r="P79" s="18" t="s">
        <v>93</v>
      </c>
      <c r="Q79" s="18"/>
      <c r="R79" s="18"/>
    </row>
    <row r="80" customFormat="false" ht="32.8" hidden="false" customHeight="false" outlineLevel="0" collapsed="false">
      <c r="A80" s="16" t="s">
        <v>530</v>
      </c>
      <c r="B80" s="16" t="s">
        <v>42</v>
      </c>
      <c r="C80" s="16" t="s">
        <v>498</v>
      </c>
      <c r="D80" s="16" t="s">
        <v>505</v>
      </c>
      <c r="E80" s="16" t="s">
        <v>531</v>
      </c>
      <c r="F80" s="16" t="s">
        <v>501</v>
      </c>
      <c r="G80" s="16" t="s">
        <v>532</v>
      </c>
      <c r="H80" s="16" t="s">
        <v>54</v>
      </c>
      <c r="I80" s="16" t="s">
        <v>33</v>
      </c>
      <c r="J80" s="16" t="s">
        <v>414</v>
      </c>
      <c r="K80" s="16" t="s">
        <v>415</v>
      </c>
      <c r="L80" s="16" t="s">
        <v>533</v>
      </c>
      <c r="M80" s="16" t="s">
        <v>100</v>
      </c>
      <c r="N80" s="16" t="s">
        <v>534</v>
      </c>
      <c r="O80" s="17" t="s">
        <v>92</v>
      </c>
      <c r="P80" s="18" t="s">
        <v>93</v>
      </c>
      <c r="Q80" s="18"/>
      <c r="R80" s="18"/>
    </row>
    <row r="81" customFormat="false" ht="32.8" hidden="false" customHeight="false" outlineLevel="0" collapsed="false">
      <c r="A81" s="16" t="s">
        <v>535</v>
      </c>
      <c r="B81" s="16" t="s">
        <v>42</v>
      </c>
      <c r="C81" s="16" t="s">
        <v>498</v>
      </c>
      <c r="D81" s="16" t="s">
        <v>505</v>
      </c>
      <c r="E81" s="16" t="s">
        <v>536</v>
      </c>
      <c r="F81" s="16" t="s">
        <v>501</v>
      </c>
      <c r="G81" s="16" t="s">
        <v>537</v>
      </c>
      <c r="H81" s="16" t="s">
        <v>54</v>
      </c>
      <c r="I81" s="16" t="s">
        <v>34</v>
      </c>
      <c r="J81" s="16" t="s">
        <v>414</v>
      </c>
      <c r="K81" s="16" t="s">
        <v>426</v>
      </c>
      <c r="L81" s="16" t="s">
        <v>272</v>
      </c>
      <c r="M81" s="16" t="s">
        <v>100</v>
      </c>
      <c r="N81" s="16" t="s">
        <v>538</v>
      </c>
      <c r="O81" s="17" t="s">
        <v>92</v>
      </c>
      <c r="P81" s="18" t="s">
        <v>93</v>
      </c>
      <c r="Q81" s="18"/>
      <c r="R81" s="18"/>
    </row>
    <row r="82" customFormat="false" ht="32.8" hidden="false" customHeight="false" outlineLevel="0" collapsed="false">
      <c r="A82" s="16" t="s">
        <v>539</v>
      </c>
      <c r="B82" s="16" t="s">
        <v>42</v>
      </c>
      <c r="C82" s="16" t="s">
        <v>540</v>
      </c>
      <c r="D82" s="16" t="s">
        <v>541</v>
      </c>
      <c r="E82" s="16" t="s">
        <v>542</v>
      </c>
      <c r="F82" s="16" t="s">
        <v>543</v>
      </c>
      <c r="G82" s="16" t="s">
        <v>544</v>
      </c>
      <c r="H82" s="16" t="s">
        <v>54</v>
      </c>
      <c r="I82" s="16" t="s">
        <v>32</v>
      </c>
      <c r="J82" s="16" t="s">
        <v>414</v>
      </c>
      <c r="K82" s="16" t="s">
        <v>545</v>
      </c>
      <c r="L82" s="16" t="s">
        <v>546</v>
      </c>
      <c r="M82" s="16" t="s">
        <v>100</v>
      </c>
      <c r="N82" s="16" t="s">
        <v>547</v>
      </c>
      <c r="O82" s="17" t="s">
        <v>92</v>
      </c>
      <c r="P82" s="18" t="s">
        <v>93</v>
      </c>
      <c r="Q82" s="18"/>
      <c r="R82" s="18"/>
    </row>
    <row r="83" customFormat="false" ht="32.8" hidden="false" customHeight="false" outlineLevel="0" collapsed="false">
      <c r="A83" s="16" t="s">
        <v>548</v>
      </c>
      <c r="B83" s="16" t="s">
        <v>42</v>
      </c>
      <c r="C83" s="16" t="s">
        <v>540</v>
      </c>
      <c r="D83" s="16" t="s">
        <v>549</v>
      </c>
      <c r="E83" s="16" t="s">
        <v>550</v>
      </c>
      <c r="F83" s="16" t="s">
        <v>543</v>
      </c>
      <c r="G83" s="16" t="s">
        <v>551</v>
      </c>
      <c r="H83" s="16" t="s">
        <v>54</v>
      </c>
      <c r="I83" s="16" t="s">
        <v>31</v>
      </c>
      <c r="J83" s="16" t="s">
        <v>414</v>
      </c>
      <c r="K83" s="16" t="s">
        <v>552</v>
      </c>
      <c r="L83" s="16" t="s">
        <v>553</v>
      </c>
      <c r="M83" s="16" t="s">
        <v>100</v>
      </c>
      <c r="N83" s="16" t="s">
        <v>554</v>
      </c>
      <c r="O83" s="17" t="s">
        <v>92</v>
      </c>
      <c r="P83" s="18" t="s">
        <v>93</v>
      </c>
      <c r="Q83" s="18"/>
      <c r="R83" s="18"/>
    </row>
    <row r="84" customFormat="false" ht="32.8" hidden="false" customHeight="false" outlineLevel="0" collapsed="false">
      <c r="A84" s="16" t="s">
        <v>555</v>
      </c>
      <c r="B84" s="16" t="s">
        <v>42</v>
      </c>
      <c r="C84" s="16" t="s">
        <v>540</v>
      </c>
      <c r="D84" s="16" t="s">
        <v>549</v>
      </c>
      <c r="E84" s="16" t="s">
        <v>556</v>
      </c>
      <c r="F84" s="16" t="s">
        <v>543</v>
      </c>
      <c r="G84" s="16" t="s">
        <v>557</v>
      </c>
      <c r="H84" s="16" t="s">
        <v>56</v>
      </c>
      <c r="I84" s="16" t="s">
        <v>33</v>
      </c>
      <c r="J84" s="16" t="s">
        <v>414</v>
      </c>
      <c r="K84" s="16" t="s">
        <v>558</v>
      </c>
      <c r="L84" s="16" t="s">
        <v>553</v>
      </c>
      <c r="M84" s="16" t="s">
        <v>100</v>
      </c>
      <c r="N84" s="16" t="s">
        <v>559</v>
      </c>
      <c r="O84" s="17" t="s">
        <v>92</v>
      </c>
      <c r="P84" s="18" t="s">
        <v>93</v>
      </c>
      <c r="Q84" s="18"/>
      <c r="R84" s="18"/>
    </row>
    <row r="85" customFormat="false" ht="32.8" hidden="false" customHeight="false" outlineLevel="0" collapsed="false">
      <c r="A85" s="16" t="s">
        <v>560</v>
      </c>
      <c r="B85" s="16" t="s">
        <v>42</v>
      </c>
      <c r="C85" s="16" t="s">
        <v>540</v>
      </c>
      <c r="D85" s="16" t="s">
        <v>549</v>
      </c>
      <c r="E85" s="16" t="s">
        <v>561</v>
      </c>
      <c r="F85" s="16" t="s">
        <v>543</v>
      </c>
      <c r="G85" s="16" t="s">
        <v>562</v>
      </c>
      <c r="H85" s="16" t="s">
        <v>56</v>
      </c>
      <c r="I85" s="16" t="s">
        <v>34</v>
      </c>
      <c r="J85" s="16" t="s">
        <v>414</v>
      </c>
      <c r="K85" s="16" t="s">
        <v>558</v>
      </c>
      <c r="L85" s="16" t="s">
        <v>553</v>
      </c>
      <c r="M85" s="16" t="s">
        <v>100</v>
      </c>
      <c r="N85" s="16" t="s">
        <v>563</v>
      </c>
      <c r="O85" s="17" t="s">
        <v>92</v>
      </c>
      <c r="P85" s="18" t="s">
        <v>93</v>
      </c>
      <c r="Q85" s="18"/>
      <c r="R85" s="18"/>
    </row>
    <row r="86" customFormat="false" ht="32.8" hidden="false" customHeight="false" outlineLevel="0" collapsed="false">
      <c r="A86" s="16" t="s">
        <v>564</v>
      </c>
      <c r="B86" s="16" t="s">
        <v>42</v>
      </c>
      <c r="C86" s="16" t="s">
        <v>540</v>
      </c>
      <c r="D86" s="16" t="s">
        <v>565</v>
      </c>
      <c r="E86" s="16" t="s">
        <v>566</v>
      </c>
      <c r="F86" s="16" t="s">
        <v>543</v>
      </c>
      <c r="G86" s="16" t="s">
        <v>567</v>
      </c>
      <c r="H86" s="16" t="s">
        <v>56</v>
      </c>
      <c r="I86" s="16" t="s">
        <v>34</v>
      </c>
      <c r="J86" s="16" t="s">
        <v>414</v>
      </c>
      <c r="K86" s="16" t="s">
        <v>568</v>
      </c>
      <c r="L86" s="16" t="s">
        <v>569</v>
      </c>
      <c r="M86" s="16" t="s">
        <v>100</v>
      </c>
      <c r="N86" s="16" t="s">
        <v>570</v>
      </c>
      <c r="O86" s="17" t="s">
        <v>92</v>
      </c>
      <c r="P86" s="18" t="s">
        <v>93</v>
      </c>
      <c r="Q86" s="18"/>
      <c r="R86" s="18"/>
    </row>
    <row r="87" customFormat="false" ht="32.8" hidden="false" customHeight="false" outlineLevel="0" collapsed="false">
      <c r="A87" s="16" t="s">
        <v>571</v>
      </c>
      <c r="B87" s="16" t="s">
        <v>42</v>
      </c>
      <c r="C87" s="16" t="s">
        <v>572</v>
      </c>
      <c r="D87" s="16" t="s">
        <v>573</v>
      </c>
      <c r="E87" s="16" t="s">
        <v>574</v>
      </c>
      <c r="F87" s="16" t="s">
        <v>575</v>
      </c>
      <c r="G87" s="16" t="s">
        <v>576</v>
      </c>
      <c r="H87" s="16" t="s">
        <v>54</v>
      </c>
      <c r="I87" s="16" t="s">
        <v>32</v>
      </c>
      <c r="J87" s="16" t="s">
        <v>414</v>
      </c>
      <c r="K87" s="16" t="s">
        <v>577</v>
      </c>
      <c r="L87" s="16" t="s">
        <v>553</v>
      </c>
      <c r="M87" s="16" t="s">
        <v>100</v>
      </c>
      <c r="N87" s="16" t="s">
        <v>578</v>
      </c>
      <c r="O87" s="17" t="s">
        <v>92</v>
      </c>
      <c r="P87" s="18" t="s">
        <v>93</v>
      </c>
      <c r="Q87" s="18"/>
      <c r="R87" s="18"/>
    </row>
    <row r="88" customFormat="false" ht="32.8" hidden="false" customHeight="false" outlineLevel="0" collapsed="false">
      <c r="A88" s="16" t="s">
        <v>579</v>
      </c>
      <c r="B88" s="16" t="s">
        <v>42</v>
      </c>
      <c r="C88" s="16" t="s">
        <v>572</v>
      </c>
      <c r="D88" s="16" t="s">
        <v>580</v>
      </c>
      <c r="E88" s="16" t="s">
        <v>581</v>
      </c>
      <c r="F88" s="16" t="s">
        <v>575</v>
      </c>
      <c r="G88" s="16" t="s">
        <v>582</v>
      </c>
      <c r="H88" s="16" t="s">
        <v>54</v>
      </c>
      <c r="I88" s="16" t="s">
        <v>31</v>
      </c>
      <c r="J88" s="16" t="s">
        <v>414</v>
      </c>
      <c r="K88" s="16" t="s">
        <v>583</v>
      </c>
      <c r="L88" s="16" t="s">
        <v>553</v>
      </c>
      <c r="M88" s="16" t="s">
        <v>100</v>
      </c>
      <c r="N88" s="16" t="s">
        <v>584</v>
      </c>
      <c r="O88" s="17" t="s">
        <v>92</v>
      </c>
      <c r="P88" s="18" t="s">
        <v>93</v>
      </c>
      <c r="Q88" s="18"/>
      <c r="R88" s="18"/>
    </row>
    <row r="89" customFormat="false" ht="32.8" hidden="false" customHeight="false" outlineLevel="0" collapsed="false">
      <c r="A89" s="16" t="s">
        <v>585</v>
      </c>
      <c r="B89" s="16" t="s">
        <v>42</v>
      </c>
      <c r="C89" s="16" t="s">
        <v>572</v>
      </c>
      <c r="D89" s="16" t="s">
        <v>580</v>
      </c>
      <c r="E89" s="16" t="s">
        <v>586</v>
      </c>
      <c r="F89" s="16" t="s">
        <v>575</v>
      </c>
      <c r="G89" s="16" t="s">
        <v>587</v>
      </c>
      <c r="H89" s="16" t="s">
        <v>58</v>
      </c>
      <c r="I89" s="16" t="s">
        <v>34</v>
      </c>
      <c r="J89" s="16" t="s">
        <v>414</v>
      </c>
      <c r="K89" s="16" t="s">
        <v>577</v>
      </c>
      <c r="L89" s="16" t="s">
        <v>553</v>
      </c>
      <c r="M89" s="16" t="s">
        <v>100</v>
      </c>
      <c r="N89" s="16" t="s">
        <v>588</v>
      </c>
      <c r="O89" s="17" t="s">
        <v>92</v>
      </c>
      <c r="P89" s="18" t="s">
        <v>93</v>
      </c>
      <c r="Q89" s="18"/>
      <c r="R89" s="18"/>
    </row>
    <row r="90" customFormat="false" ht="32.8" hidden="false" customHeight="false" outlineLevel="0" collapsed="false">
      <c r="A90" s="16" t="s">
        <v>589</v>
      </c>
      <c r="B90" s="16" t="s">
        <v>42</v>
      </c>
      <c r="C90" s="16" t="s">
        <v>572</v>
      </c>
      <c r="D90" s="16" t="s">
        <v>590</v>
      </c>
      <c r="E90" s="16" t="s">
        <v>591</v>
      </c>
      <c r="F90" s="16" t="s">
        <v>575</v>
      </c>
      <c r="G90" s="16" t="s">
        <v>592</v>
      </c>
      <c r="H90" s="16" t="s">
        <v>54</v>
      </c>
      <c r="I90" s="16" t="s">
        <v>32</v>
      </c>
      <c r="J90" s="16" t="s">
        <v>414</v>
      </c>
      <c r="K90" s="16" t="s">
        <v>577</v>
      </c>
      <c r="L90" s="16" t="s">
        <v>593</v>
      </c>
      <c r="M90" s="16" t="s">
        <v>100</v>
      </c>
      <c r="N90" s="16" t="s">
        <v>594</v>
      </c>
      <c r="O90" s="17" t="s">
        <v>92</v>
      </c>
      <c r="P90" s="18" t="s">
        <v>93</v>
      </c>
      <c r="Q90" s="18"/>
      <c r="R90" s="18"/>
    </row>
    <row r="91" customFormat="false" ht="32.8" hidden="false" customHeight="false" outlineLevel="0" collapsed="false">
      <c r="A91" s="16" t="s">
        <v>595</v>
      </c>
      <c r="B91" s="16" t="s">
        <v>42</v>
      </c>
      <c r="C91" s="16" t="s">
        <v>572</v>
      </c>
      <c r="D91" s="16" t="s">
        <v>590</v>
      </c>
      <c r="E91" s="16" t="s">
        <v>596</v>
      </c>
      <c r="F91" s="16" t="s">
        <v>575</v>
      </c>
      <c r="G91" s="16" t="s">
        <v>597</v>
      </c>
      <c r="H91" s="16" t="s">
        <v>54</v>
      </c>
      <c r="I91" s="16" t="s">
        <v>32</v>
      </c>
      <c r="J91" s="16" t="s">
        <v>414</v>
      </c>
      <c r="K91" s="16" t="s">
        <v>577</v>
      </c>
      <c r="L91" s="16" t="s">
        <v>593</v>
      </c>
      <c r="M91" s="16" t="s">
        <v>100</v>
      </c>
      <c r="N91" s="16" t="s">
        <v>598</v>
      </c>
      <c r="O91" s="17" t="s">
        <v>92</v>
      </c>
      <c r="P91" s="18" t="s">
        <v>93</v>
      </c>
      <c r="Q91" s="18"/>
      <c r="R91" s="18"/>
    </row>
    <row r="92" customFormat="false" ht="32.8" hidden="false" customHeight="false" outlineLevel="0" collapsed="false">
      <c r="A92" s="16" t="s">
        <v>599</v>
      </c>
      <c r="B92" s="16" t="s">
        <v>42</v>
      </c>
      <c r="C92" s="16" t="s">
        <v>572</v>
      </c>
      <c r="D92" s="16" t="s">
        <v>590</v>
      </c>
      <c r="E92" s="16" t="s">
        <v>600</v>
      </c>
      <c r="F92" s="16" t="s">
        <v>575</v>
      </c>
      <c r="G92" s="16" t="s">
        <v>601</v>
      </c>
      <c r="H92" s="16" t="s">
        <v>57</v>
      </c>
      <c r="I92" s="16" t="s">
        <v>33</v>
      </c>
      <c r="J92" s="16" t="s">
        <v>414</v>
      </c>
      <c r="K92" s="16" t="s">
        <v>577</v>
      </c>
      <c r="L92" s="16" t="s">
        <v>593</v>
      </c>
      <c r="M92" s="16" t="s">
        <v>100</v>
      </c>
      <c r="N92" s="16" t="s">
        <v>602</v>
      </c>
      <c r="O92" s="17" t="s">
        <v>92</v>
      </c>
      <c r="P92" s="18" t="s">
        <v>93</v>
      </c>
      <c r="Q92" s="18"/>
      <c r="R92" s="18"/>
    </row>
    <row r="93" customFormat="false" ht="32.8" hidden="false" customHeight="false" outlineLevel="0" collapsed="false">
      <c r="A93" s="16" t="s">
        <v>603</v>
      </c>
      <c r="B93" s="16" t="s">
        <v>42</v>
      </c>
      <c r="C93" s="16" t="s">
        <v>572</v>
      </c>
      <c r="D93" s="16" t="s">
        <v>590</v>
      </c>
      <c r="E93" s="16" t="s">
        <v>604</v>
      </c>
      <c r="F93" s="16" t="s">
        <v>575</v>
      </c>
      <c r="G93" s="16" t="s">
        <v>605</v>
      </c>
      <c r="H93" s="16" t="s">
        <v>54</v>
      </c>
      <c r="I93" s="16" t="s">
        <v>33</v>
      </c>
      <c r="J93" s="16" t="s">
        <v>414</v>
      </c>
      <c r="K93" s="16" t="s">
        <v>577</v>
      </c>
      <c r="L93" s="16" t="s">
        <v>593</v>
      </c>
      <c r="M93" s="16" t="s">
        <v>100</v>
      </c>
      <c r="N93" s="16" t="s">
        <v>606</v>
      </c>
      <c r="O93" s="17" t="s">
        <v>92</v>
      </c>
      <c r="P93" s="18" t="s">
        <v>93</v>
      </c>
      <c r="Q93" s="18"/>
      <c r="R93" s="18"/>
    </row>
    <row r="94" customFormat="false" ht="32.8" hidden="false" customHeight="false" outlineLevel="0" collapsed="false">
      <c r="A94" s="16" t="s">
        <v>607</v>
      </c>
      <c r="B94" s="16" t="s">
        <v>42</v>
      </c>
      <c r="C94" s="16" t="s">
        <v>572</v>
      </c>
      <c r="D94" s="16" t="s">
        <v>590</v>
      </c>
      <c r="E94" s="16" t="s">
        <v>608</v>
      </c>
      <c r="F94" s="16" t="s">
        <v>575</v>
      </c>
      <c r="G94" s="16" t="s">
        <v>609</v>
      </c>
      <c r="H94" s="16" t="s">
        <v>55</v>
      </c>
      <c r="I94" s="16" t="s">
        <v>31</v>
      </c>
      <c r="J94" s="16" t="s">
        <v>414</v>
      </c>
      <c r="K94" s="16" t="s">
        <v>577</v>
      </c>
      <c r="L94" s="16" t="s">
        <v>593</v>
      </c>
      <c r="M94" s="16" t="s">
        <v>100</v>
      </c>
      <c r="N94" s="16" t="s">
        <v>610</v>
      </c>
      <c r="O94" s="17" t="s">
        <v>92</v>
      </c>
      <c r="P94" s="18" t="s">
        <v>93</v>
      </c>
      <c r="Q94" s="18"/>
      <c r="R94" s="18"/>
    </row>
    <row r="95" customFormat="false" ht="32.8" hidden="false" customHeight="false" outlineLevel="0" collapsed="false">
      <c r="A95" s="16" t="s">
        <v>611</v>
      </c>
      <c r="B95" s="16" t="s">
        <v>42</v>
      </c>
      <c r="C95" s="16" t="s">
        <v>572</v>
      </c>
      <c r="D95" s="16" t="s">
        <v>590</v>
      </c>
      <c r="E95" s="16" t="s">
        <v>612</v>
      </c>
      <c r="F95" s="16" t="s">
        <v>575</v>
      </c>
      <c r="G95" s="16" t="s">
        <v>613</v>
      </c>
      <c r="H95" s="16" t="s">
        <v>54</v>
      </c>
      <c r="I95" s="16" t="s">
        <v>32</v>
      </c>
      <c r="J95" s="16" t="s">
        <v>414</v>
      </c>
      <c r="K95" s="16" t="s">
        <v>577</v>
      </c>
      <c r="L95" s="16" t="s">
        <v>593</v>
      </c>
      <c r="M95" s="16" t="s">
        <v>100</v>
      </c>
      <c r="N95" s="16" t="s">
        <v>614</v>
      </c>
      <c r="O95" s="17" t="s">
        <v>92</v>
      </c>
      <c r="P95" s="18" t="s">
        <v>93</v>
      </c>
      <c r="Q95" s="18"/>
      <c r="R95" s="18"/>
    </row>
    <row r="96" customFormat="false" ht="32.8" hidden="false" customHeight="false" outlineLevel="0" collapsed="false">
      <c r="A96" s="16" t="s">
        <v>615</v>
      </c>
      <c r="B96" s="16" t="s">
        <v>42</v>
      </c>
      <c r="C96" s="16" t="s">
        <v>572</v>
      </c>
      <c r="D96" s="16" t="s">
        <v>590</v>
      </c>
      <c r="E96" s="16" t="s">
        <v>616</v>
      </c>
      <c r="F96" s="16" t="s">
        <v>575</v>
      </c>
      <c r="G96" s="16" t="s">
        <v>617</v>
      </c>
      <c r="H96" s="16" t="s">
        <v>55</v>
      </c>
      <c r="I96" s="16" t="s">
        <v>32</v>
      </c>
      <c r="J96" s="16" t="s">
        <v>414</v>
      </c>
      <c r="K96" s="16" t="s">
        <v>577</v>
      </c>
      <c r="L96" s="16" t="s">
        <v>593</v>
      </c>
      <c r="M96" s="16" t="s">
        <v>100</v>
      </c>
      <c r="N96" s="16" t="s">
        <v>618</v>
      </c>
      <c r="O96" s="17" t="s">
        <v>92</v>
      </c>
      <c r="P96" s="18" t="s">
        <v>93</v>
      </c>
      <c r="Q96" s="18"/>
      <c r="R96" s="18"/>
    </row>
    <row r="97" customFormat="false" ht="32.8" hidden="false" customHeight="false" outlineLevel="0" collapsed="false">
      <c r="A97" s="16" t="s">
        <v>619</v>
      </c>
      <c r="B97" s="16" t="s">
        <v>42</v>
      </c>
      <c r="C97" s="16" t="s">
        <v>572</v>
      </c>
      <c r="D97" s="16" t="s">
        <v>590</v>
      </c>
      <c r="E97" s="16" t="s">
        <v>620</v>
      </c>
      <c r="F97" s="16" t="s">
        <v>575</v>
      </c>
      <c r="G97" s="16" t="s">
        <v>621</v>
      </c>
      <c r="H97" s="16" t="s">
        <v>54</v>
      </c>
      <c r="I97" s="16" t="s">
        <v>32</v>
      </c>
      <c r="J97" s="16" t="s">
        <v>414</v>
      </c>
      <c r="K97" s="16" t="s">
        <v>558</v>
      </c>
      <c r="L97" s="16" t="s">
        <v>553</v>
      </c>
      <c r="M97" s="16" t="s">
        <v>100</v>
      </c>
      <c r="N97" s="16" t="s">
        <v>622</v>
      </c>
      <c r="O97" s="17" t="s">
        <v>92</v>
      </c>
      <c r="P97" s="18" t="s">
        <v>93</v>
      </c>
      <c r="Q97" s="18"/>
      <c r="R97" s="18"/>
    </row>
    <row r="98" customFormat="false" ht="32.8" hidden="false" customHeight="false" outlineLevel="0" collapsed="false">
      <c r="A98" s="16" t="s">
        <v>623</v>
      </c>
      <c r="B98" s="16" t="s">
        <v>42</v>
      </c>
      <c r="C98" s="16" t="s">
        <v>572</v>
      </c>
      <c r="D98" s="16" t="s">
        <v>624</v>
      </c>
      <c r="E98" s="16" t="s">
        <v>625</v>
      </c>
      <c r="F98" s="16" t="s">
        <v>575</v>
      </c>
      <c r="G98" s="16" t="s">
        <v>626</v>
      </c>
      <c r="H98" s="16" t="s">
        <v>57</v>
      </c>
      <c r="I98" s="16" t="s">
        <v>33</v>
      </c>
      <c r="J98" s="16" t="s">
        <v>414</v>
      </c>
      <c r="K98" s="16" t="s">
        <v>577</v>
      </c>
      <c r="L98" s="16" t="s">
        <v>593</v>
      </c>
      <c r="M98" s="16" t="s">
        <v>100</v>
      </c>
      <c r="N98" s="16" t="s">
        <v>627</v>
      </c>
      <c r="O98" s="17" t="s">
        <v>92</v>
      </c>
      <c r="P98" s="18" t="s">
        <v>93</v>
      </c>
      <c r="Q98" s="18"/>
      <c r="R98" s="18"/>
    </row>
    <row r="99" customFormat="false" ht="32.8" hidden="false" customHeight="false" outlineLevel="0" collapsed="false">
      <c r="A99" s="16" t="s">
        <v>628</v>
      </c>
      <c r="B99" s="16" t="s">
        <v>42</v>
      </c>
      <c r="C99" s="16" t="s">
        <v>572</v>
      </c>
      <c r="D99" s="16" t="s">
        <v>624</v>
      </c>
      <c r="E99" s="16" t="s">
        <v>629</v>
      </c>
      <c r="F99" s="16" t="s">
        <v>575</v>
      </c>
      <c r="G99" s="16" t="s">
        <v>630</v>
      </c>
      <c r="H99" s="16" t="s">
        <v>54</v>
      </c>
      <c r="I99" s="16" t="s">
        <v>33</v>
      </c>
      <c r="J99" s="16" t="s">
        <v>414</v>
      </c>
      <c r="K99" s="16" t="s">
        <v>577</v>
      </c>
      <c r="L99" s="16" t="s">
        <v>593</v>
      </c>
      <c r="M99" s="16" t="s">
        <v>100</v>
      </c>
      <c r="N99" s="16" t="s">
        <v>631</v>
      </c>
      <c r="O99" s="17" t="s">
        <v>92</v>
      </c>
      <c r="P99" s="18" t="s">
        <v>93</v>
      </c>
      <c r="Q99" s="18"/>
      <c r="R99" s="18"/>
    </row>
    <row r="100" customFormat="false" ht="32.8" hidden="false" customHeight="false" outlineLevel="0" collapsed="false">
      <c r="A100" s="16" t="s">
        <v>632</v>
      </c>
      <c r="B100" s="16" t="s">
        <v>42</v>
      </c>
      <c r="C100" s="16" t="s">
        <v>572</v>
      </c>
      <c r="D100" s="16" t="s">
        <v>624</v>
      </c>
      <c r="E100" s="16" t="s">
        <v>633</v>
      </c>
      <c r="F100" s="16" t="s">
        <v>575</v>
      </c>
      <c r="G100" s="16" t="s">
        <v>634</v>
      </c>
      <c r="H100" s="16" t="s">
        <v>54</v>
      </c>
      <c r="I100" s="16" t="s">
        <v>33</v>
      </c>
      <c r="J100" s="16" t="s">
        <v>414</v>
      </c>
      <c r="K100" s="16" t="s">
        <v>577</v>
      </c>
      <c r="L100" s="16" t="s">
        <v>593</v>
      </c>
      <c r="M100" s="16" t="s">
        <v>100</v>
      </c>
      <c r="N100" s="16" t="s">
        <v>635</v>
      </c>
      <c r="O100" s="17" t="s">
        <v>92</v>
      </c>
      <c r="P100" s="18" t="s">
        <v>93</v>
      </c>
      <c r="Q100" s="18"/>
      <c r="R100" s="18"/>
    </row>
    <row r="101" customFormat="false" ht="32.8" hidden="false" customHeight="false" outlineLevel="0" collapsed="false">
      <c r="A101" s="16" t="s">
        <v>636</v>
      </c>
      <c r="B101" s="16" t="s">
        <v>42</v>
      </c>
      <c r="C101" s="16" t="s">
        <v>572</v>
      </c>
      <c r="D101" s="16" t="s">
        <v>637</v>
      </c>
      <c r="E101" s="16" t="s">
        <v>638</v>
      </c>
      <c r="F101" s="16" t="s">
        <v>575</v>
      </c>
      <c r="G101" s="16" t="s">
        <v>639</v>
      </c>
      <c r="H101" s="16" t="s">
        <v>54</v>
      </c>
      <c r="I101" s="16" t="s">
        <v>33</v>
      </c>
      <c r="J101" s="16" t="s">
        <v>414</v>
      </c>
      <c r="K101" s="16" t="s">
        <v>179</v>
      </c>
      <c r="L101" s="16" t="s">
        <v>180</v>
      </c>
      <c r="M101" s="16" t="s">
        <v>100</v>
      </c>
      <c r="N101" s="16" t="s">
        <v>640</v>
      </c>
      <c r="O101" s="17" t="s">
        <v>92</v>
      </c>
      <c r="P101" s="18" t="s">
        <v>93</v>
      </c>
      <c r="Q101" s="18"/>
      <c r="R101" s="18"/>
    </row>
    <row r="102" customFormat="false" ht="32.8" hidden="false" customHeight="false" outlineLevel="0" collapsed="false">
      <c r="A102" s="16" t="s">
        <v>641</v>
      </c>
      <c r="B102" s="16" t="s">
        <v>42</v>
      </c>
      <c r="C102" s="16" t="s">
        <v>572</v>
      </c>
      <c r="D102" s="16" t="s">
        <v>637</v>
      </c>
      <c r="E102" s="16" t="s">
        <v>642</v>
      </c>
      <c r="F102" s="16" t="s">
        <v>575</v>
      </c>
      <c r="G102" s="16" t="s">
        <v>643</v>
      </c>
      <c r="H102" s="16" t="s">
        <v>54</v>
      </c>
      <c r="I102" s="16" t="s">
        <v>33</v>
      </c>
      <c r="J102" s="16" t="s">
        <v>414</v>
      </c>
      <c r="K102" s="16" t="s">
        <v>179</v>
      </c>
      <c r="L102" s="16" t="s">
        <v>180</v>
      </c>
      <c r="M102" s="16" t="s">
        <v>100</v>
      </c>
      <c r="N102" s="16" t="s">
        <v>644</v>
      </c>
      <c r="O102" s="17" t="s">
        <v>92</v>
      </c>
      <c r="P102" s="18" t="s">
        <v>93</v>
      </c>
      <c r="Q102" s="18"/>
      <c r="R102" s="18"/>
    </row>
    <row r="103" customFormat="false" ht="32.8" hidden="false" customHeight="false" outlineLevel="0" collapsed="false">
      <c r="A103" s="16" t="s">
        <v>645</v>
      </c>
      <c r="B103" s="16" t="s">
        <v>42</v>
      </c>
      <c r="C103" s="16" t="s">
        <v>572</v>
      </c>
      <c r="D103" s="16" t="s">
        <v>646</v>
      </c>
      <c r="E103" s="16" t="s">
        <v>647</v>
      </c>
      <c r="F103" s="16" t="s">
        <v>575</v>
      </c>
      <c r="G103" s="16" t="s">
        <v>648</v>
      </c>
      <c r="H103" s="16" t="s">
        <v>54</v>
      </c>
      <c r="I103" s="16" t="s">
        <v>32</v>
      </c>
      <c r="J103" s="16" t="s">
        <v>414</v>
      </c>
      <c r="K103" s="16" t="s">
        <v>577</v>
      </c>
      <c r="L103" s="16" t="s">
        <v>553</v>
      </c>
      <c r="M103" s="16" t="s">
        <v>100</v>
      </c>
      <c r="N103" s="16" t="s">
        <v>649</v>
      </c>
      <c r="O103" s="17" t="s">
        <v>92</v>
      </c>
      <c r="P103" s="18" t="s">
        <v>93</v>
      </c>
      <c r="Q103" s="18"/>
      <c r="R103" s="18"/>
    </row>
    <row r="104" customFormat="false" ht="32.8" hidden="false" customHeight="false" outlineLevel="0" collapsed="false">
      <c r="A104" s="16" t="s">
        <v>650</v>
      </c>
      <c r="B104" s="16" t="s">
        <v>42</v>
      </c>
      <c r="C104" s="16" t="s">
        <v>572</v>
      </c>
      <c r="D104" s="16" t="s">
        <v>646</v>
      </c>
      <c r="E104" s="16" t="s">
        <v>651</v>
      </c>
      <c r="F104" s="16" t="s">
        <v>575</v>
      </c>
      <c r="G104" s="16" t="s">
        <v>652</v>
      </c>
      <c r="H104" s="16" t="s">
        <v>54</v>
      </c>
      <c r="I104" s="16" t="s">
        <v>33</v>
      </c>
      <c r="J104" s="16" t="s">
        <v>414</v>
      </c>
      <c r="K104" s="16" t="s">
        <v>577</v>
      </c>
      <c r="L104" s="16" t="s">
        <v>553</v>
      </c>
      <c r="M104" s="16" t="s">
        <v>100</v>
      </c>
      <c r="N104" s="16" t="s">
        <v>653</v>
      </c>
      <c r="O104" s="17" t="s">
        <v>92</v>
      </c>
      <c r="P104" s="18" t="s">
        <v>93</v>
      </c>
      <c r="Q104" s="18"/>
      <c r="R104" s="18"/>
    </row>
    <row r="105" customFormat="false" ht="32.8" hidden="false" customHeight="false" outlineLevel="0" collapsed="false">
      <c r="A105" s="16" t="s">
        <v>654</v>
      </c>
      <c r="B105" s="16" t="s">
        <v>42</v>
      </c>
      <c r="C105" s="16" t="s">
        <v>572</v>
      </c>
      <c r="D105" s="16" t="s">
        <v>646</v>
      </c>
      <c r="E105" s="16" t="s">
        <v>655</v>
      </c>
      <c r="F105" s="16" t="s">
        <v>575</v>
      </c>
      <c r="G105" s="16" t="s">
        <v>656</v>
      </c>
      <c r="H105" s="16" t="s">
        <v>54</v>
      </c>
      <c r="I105" s="16" t="s">
        <v>33</v>
      </c>
      <c r="J105" s="16" t="s">
        <v>414</v>
      </c>
      <c r="K105" s="16" t="s">
        <v>577</v>
      </c>
      <c r="L105" s="16" t="s">
        <v>553</v>
      </c>
      <c r="M105" s="16" t="s">
        <v>100</v>
      </c>
      <c r="N105" s="16" t="s">
        <v>606</v>
      </c>
      <c r="O105" s="17" t="s">
        <v>92</v>
      </c>
      <c r="P105" s="18" t="s">
        <v>93</v>
      </c>
      <c r="Q105" s="18"/>
      <c r="R105" s="18"/>
    </row>
    <row r="106" customFormat="false" ht="22.35" hidden="false" customHeight="false" outlineLevel="0" collapsed="false">
      <c r="A106" s="16" t="s">
        <v>657</v>
      </c>
      <c r="B106" s="16" t="s">
        <v>45</v>
      </c>
      <c r="C106" s="16" t="s">
        <v>658</v>
      </c>
      <c r="D106" s="16" t="s">
        <v>659</v>
      </c>
      <c r="E106" s="16" t="s">
        <v>660</v>
      </c>
      <c r="F106" s="16" t="s">
        <v>661</v>
      </c>
      <c r="G106" s="16" t="s">
        <v>662</v>
      </c>
      <c r="H106" s="16" t="s">
        <v>54</v>
      </c>
      <c r="I106" s="16" t="s">
        <v>32</v>
      </c>
      <c r="J106" s="16" t="s">
        <v>663</v>
      </c>
      <c r="K106" s="16" t="s">
        <v>664</v>
      </c>
      <c r="L106" s="16" t="s">
        <v>272</v>
      </c>
      <c r="M106" s="16" t="s">
        <v>332</v>
      </c>
      <c r="N106" s="16" t="s">
        <v>665</v>
      </c>
      <c r="O106" s="17" t="s">
        <v>92</v>
      </c>
      <c r="P106" s="18" t="s">
        <v>93</v>
      </c>
      <c r="Q106" s="18"/>
      <c r="R106" s="18"/>
    </row>
    <row r="107" customFormat="false" ht="22.35" hidden="false" customHeight="false" outlineLevel="0" collapsed="false">
      <c r="A107" s="16" t="s">
        <v>666</v>
      </c>
      <c r="B107" s="16" t="s">
        <v>45</v>
      </c>
      <c r="C107" s="16" t="s">
        <v>658</v>
      </c>
      <c r="D107" s="16" t="s">
        <v>659</v>
      </c>
      <c r="E107" s="16" t="s">
        <v>667</v>
      </c>
      <c r="F107" s="16" t="s">
        <v>661</v>
      </c>
      <c r="G107" s="16" t="s">
        <v>668</v>
      </c>
      <c r="H107" s="16" t="s">
        <v>54</v>
      </c>
      <c r="I107" s="16" t="s">
        <v>32</v>
      </c>
      <c r="J107" s="16" t="s">
        <v>663</v>
      </c>
      <c r="K107" s="16" t="s">
        <v>343</v>
      </c>
      <c r="L107" s="16" t="s">
        <v>669</v>
      </c>
      <c r="M107" s="16" t="s">
        <v>202</v>
      </c>
      <c r="N107" s="16" t="s">
        <v>670</v>
      </c>
      <c r="O107" s="17" t="s">
        <v>92</v>
      </c>
      <c r="P107" s="18" t="s">
        <v>93</v>
      </c>
      <c r="Q107" s="18"/>
      <c r="R107" s="18"/>
    </row>
    <row r="108" customFormat="false" ht="22.35" hidden="false" customHeight="false" outlineLevel="0" collapsed="false">
      <c r="A108" s="16" t="s">
        <v>671</v>
      </c>
      <c r="B108" s="16" t="s">
        <v>45</v>
      </c>
      <c r="C108" s="16" t="s">
        <v>658</v>
      </c>
      <c r="D108" s="16" t="s">
        <v>659</v>
      </c>
      <c r="E108" s="16" t="s">
        <v>672</v>
      </c>
      <c r="F108" s="16" t="s">
        <v>661</v>
      </c>
      <c r="G108" s="16" t="s">
        <v>673</v>
      </c>
      <c r="H108" s="16" t="s">
        <v>54</v>
      </c>
      <c r="I108" s="16" t="s">
        <v>31</v>
      </c>
      <c r="J108" s="16" t="s">
        <v>663</v>
      </c>
      <c r="K108" s="16" t="s">
        <v>330</v>
      </c>
      <c r="L108" s="16" t="s">
        <v>481</v>
      </c>
      <c r="M108" s="16" t="s">
        <v>332</v>
      </c>
      <c r="N108" s="16" t="s">
        <v>674</v>
      </c>
      <c r="O108" s="17" t="s">
        <v>92</v>
      </c>
      <c r="P108" s="18" t="s">
        <v>93</v>
      </c>
      <c r="Q108" s="18"/>
      <c r="R108" s="18"/>
    </row>
    <row r="109" customFormat="false" ht="22.35" hidden="false" customHeight="false" outlineLevel="0" collapsed="false">
      <c r="A109" s="16" t="s">
        <v>675</v>
      </c>
      <c r="B109" s="16" t="s">
        <v>45</v>
      </c>
      <c r="C109" s="16" t="s">
        <v>658</v>
      </c>
      <c r="D109" s="16" t="s">
        <v>676</v>
      </c>
      <c r="E109" s="16" t="s">
        <v>677</v>
      </c>
      <c r="F109" s="16" t="s">
        <v>661</v>
      </c>
      <c r="G109" s="16" t="s">
        <v>678</v>
      </c>
      <c r="H109" s="16" t="s">
        <v>56</v>
      </c>
      <c r="I109" s="16" t="s">
        <v>31</v>
      </c>
      <c r="J109" s="16" t="s">
        <v>663</v>
      </c>
      <c r="K109" s="16" t="s">
        <v>330</v>
      </c>
      <c r="L109" s="16" t="s">
        <v>481</v>
      </c>
      <c r="M109" s="16" t="s">
        <v>679</v>
      </c>
      <c r="N109" s="16" t="s">
        <v>680</v>
      </c>
      <c r="O109" s="17" t="s">
        <v>92</v>
      </c>
      <c r="P109" s="18" t="s">
        <v>93</v>
      </c>
      <c r="Q109" s="18"/>
      <c r="R109" s="18"/>
    </row>
    <row r="110" customFormat="false" ht="22.35" hidden="false" customHeight="false" outlineLevel="0" collapsed="false">
      <c r="A110" s="16" t="s">
        <v>681</v>
      </c>
      <c r="B110" s="16" t="s">
        <v>45</v>
      </c>
      <c r="C110" s="16" t="s">
        <v>658</v>
      </c>
      <c r="D110" s="16" t="s">
        <v>659</v>
      </c>
      <c r="E110" s="16" t="s">
        <v>682</v>
      </c>
      <c r="F110" s="16" t="s">
        <v>661</v>
      </c>
      <c r="G110" s="16" t="s">
        <v>683</v>
      </c>
      <c r="H110" s="16" t="s">
        <v>54</v>
      </c>
      <c r="I110" s="16" t="s">
        <v>32</v>
      </c>
      <c r="J110" s="16" t="s">
        <v>663</v>
      </c>
      <c r="K110" s="16" t="s">
        <v>577</v>
      </c>
      <c r="L110" s="16" t="s">
        <v>684</v>
      </c>
      <c r="M110" s="16" t="s">
        <v>100</v>
      </c>
      <c r="N110" s="16" t="s">
        <v>685</v>
      </c>
      <c r="O110" s="17" t="s">
        <v>92</v>
      </c>
      <c r="P110" s="18" t="s">
        <v>93</v>
      </c>
      <c r="Q110" s="18"/>
      <c r="R110" s="18"/>
    </row>
    <row r="111" customFormat="false" ht="22.35" hidden="false" customHeight="false" outlineLevel="0" collapsed="false">
      <c r="A111" s="16" t="s">
        <v>686</v>
      </c>
      <c r="B111" s="16" t="s">
        <v>45</v>
      </c>
      <c r="C111" s="16" t="s">
        <v>658</v>
      </c>
      <c r="D111" s="16" t="s">
        <v>687</v>
      </c>
      <c r="E111" s="16" t="s">
        <v>688</v>
      </c>
      <c r="F111" s="16" t="s">
        <v>661</v>
      </c>
      <c r="G111" s="16" t="s">
        <v>689</v>
      </c>
      <c r="H111" s="16" t="s">
        <v>54</v>
      </c>
      <c r="I111" s="16" t="s">
        <v>32</v>
      </c>
      <c r="J111" s="16" t="s">
        <v>663</v>
      </c>
      <c r="K111" s="16" t="s">
        <v>343</v>
      </c>
      <c r="L111" s="16" t="s">
        <v>191</v>
      </c>
      <c r="M111" s="16" t="s">
        <v>202</v>
      </c>
      <c r="N111" s="16" t="s">
        <v>690</v>
      </c>
      <c r="O111" s="17" t="s">
        <v>92</v>
      </c>
      <c r="P111" s="18" t="s">
        <v>93</v>
      </c>
      <c r="Q111" s="18"/>
      <c r="R111" s="18"/>
    </row>
    <row r="112" customFormat="false" ht="22.35" hidden="false" customHeight="false" outlineLevel="0" collapsed="false">
      <c r="A112" s="16" t="s">
        <v>691</v>
      </c>
      <c r="B112" s="16" t="s">
        <v>45</v>
      </c>
      <c r="C112" s="16" t="s">
        <v>658</v>
      </c>
      <c r="D112" s="16" t="s">
        <v>687</v>
      </c>
      <c r="E112" s="16" t="s">
        <v>692</v>
      </c>
      <c r="F112" s="16" t="s">
        <v>661</v>
      </c>
      <c r="G112" s="16" t="s">
        <v>693</v>
      </c>
      <c r="H112" s="16" t="s">
        <v>56</v>
      </c>
      <c r="I112" s="16" t="s">
        <v>32</v>
      </c>
      <c r="J112" s="16" t="s">
        <v>663</v>
      </c>
      <c r="K112" s="16" t="s">
        <v>694</v>
      </c>
      <c r="L112" s="16" t="s">
        <v>191</v>
      </c>
      <c r="M112" s="16" t="s">
        <v>202</v>
      </c>
      <c r="N112" s="16" t="s">
        <v>695</v>
      </c>
      <c r="O112" s="17" t="s">
        <v>92</v>
      </c>
      <c r="P112" s="18" t="s">
        <v>93</v>
      </c>
      <c r="Q112" s="18"/>
      <c r="R112" s="18"/>
    </row>
    <row r="113" customFormat="false" ht="22.35" hidden="false" customHeight="false" outlineLevel="0" collapsed="false">
      <c r="A113" s="16" t="s">
        <v>696</v>
      </c>
      <c r="B113" s="16" t="s">
        <v>45</v>
      </c>
      <c r="C113" s="16" t="s">
        <v>658</v>
      </c>
      <c r="D113" s="16" t="s">
        <v>687</v>
      </c>
      <c r="E113" s="16" t="s">
        <v>697</v>
      </c>
      <c r="F113" s="16" t="s">
        <v>661</v>
      </c>
      <c r="G113" s="16" t="s">
        <v>698</v>
      </c>
      <c r="H113" s="16" t="s">
        <v>55</v>
      </c>
      <c r="I113" s="16" t="s">
        <v>31</v>
      </c>
      <c r="J113" s="16" t="s">
        <v>663</v>
      </c>
      <c r="K113" s="16" t="s">
        <v>354</v>
      </c>
      <c r="L113" s="16" t="s">
        <v>355</v>
      </c>
      <c r="M113" s="16" t="s">
        <v>202</v>
      </c>
      <c r="N113" s="16" t="s">
        <v>699</v>
      </c>
      <c r="O113" s="17" t="s">
        <v>92</v>
      </c>
      <c r="P113" s="18" t="s">
        <v>93</v>
      </c>
      <c r="Q113" s="18"/>
      <c r="R113" s="18"/>
    </row>
    <row r="114" customFormat="false" ht="22.35" hidden="false" customHeight="false" outlineLevel="0" collapsed="false">
      <c r="A114" s="16" t="s">
        <v>700</v>
      </c>
      <c r="B114" s="16" t="s">
        <v>45</v>
      </c>
      <c r="C114" s="16" t="s">
        <v>658</v>
      </c>
      <c r="D114" s="16" t="s">
        <v>701</v>
      </c>
      <c r="E114" s="16" t="s">
        <v>702</v>
      </c>
      <c r="F114" s="16" t="s">
        <v>661</v>
      </c>
      <c r="G114" s="16" t="s">
        <v>703</v>
      </c>
      <c r="H114" s="16" t="s">
        <v>54</v>
      </c>
      <c r="I114" s="16" t="s">
        <v>33</v>
      </c>
      <c r="J114" s="16" t="s">
        <v>663</v>
      </c>
      <c r="K114" s="16" t="s">
        <v>98</v>
      </c>
      <c r="L114" s="16" t="s">
        <v>147</v>
      </c>
      <c r="M114" s="16" t="s">
        <v>704</v>
      </c>
      <c r="N114" s="16" t="s">
        <v>705</v>
      </c>
      <c r="O114" s="17" t="s">
        <v>92</v>
      </c>
      <c r="P114" s="18" t="s">
        <v>93</v>
      </c>
      <c r="Q114" s="18"/>
      <c r="R114" s="18"/>
    </row>
    <row r="115" customFormat="false" ht="22.35" hidden="false" customHeight="false" outlineLevel="0" collapsed="false">
      <c r="A115" s="16" t="s">
        <v>706</v>
      </c>
      <c r="B115" s="16" t="s">
        <v>45</v>
      </c>
      <c r="C115" s="16" t="s">
        <v>658</v>
      </c>
      <c r="D115" s="16" t="s">
        <v>687</v>
      </c>
      <c r="E115" s="16" t="s">
        <v>707</v>
      </c>
      <c r="F115" s="16" t="s">
        <v>661</v>
      </c>
      <c r="G115" s="16" t="s">
        <v>708</v>
      </c>
      <c r="H115" s="16" t="s">
        <v>54</v>
      </c>
      <c r="I115" s="16" t="s">
        <v>32</v>
      </c>
      <c r="J115" s="16" t="s">
        <v>663</v>
      </c>
      <c r="K115" s="16" t="s">
        <v>343</v>
      </c>
      <c r="L115" s="16" t="s">
        <v>191</v>
      </c>
      <c r="M115" s="16" t="s">
        <v>202</v>
      </c>
      <c r="N115" s="16" t="s">
        <v>709</v>
      </c>
      <c r="O115" s="17" t="s">
        <v>92</v>
      </c>
      <c r="P115" s="18" t="s">
        <v>93</v>
      </c>
      <c r="Q115" s="18"/>
      <c r="R115" s="18"/>
    </row>
    <row r="116" customFormat="false" ht="22.35" hidden="false" customHeight="false" outlineLevel="0" collapsed="false">
      <c r="A116" s="16" t="s">
        <v>710</v>
      </c>
      <c r="B116" s="16" t="s">
        <v>45</v>
      </c>
      <c r="C116" s="16" t="s">
        <v>658</v>
      </c>
      <c r="D116" s="16" t="s">
        <v>711</v>
      </c>
      <c r="E116" s="16" t="s">
        <v>712</v>
      </c>
      <c r="F116" s="16" t="s">
        <v>661</v>
      </c>
      <c r="G116" s="16" t="s">
        <v>713</v>
      </c>
      <c r="H116" s="16" t="s">
        <v>56</v>
      </c>
      <c r="I116" s="16" t="s">
        <v>32</v>
      </c>
      <c r="J116" s="16" t="s">
        <v>663</v>
      </c>
      <c r="K116" s="16" t="s">
        <v>714</v>
      </c>
      <c r="L116" s="16" t="s">
        <v>186</v>
      </c>
      <c r="M116" s="16" t="s">
        <v>100</v>
      </c>
      <c r="N116" s="16" t="s">
        <v>715</v>
      </c>
      <c r="O116" s="17" t="s">
        <v>92</v>
      </c>
      <c r="P116" s="18" t="s">
        <v>93</v>
      </c>
      <c r="Q116" s="18"/>
      <c r="R116" s="18"/>
    </row>
    <row r="117" customFormat="false" ht="22.35" hidden="false" customHeight="false" outlineLevel="0" collapsed="false">
      <c r="A117" s="16" t="s">
        <v>716</v>
      </c>
      <c r="B117" s="16" t="s">
        <v>45</v>
      </c>
      <c r="C117" s="16" t="s">
        <v>658</v>
      </c>
      <c r="D117" s="16" t="s">
        <v>301</v>
      </c>
      <c r="E117" s="16" t="s">
        <v>717</v>
      </c>
      <c r="F117" s="16" t="s">
        <v>661</v>
      </c>
      <c r="G117" s="16" t="s">
        <v>718</v>
      </c>
      <c r="H117" s="16" t="s">
        <v>56</v>
      </c>
      <c r="I117" s="16" t="s">
        <v>32</v>
      </c>
      <c r="J117" s="16" t="s">
        <v>663</v>
      </c>
      <c r="K117" s="16" t="s">
        <v>330</v>
      </c>
      <c r="L117" s="16" t="s">
        <v>719</v>
      </c>
      <c r="M117" s="16" t="s">
        <v>332</v>
      </c>
      <c r="N117" s="16" t="s">
        <v>720</v>
      </c>
      <c r="O117" s="17" t="s">
        <v>92</v>
      </c>
      <c r="P117" s="18" t="s">
        <v>93</v>
      </c>
      <c r="Q117" s="18"/>
      <c r="R117" s="18"/>
    </row>
    <row r="118" customFormat="false" ht="22.35" hidden="false" customHeight="false" outlineLevel="0" collapsed="false">
      <c r="A118" s="16" t="s">
        <v>721</v>
      </c>
      <c r="B118" s="16" t="s">
        <v>45</v>
      </c>
      <c r="C118" s="16" t="s">
        <v>658</v>
      </c>
      <c r="D118" s="16" t="s">
        <v>301</v>
      </c>
      <c r="E118" s="16" t="s">
        <v>722</v>
      </c>
      <c r="F118" s="16" t="s">
        <v>661</v>
      </c>
      <c r="G118" s="16" t="s">
        <v>723</v>
      </c>
      <c r="H118" s="16" t="s">
        <v>56</v>
      </c>
      <c r="I118" s="16" t="s">
        <v>32</v>
      </c>
      <c r="J118" s="16" t="s">
        <v>663</v>
      </c>
      <c r="K118" s="16" t="s">
        <v>724</v>
      </c>
      <c r="L118" s="16" t="s">
        <v>725</v>
      </c>
      <c r="M118" s="16" t="s">
        <v>332</v>
      </c>
      <c r="N118" s="16" t="s">
        <v>726</v>
      </c>
      <c r="O118" s="17" t="s">
        <v>92</v>
      </c>
      <c r="P118" s="18" t="s">
        <v>93</v>
      </c>
      <c r="Q118" s="18"/>
      <c r="R118" s="18"/>
    </row>
    <row r="119" customFormat="false" ht="22.35" hidden="false" customHeight="false" outlineLevel="0" collapsed="false">
      <c r="A119" s="16" t="s">
        <v>727</v>
      </c>
      <c r="B119" s="16" t="s">
        <v>45</v>
      </c>
      <c r="C119" s="16" t="s">
        <v>658</v>
      </c>
      <c r="D119" s="16" t="s">
        <v>301</v>
      </c>
      <c r="E119" s="16" t="s">
        <v>728</v>
      </c>
      <c r="F119" s="16" t="s">
        <v>661</v>
      </c>
      <c r="G119" s="16" t="s">
        <v>729</v>
      </c>
      <c r="H119" s="16" t="s">
        <v>54</v>
      </c>
      <c r="I119" s="16" t="s">
        <v>32</v>
      </c>
      <c r="J119" s="16" t="s">
        <v>663</v>
      </c>
      <c r="K119" s="16" t="s">
        <v>330</v>
      </c>
      <c r="L119" s="16" t="s">
        <v>725</v>
      </c>
      <c r="M119" s="16" t="s">
        <v>332</v>
      </c>
      <c r="N119" s="16" t="s">
        <v>730</v>
      </c>
      <c r="O119" s="17" t="s">
        <v>92</v>
      </c>
      <c r="P119" s="18" t="s">
        <v>93</v>
      </c>
      <c r="Q119" s="18"/>
      <c r="R119" s="18"/>
    </row>
    <row r="120" customFormat="false" ht="22.35" hidden="false" customHeight="false" outlineLevel="0" collapsed="false">
      <c r="A120" s="16" t="s">
        <v>731</v>
      </c>
      <c r="B120" s="16" t="s">
        <v>45</v>
      </c>
      <c r="C120" s="16" t="s">
        <v>658</v>
      </c>
      <c r="D120" s="16" t="s">
        <v>732</v>
      </c>
      <c r="E120" s="16" t="s">
        <v>733</v>
      </c>
      <c r="F120" s="16" t="s">
        <v>661</v>
      </c>
      <c r="G120" s="16" t="s">
        <v>734</v>
      </c>
      <c r="H120" s="16" t="s">
        <v>56</v>
      </c>
      <c r="I120" s="16" t="s">
        <v>32</v>
      </c>
      <c r="J120" s="16" t="s">
        <v>663</v>
      </c>
      <c r="K120" s="16" t="s">
        <v>735</v>
      </c>
      <c r="L120" s="16" t="s">
        <v>736</v>
      </c>
      <c r="M120" s="16" t="s">
        <v>100</v>
      </c>
      <c r="N120" s="16" t="s">
        <v>737</v>
      </c>
      <c r="O120" s="17" t="s">
        <v>92</v>
      </c>
      <c r="P120" s="18" t="s">
        <v>93</v>
      </c>
      <c r="Q120" s="18"/>
      <c r="R120" s="18"/>
    </row>
    <row r="121" customFormat="false" ht="22.35" hidden="false" customHeight="false" outlineLevel="0" collapsed="false">
      <c r="A121" s="16" t="s">
        <v>738</v>
      </c>
      <c r="B121" s="16" t="s">
        <v>45</v>
      </c>
      <c r="C121" s="16" t="s">
        <v>658</v>
      </c>
      <c r="D121" s="16" t="s">
        <v>732</v>
      </c>
      <c r="E121" s="16" t="s">
        <v>739</v>
      </c>
      <c r="F121" s="16" t="s">
        <v>661</v>
      </c>
      <c r="G121" s="16" t="s">
        <v>740</v>
      </c>
      <c r="H121" s="16" t="s">
        <v>54</v>
      </c>
      <c r="I121" s="16" t="s">
        <v>32</v>
      </c>
      <c r="J121" s="16" t="s">
        <v>663</v>
      </c>
      <c r="K121" s="16" t="s">
        <v>735</v>
      </c>
      <c r="L121" s="16" t="s">
        <v>741</v>
      </c>
      <c r="M121" s="16" t="s">
        <v>100</v>
      </c>
      <c r="N121" s="16" t="s">
        <v>742</v>
      </c>
      <c r="O121" s="17" t="s">
        <v>92</v>
      </c>
      <c r="P121" s="18" t="s">
        <v>93</v>
      </c>
      <c r="Q121" s="18"/>
      <c r="R121" s="18"/>
    </row>
    <row r="122" customFormat="false" ht="22.35" hidden="false" customHeight="false" outlineLevel="0" collapsed="false">
      <c r="A122" s="16" t="s">
        <v>743</v>
      </c>
      <c r="B122" s="16" t="s">
        <v>45</v>
      </c>
      <c r="C122" s="16" t="s">
        <v>658</v>
      </c>
      <c r="D122" s="16" t="s">
        <v>732</v>
      </c>
      <c r="E122" s="16" t="s">
        <v>744</v>
      </c>
      <c r="F122" s="16" t="s">
        <v>661</v>
      </c>
      <c r="G122" s="16" t="s">
        <v>745</v>
      </c>
      <c r="H122" s="16" t="s">
        <v>54</v>
      </c>
      <c r="I122" s="16" t="s">
        <v>33</v>
      </c>
      <c r="J122" s="16" t="s">
        <v>663</v>
      </c>
      <c r="K122" s="16" t="s">
        <v>746</v>
      </c>
      <c r="L122" s="16" t="s">
        <v>741</v>
      </c>
      <c r="M122" s="16" t="s">
        <v>100</v>
      </c>
      <c r="N122" s="16" t="s">
        <v>747</v>
      </c>
      <c r="O122" s="17" t="s">
        <v>92</v>
      </c>
      <c r="P122" s="18" t="s">
        <v>93</v>
      </c>
      <c r="Q122" s="18"/>
      <c r="R122" s="18"/>
    </row>
    <row r="123" customFormat="false" ht="22.35" hidden="false" customHeight="false" outlineLevel="0" collapsed="false">
      <c r="A123" s="16" t="s">
        <v>748</v>
      </c>
      <c r="B123" s="16" t="s">
        <v>45</v>
      </c>
      <c r="C123" s="16" t="s">
        <v>658</v>
      </c>
      <c r="D123" s="16" t="s">
        <v>732</v>
      </c>
      <c r="E123" s="16" t="s">
        <v>749</v>
      </c>
      <c r="F123" s="16" t="s">
        <v>661</v>
      </c>
      <c r="G123" s="16" t="s">
        <v>750</v>
      </c>
      <c r="H123" s="16" t="s">
        <v>56</v>
      </c>
      <c r="I123" s="16" t="s">
        <v>32</v>
      </c>
      <c r="J123" s="16" t="s">
        <v>663</v>
      </c>
      <c r="K123" s="16" t="s">
        <v>751</v>
      </c>
      <c r="L123" s="16" t="s">
        <v>569</v>
      </c>
      <c r="M123" s="16" t="s">
        <v>752</v>
      </c>
      <c r="N123" s="16" t="s">
        <v>753</v>
      </c>
      <c r="O123" s="17" t="s">
        <v>92</v>
      </c>
      <c r="P123" s="18" t="s">
        <v>93</v>
      </c>
      <c r="Q123" s="18"/>
      <c r="R123" s="18"/>
    </row>
    <row r="124" customFormat="false" ht="22.35" hidden="false" customHeight="false" outlineLevel="0" collapsed="false">
      <c r="A124" s="16" t="s">
        <v>754</v>
      </c>
      <c r="B124" s="16" t="s">
        <v>45</v>
      </c>
      <c r="C124" s="16" t="s">
        <v>658</v>
      </c>
      <c r="D124" s="16" t="s">
        <v>368</v>
      </c>
      <c r="E124" s="16" t="s">
        <v>755</v>
      </c>
      <c r="F124" s="16" t="s">
        <v>661</v>
      </c>
      <c r="G124" s="16" t="s">
        <v>756</v>
      </c>
      <c r="H124" s="16" t="s">
        <v>56</v>
      </c>
      <c r="I124" s="16" t="s">
        <v>32</v>
      </c>
      <c r="J124" s="16" t="s">
        <v>663</v>
      </c>
      <c r="K124" s="16" t="s">
        <v>371</v>
      </c>
      <c r="L124" s="16" t="s">
        <v>372</v>
      </c>
      <c r="M124" s="16" t="s">
        <v>373</v>
      </c>
      <c r="N124" s="16" t="s">
        <v>757</v>
      </c>
      <c r="O124" s="17" t="s">
        <v>92</v>
      </c>
      <c r="P124" s="18" t="s">
        <v>93</v>
      </c>
      <c r="Q124" s="18"/>
      <c r="R124" s="18"/>
    </row>
    <row r="125" customFormat="false" ht="22.35" hidden="false" customHeight="false" outlineLevel="0" collapsed="false">
      <c r="A125" s="16" t="s">
        <v>758</v>
      </c>
      <c r="B125" s="16" t="s">
        <v>45</v>
      </c>
      <c r="C125" s="16" t="s">
        <v>658</v>
      </c>
      <c r="D125" s="16" t="s">
        <v>368</v>
      </c>
      <c r="E125" s="16" t="s">
        <v>759</v>
      </c>
      <c r="F125" s="16" t="s">
        <v>661</v>
      </c>
      <c r="G125" s="16" t="s">
        <v>760</v>
      </c>
      <c r="H125" s="16" t="s">
        <v>54</v>
      </c>
      <c r="I125" s="16" t="s">
        <v>31</v>
      </c>
      <c r="J125" s="16" t="s">
        <v>663</v>
      </c>
      <c r="K125" s="16" t="s">
        <v>371</v>
      </c>
      <c r="L125" s="16" t="s">
        <v>761</v>
      </c>
      <c r="M125" s="16" t="s">
        <v>373</v>
      </c>
      <c r="N125" s="16" t="s">
        <v>762</v>
      </c>
      <c r="O125" s="17" t="s">
        <v>92</v>
      </c>
      <c r="P125" s="18" t="s">
        <v>93</v>
      </c>
      <c r="Q125" s="18"/>
      <c r="R125" s="18"/>
    </row>
    <row r="126" customFormat="false" ht="22.35" hidden="false" customHeight="false" outlineLevel="0" collapsed="false">
      <c r="A126" s="16" t="s">
        <v>763</v>
      </c>
      <c r="B126" s="16" t="s">
        <v>45</v>
      </c>
      <c r="C126" s="16" t="s">
        <v>658</v>
      </c>
      <c r="D126" s="16" t="s">
        <v>368</v>
      </c>
      <c r="E126" s="16" t="s">
        <v>764</v>
      </c>
      <c r="F126" s="16" t="s">
        <v>661</v>
      </c>
      <c r="G126" s="16" t="s">
        <v>765</v>
      </c>
      <c r="H126" s="16" t="s">
        <v>56</v>
      </c>
      <c r="I126" s="16" t="s">
        <v>32</v>
      </c>
      <c r="J126" s="16" t="s">
        <v>663</v>
      </c>
      <c r="K126" s="16" t="s">
        <v>766</v>
      </c>
      <c r="L126" s="16" t="s">
        <v>379</v>
      </c>
      <c r="M126" s="16" t="s">
        <v>373</v>
      </c>
      <c r="N126" s="16" t="s">
        <v>767</v>
      </c>
      <c r="O126" s="17" t="s">
        <v>92</v>
      </c>
      <c r="P126" s="18" t="s">
        <v>93</v>
      </c>
      <c r="Q126" s="18"/>
      <c r="R126" s="18"/>
    </row>
    <row r="127" customFormat="false" ht="22.35" hidden="false" customHeight="false" outlineLevel="0" collapsed="false">
      <c r="A127" s="16" t="s">
        <v>768</v>
      </c>
      <c r="B127" s="16" t="s">
        <v>45</v>
      </c>
      <c r="C127" s="16" t="s">
        <v>658</v>
      </c>
      <c r="D127" s="16" t="s">
        <v>368</v>
      </c>
      <c r="E127" s="16" t="s">
        <v>769</v>
      </c>
      <c r="F127" s="16" t="s">
        <v>661</v>
      </c>
      <c r="G127" s="16" t="s">
        <v>770</v>
      </c>
      <c r="H127" s="16" t="s">
        <v>56</v>
      </c>
      <c r="I127" s="16" t="s">
        <v>32</v>
      </c>
      <c r="J127" s="16" t="s">
        <v>663</v>
      </c>
      <c r="K127" s="16" t="s">
        <v>766</v>
      </c>
      <c r="L127" s="16" t="s">
        <v>771</v>
      </c>
      <c r="M127" s="16" t="s">
        <v>332</v>
      </c>
      <c r="N127" s="16" t="s">
        <v>772</v>
      </c>
      <c r="O127" s="17" t="s">
        <v>92</v>
      </c>
      <c r="P127" s="18" t="s">
        <v>93</v>
      </c>
      <c r="Q127" s="18"/>
      <c r="R127" s="18"/>
    </row>
    <row r="128" customFormat="false" ht="22.35" hidden="false" customHeight="false" outlineLevel="0" collapsed="false">
      <c r="A128" s="16" t="s">
        <v>773</v>
      </c>
      <c r="B128" s="16" t="s">
        <v>45</v>
      </c>
      <c r="C128" s="16" t="s">
        <v>658</v>
      </c>
      <c r="D128" s="16" t="s">
        <v>368</v>
      </c>
      <c r="E128" s="16" t="s">
        <v>774</v>
      </c>
      <c r="F128" s="16" t="s">
        <v>661</v>
      </c>
      <c r="G128" s="16" t="s">
        <v>775</v>
      </c>
      <c r="H128" s="16" t="s">
        <v>54</v>
      </c>
      <c r="I128" s="16" t="s">
        <v>32</v>
      </c>
      <c r="J128" s="16" t="s">
        <v>663</v>
      </c>
      <c r="K128" s="16" t="s">
        <v>776</v>
      </c>
      <c r="L128" s="16" t="s">
        <v>777</v>
      </c>
      <c r="M128" s="16" t="s">
        <v>373</v>
      </c>
      <c r="N128" s="16" t="s">
        <v>778</v>
      </c>
      <c r="O128" s="17" t="s">
        <v>92</v>
      </c>
      <c r="P128" s="18" t="s">
        <v>93</v>
      </c>
      <c r="Q128" s="18"/>
      <c r="R128" s="18"/>
    </row>
    <row r="129" customFormat="false" ht="22.35" hidden="false" customHeight="false" outlineLevel="0" collapsed="false">
      <c r="A129" s="16" t="s">
        <v>779</v>
      </c>
      <c r="B129" s="16" t="s">
        <v>45</v>
      </c>
      <c r="C129" s="16" t="s">
        <v>658</v>
      </c>
      <c r="D129" s="16" t="s">
        <v>780</v>
      </c>
      <c r="E129" s="16" t="s">
        <v>781</v>
      </c>
      <c r="F129" s="16" t="s">
        <v>661</v>
      </c>
      <c r="G129" s="16" t="s">
        <v>782</v>
      </c>
      <c r="H129" s="16" t="s">
        <v>54</v>
      </c>
      <c r="I129" s="16" t="s">
        <v>31</v>
      </c>
      <c r="J129" s="16" t="s">
        <v>663</v>
      </c>
      <c r="K129" s="16" t="s">
        <v>766</v>
      </c>
      <c r="L129" s="16" t="s">
        <v>379</v>
      </c>
      <c r="M129" s="16" t="s">
        <v>373</v>
      </c>
      <c r="N129" s="16" t="s">
        <v>783</v>
      </c>
      <c r="O129" s="17" t="s">
        <v>92</v>
      </c>
      <c r="P129" s="18" t="s">
        <v>93</v>
      </c>
      <c r="Q129" s="18"/>
      <c r="R129" s="18"/>
    </row>
    <row r="130" customFormat="false" ht="22.35" hidden="false" customHeight="false" outlineLevel="0" collapsed="false">
      <c r="A130" s="16" t="s">
        <v>784</v>
      </c>
      <c r="B130" s="16" t="s">
        <v>45</v>
      </c>
      <c r="C130" s="16" t="s">
        <v>658</v>
      </c>
      <c r="D130" s="16" t="s">
        <v>780</v>
      </c>
      <c r="E130" s="16" t="s">
        <v>785</v>
      </c>
      <c r="F130" s="16" t="s">
        <v>661</v>
      </c>
      <c r="G130" s="16" t="s">
        <v>786</v>
      </c>
      <c r="H130" s="16" t="s">
        <v>54</v>
      </c>
      <c r="I130" s="16" t="s">
        <v>31</v>
      </c>
      <c r="J130" s="16" t="s">
        <v>663</v>
      </c>
      <c r="K130" s="16" t="s">
        <v>787</v>
      </c>
      <c r="L130" s="16" t="s">
        <v>379</v>
      </c>
      <c r="M130" s="16" t="s">
        <v>373</v>
      </c>
      <c r="N130" s="16" t="s">
        <v>788</v>
      </c>
      <c r="O130" s="17" t="s">
        <v>92</v>
      </c>
      <c r="P130" s="18" t="s">
        <v>93</v>
      </c>
      <c r="Q130" s="18"/>
      <c r="R130" s="18"/>
    </row>
    <row r="131" customFormat="false" ht="22.35" hidden="false" customHeight="false" outlineLevel="0" collapsed="false">
      <c r="A131" s="16" t="s">
        <v>789</v>
      </c>
      <c r="B131" s="16" t="s">
        <v>45</v>
      </c>
      <c r="C131" s="16" t="s">
        <v>658</v>
      </c>
      <c r="D131" s="16" t="s">
        <v>780</v>
      </c>
      <c r="E131" s="16" t="s">
        <v>790</v>
      </c>
      <c r="F131" s="16" t="s">
        <v>661</v>
      </c>
      <c r="G131" s="16" t="s">
        <v>791</v>
      </c>
      <c r="H131" s="16" t="s">
        <v>56</v>
      </c>
      <c r="I131" s="16" t="s">
        <v>32</v>
      </c>
      <c r="J131" s="16" t="s">
        <v>663</v>
      </c>
      <c r="K131" s="16" t="s">
        <v>787</v>
      </c>
      <c r="L131" s="16" t="s">
        <v>89</v>
      </c>
      <c r="M131" s="16" t="s">
        <v>373</v>
      </c>
      <c r="N131" s="16" t="s">
        <v>792</v>
      </c>
      <c r="O131" s="17" t="s">
        <v>92</v>
      </c>
      <c r="P131" s="18" t="s">
        <v>93</v>
      </c>
      <c r="Q131" s="18"/>
      <c r="R131" s="18"/>
    </row>
    <row r="132" customFormat="false" ht="22.35" hidden="false" customHeight="false" outlineLevel="0" collapsed="false">
      <c r="A132" s="16" t="s">
        <v>793</v>
      </c>
      <c r="B132" s="16" t="s">
        <v>45</v>
      </c>
      <c r="C132" s="16" t="s">
        <v>658</v>
      </c>
      <c r="D132" s="16" t="s">
        <v>794</v>
      </c>
      <c r="E132" s="16" t="s">
        <v>795</v>
      </c>
      <c r="F132" s="16" t="s">
        <v>661</v>
      </c>
      <c r="G132" s="16" t="s">
        <v>796</v>
      </c>
      <c r="H132" s="16" t="s">
        <v>56</v>
      </c>
      <c r="I132" s="16" t="s">
        <v>31</v>
      </c>
      <c r="J132" s="16" t="s">
        <v>663</v>
      </c>
      <c r="K132" s="16" t="s">
        <v>797</v>
      </c>
      <c r="L132" s="16" t="s">
        <v>798</v>
      </c>
      <c r="M132" s="16" t="s">
        <v>313</v>
      </c>
      <c r="N132" s="16" t="s">
        <v>799</v>
      </c>
      <c r="O132" s="17" t="s">
        <v>92</v>
      </c>
      <c r="P132" s="18" t="s">
        <v>93</v>
      </c>
      <c r="Q132" s="18"/>
      <c r="R132" s="18"/>
    </row>
    <row r="133" customFormat="false" ht="22.35" hidden="false" customHeight="false" outlineLevel="0" collapsed="false">
      <c r="A133" s="16" t="s">
        <v>800</v>
      </c>
      <c r="B133" s="16" t="s">
        <v>45</v>
      </c>
      <c r="C133" s="16" t="s">
        <v>658</v>
      </c>
      <c r="D133" s="16" t="s">
        <v>794</v>
      </c>
      <c r="E133" s="16" t="s">
        <v>801</v>
      </c>
      <c r="F133" s="16" t="s">
        <v>661</v>
      </c>
      <c r="G133" s="16" t="s">
        <v>802</v>
      </c>
      <c r="H133" s="16" t="s">
        <v>54</v>
      </c>
      <c r="I133" s="16" t="s">
        <v>32</v>
      </c>
      <c r="J133" s="16" t="s">
        <v>663</v>
      </c>
      <c r="K133" s="16" t="s">
        <v>803</v>
      </c>
      <c r="L133" s="16" t="s">
        <v>798</v>
      </c>
      <c r="M133" s="16" t="s">
        <v>313</v>
      </c>
      <c r="N133" s="16" t="s">
        <v>804</v>
      </c>
      <c r="O133" s="17" t="s">
        <v>92</v>
      </c>
      <c r="P133" s="18" t="s">
        <v>93</v>
      </c>
      <c r="Q133" s="18"/>
      <c r="R133" s="18"/>
    </row>
    <row r="134" customFormat="false" ht="22.35" hidden="false" customHeight="false" outlineLevel="0" collapsed="false">
      <c r="A134" s="16" t="s">
        <v>805</v>
      </c>
      <c r="B134" s="16" t="s">
        <v>45</v>
      </c>
      <c r="C134" s="16" t="s">
        <v>658</v>
      </c>
      <c r="D134" s="16" t="s">
        <v>794</v>
      </c>
      <c r="E134" s="16" t="s">
        <v>806</v>
      </c>
      <c r="F134" s="16" t="s">
        <v>661</v>
      </c>
      <c r="G134" s="16" t="s">
        <v>807</v>
      </c>
      <c r="H134" s="16" t="s">
        <v>54</v>
      </c>
      <c r="I134" s="16" t="s">
        <v>32</v>
      </c>
      <c r="J134" s="16" t="s">
        <v>663</v>
      </c>
      <c r="K134" s="16" t="s">
        <v>803</v>
      </c>
      <c r="L134" s="16" t="s">
        <v>798</v>
      </c>
      <c r="M134" s="16" t="s">
        <v>313</v>
      </c>
      <c r="N134" s="16" t="s">
        <v>808</v>
      </c>
      <c r="O134" s="17" t="s">
        <v>92</v>
      </c>
      <c r="P134" s="18" t="s">
        <v>93</v>
      </c>
      <c r="Q134" s="18"/>
      <c r="R134" s="18"/>
    </row>
    <row r="135" customFormat="false" ht="22.35" hidden="false" customHeight="false" outlineLevel="0" collapsed="false">
      <c r="A135" s="16" t="s">
        <v>809</v>
      </c>
      <c r="B135" s="16" t="s">
        <v>45</v>
      </c>
      <c r="C135" s="16" t="s">
        <v>658</v>
      </c>
      <c r="D135" s="16" t="s">
        <v>794</v>
      </c>
      <c r="E135" s="16" t="s">
        <v>810</v>
      </c>
      <c r="F135" s="16" t="s">
        <v>661</v>
      </c>
      <c r="G135" s="16" t="s">
        <v>811</v>
      </c>
      <c r="H135" s="16" t="s">
        <v>54</v>
      </c>
      <c r="I135" s="16" t="s">
        <v>31</v>
      </c>
      <c r="J135" s="16" t="s">
        <v>663</v>
      </c>
      <c r="K135" s="16" t="s">
        <v>803</v>
      </c>
      <c r="L135" s="16" t="s">
        <v>798</v>
      </c>
      <c r="M135" s="16" t="s">
        <v>313</v>
      </c>
      <c r="N135" s="16" t="s">
        <v>812</v>
      </c>
      <c r="O135" s="17" t="s">
        <v>92</v>
      </c>
      <c r="P135" s="18" t="s">
        <v>93</v>
      </c>
      <c r="Q135" s="18"/>
      <c r="R135" s="18"/>
    </row>
    <row r="136" customFormat="false" ht="22.35" hidden="false" customHeight="false" outlineLevel="0" collapsed="false">
      <c r="A136" s="16" t="s">
        <v>813</v>
      </c>
      <c r="B136" s="16" t="s">
        <v>45</v>
      </c>
      <c r="C136" s="16" t="s">
        <v>658</v>
      </c>
      <c r="D136" s="16" t="s">
        <v>794</v>
      </c>
      <c r="E136" s="16" t="s">
        <v>814</v>
      </c>
      <c r="F136" s="16" t="s">
        <v>661</v>
      </c>
      <c r="G136" s="16" t="s">
        <v>815</v>
      </c>
      <c r="H136" s="16" t="s">
        <v>56</v>
      </c>
      <c r="I136" s="16" t="s">
        <v>32</v>
      </c>
      <c r="J136" s="16" t="s">
        <v>663</v>
      </c>
      <c r="K136" s="16" t="s">
        <v>803</v>
      </c>
      <c r="L136" s="16" t="s">
        <v>816</v>
      </c>
      <c r="M136" s="16" t="s">
        <v>313</v>
      </c>
      <c r="N136" s="16" t="s">
        <v>817</v>
      </c>
      <c r="O136" s="17" t="s">
        <v>92</v>
      </c>
      <c r="P136" s="18" t="s">
        <v>93</v>
      </c>
      <c r="Q136" s="18"/>
      <c r="R136" s="18"/>
    </row>
    <row r="137" customFormat="false" ht="22.35" hidden="false" customHeight="false" outlineLevel="0" collapsed="false">
      <c r="A137" s="16" t="s">
        <v>818</v>
      </c>
      <c r="B137" s="16" t="s">
        <v>45</v>
      </c>
      <c r="C137" s="16" t="s">
        <v>658</v>
      </c>
      <c r="D137" s="16" t="s">
        <v>819</v>
      </c>
      <c r="E137" s="16" t="s">
        <v>820</v>
      </c>
      <c r="F137" s="16" t="s">
        <v>661</v>
      </c>
      <c r="G137" s="16" t="s">
        <v>821</v>
      </c>
      <c r="H137" s="16" t="s">
        <v>56</v>
      </c>
      <c r="I137" s="16" t="s">
        <v>32</v>
      </c>
      <c r="J137" s="16" t="s">
        <v>663</v>
      </c>
      <c r="K137" s="16" t="s">
        <v>822</v>
      </c>
      <c r="L137" s="16" t="s">
        <v>253</v>
      </c>
      <c r="M137" s="16" t="s">
        <v>100</v>
      </c>
      <c r="N137" s="16" t="s">
        <v>823</v>
      </c>
      <c r="O137" s="17" t="s">
        <v>92</v>
      </c>
      <c r="P137" s="18" t="s">
        <v>93</v>
      </c>
      <c r="Q137" s="18"/>
      <c r="R137" s="18"/>
    </row>
    <row r="138" customFormat="false" ht="22.35" hidden="false" customHeight="false" outlineLevel="0" collapsed="false">
      <c r="A138" s="16" t="s">
        <v>824</v>
      </c>
      <c r="B138" s="16" t="s">
        <v>45</v>
      </c>
      <c r="C138" s="16" t="s">
        <v>658</v>
      </c>
      <c r="D138" s="16" t="s">
        <v>819</v>
      </c>
      <c r="E138" s="16" t="s">
        <v>825</v>
      </c>
      <c r="F138" s="16" t="s">
        <v>661</v>
      </c>
      <c r="G138" s="16" t="s">
        <v>826</v>
      </c>
      <c r="H138" s="16" t="s">
        <v>54</v>
      </c>
      <c r="I138" s="16" t="s">
        <v>32</v>
      </c>
      <c r="J138" s="16" t="s">
        <v>663</v>
      </c>
      <c r="K138" s="16" t="s">
        <v>207</v>
      </c>
      <c r="L138" s="16" t="s">
        <v>208</v>
      </c>
      <c r="M138" s="16" t="s">
        <v>100</v>
      </c>
      <c r="N138" s="16" t="s">
        <v>827</v>
      </c>
      <c r="O138" s="17" t="s">
        <v>92</v>
      </c>
      <c r="P138" s="18" t="s">
        <v>93</v>
      </c>
      <c r="Q138" s="18"/>
      <c r="R138" s="18"/>
    </row>
    <row r="139" customFormat="false" ht="22.35" hidden="false" customHeight="false" outlineLevel="0" collapsed="false">
      <c r="A139" s="16" t="s">
        <v>828</v>
      </c>
      <c r="B139" s="16" t="s">
        <v>45</v>
      </c>
      <c r="C139" s="16" t="s">
        <v>658</v>
      </c>
      <c r="D139" s="16" t="s">
        <v>819</v>
      </c>
      <c r="E139" s="16" t="s">
        <v>829</v>
      </c>
      <c r="F139" s="16" t="s">
        <v>661</v>
      </c>
      <c r="G139" s="16" t="s">
        <v>830</v>
      </c>
      <c r="H139" s="16" t="s">
        <v>56</v>
      </c>
      <c r="I139" s="16" t="s">
        <v>33</v>
      </c>
      <c r="J139" s="16" t="s">
        <v>663</v>
      </c>
      <c r="K139" s="16" t="s">
        <v>207</v>
      </c>
      <c r="L139" s="16" t="s">
        <v>208</v>
      </c>
      <c r="M139" s="16" t="s">
        <v>100</v>
      </c>
      <c r="N139" s="16" t="s">
        <v>831</v>
      </c>
      <c r="O139" s="17" t="s">
        <v>92</v>
      </c>
      <c r="P139" s="18" t="s">
        <v>93</v>
      </c>
      <c r="Q139" s="18"/>
      <c r="R139" s="18"/>
    </row>
    <row r="140" customFormat="false" ht="22.35" hidden="false" customHeight="false" outlineLevel="0" collapsed="false">
      <c r="A140" s="16" t="s">
        <v>832</v>
      </c>
      <c r="B140" s="16" t="s">
        <v>45</v>
      </c>
      <c r="C140" s="16" t="s">
        <v>658</v>
      </c>
      <c r="D140" s="16" t="s">
        <v>819</v>
      </c>
      <c r="E140" s="16" t="s">
        <v>833</v>
      </c>
      <c r="F140" s="16" t="s">
        <v>661</v>
      </c>
      <c r="G140" s="16" t="s">
        <v>834</v>
      </c>
      <c r="H140" s="16" t="s">
        <v>56</v>
      </c>
      <c r="I140" s="16" t="s">
        <v>32</v>
      </c>
      <c r="J140" s="16" t="s">
        <v>663</v>
      </c>
      <c r="K140" s="16" t="s">
        <v>835</v>
      </c>
      <c r="L140" s="16" t="s">
        <v>253</v>
      </c>
      <c r="M140" s="16" t="s">
        <v>100</v>
      </c>
      <c r="N140" s="16" t="s">
        <v>836</v>
      </c>
      <c r="O140" s="17" t="s">
        <v>92</v>
      </c>
      <c r="P140" s="18" t="s">
        <v>93</v>
      </c>
      <c r="Q140" s="18"/>
      <c r="R140" s="18"/>
    </row>
    <row r="141" customFormat="false" ht="22.35" hidden="false" customHeight="false" outlineLevel="0" collapsed="false">
      <c r="A141" s="16" t="s">
        <v>837</v>
      </c>
      <c r="B141" s="16" t="s">
        <v>45</v>
      </c>
      <c r="C141" s="16" t="s">
        <v>658</v>
      </c>
      <c r="D141" s="16" t="s">
        <v>819</v>
      </c>
      <c r="E141" s="16" t="s">
        <v>838</v>
      </c>
      <c r="F141" s="16" t="s">
        <v>661</v>
      </c>
      <c r="G141" s="16" t="s">
        <v>839</v>
      </c>
      <c r="H141" s="16" t="s">
        <v>54</v>
      </c>
      <c r="I141" s="16" t="s">
        <v>33</v>
      </c>
      <c r="J141" s="16" t="s">
        <v>663</v>
      </c>
      <c r="K141" s="16" t="s">
        <v>735</v>
      </c>
      <c r="L141" s="16" t="s">
        <v>253</v>
      </c>
      <c r="M141" s="16" t="s">
        <v>100</v>
      </c>
      <c r="N141" s="16" t="s">
        <v>840</v>
      </c>
      <c r="O141" s="17" t="s">
        <v>92</v>
      </c>
      <c r="P141" s="18" t="s">
        <v>93</v>
      </c>
      <c r="Q141" s="18"/>
      <c r="R141" s="18"/>
    </row>
    <row r="142" customFormat="false" ht="22.35" hidden="false" customHeight="false" outlineLevel="0" collapsed="false">
      <c r="A142" s="16" t="s">
        <v>841</v>
      </c>
      <c r="B142" s="16" t="s">
        <v>45</v>
      </c>
      <c r="C142" s="16" t="s">
        <v>658</v>
      </c>
      <c r="D142" s="16" t="s">
        <v>842</v>
      </c>
      <c r="E142" s="16" t="s">
        <v>843</v>
      </c>
      <c r="F142" s="16" t="s">
        <v>661</v>
      </c>
      <c r="G142" s="16" t="s">
        <v>844</v>
      </c>
      <c r="H142" s="16" t="s">
        <v>56</v>
      </c>
      <c r="I142" s="16" t="s">
        <v>33</v>
      </c>
      <c r="J142" s="16" t="s">
        <v>663</v>
      </c>
      <c r="K142" s="16" t="s">
        <v>179</v>
      </c>
      <c r="L142" s="16" t="s">
        <v>180</v>
      </c>
      <c r="M142" s="16" t="s">
        <v>313</v>
      </c>
      <c r="N142" s="16" t="s">
        <v>845</v>
      </c>
      <c r="O142" s="17" t="s">
        <v>92</v>
      </c>
      <c r="P142" s="18" t="s">
        <v>93</v>
      </c>
      <c r="Q142" s="18"/>
      <c r="R142" s="18"/>
    </row>
    <row r="143" customFormat="false" ht="22.35" hidden="false" customHeight="false" outlineLevel="0" collapsed="false">
      <c r="A143" s="16" t="s">
        <v>846</v>
      </c>
      <c r="B143" s="16" t="s">
        <v>45</v>
      </c>
      <c r="C143" s="16" t="s">
        <v>658</v>
      </c>
      <c r="D143" s="16" t="s">
        <v>842</v>
      </c>
      <c r="E143" s="16" t="s">
        <v>847</v>
      </c>
      <c r="F143" s="16" t="s">
        <v>661</v>
      </c>
      <c r="G143" s="16" t="s">
        <v>848</v>
      </c>
      <c r="H143" s="16" t="s">
        <v>56</v>
      </c>
      <c r="I143" s="16" t="s">
        <v>33</v>
      </c>
      <c r="J143" s="16" t="s">
        <v>663</v>
      </c>
      <c r="K143" s="16" t="s">
        <v>179</v>
      </c>
      <c r="L143" s="16" t="s">
        <v>180</v>
      </c>
      <c r="M143" s="16" t="s">
        <v>313</v>
      </c>
      <c r="N143" s="16" t="s">
        <v>849</v>
      </c>
      <c r="O143" s="17" t="s">
        <v>92</v>
      </c>
      <c r="P143" s="18" t="s">
        <v>93</v>
      </c>
      <c r="Q143" s="18"/>
      <c r="R143" s="18"/>
    </row>
    <row r="144" customFormat="false" ht="22.35" hidden="false" customHeight="false" outlineLevel="0" collapsed="false">
      <c r="A144" s="16" t="s">
        <v>850</v>
      </c>
      <c r="B144" s="16" t="s">
        <v>45</v>
      </c>
      <c r="C144" s="16" t="s">
        <v>658</v>
      </c>
      <c r="D144" s="16" t="s">
        <v>842</v>
      </c>
      <c r="E144" s="16" t="s">
        <v>851</v>
      </c>
      <c r="F144" s="16" t="s">
        <v>661</v>
      </c>
      <c r="G144" s="16" t="s">
        <v>852</v>
      </c>
      <c r="H144" s="16" t="s">
        <v>56</v>
      </c>
      <c r="I144" s="16" t="s">
        <v>33</v>
      </c>
      <c r="J144" s="16" t="s">
        <v>663</v>
      </c>
      <c r="K144" s="16" t="s">
        <v>219</v>
      </c>
      <c r="L144" s="16" t="s">
        <v>853</v>
      </c>
      <c r="M144" s="16" t="s">
        <v>100</v>
      </c>
      <c r="N144" s="16" t="s">
        <v>808</v>
      </c>
      <c r="O144" s="17" t="s">
        <v>92</v>
      </c>
      <c r="P144" s="18" t="s">
        <v>93</v>
      </c>
      <c r="Q144" s="18"/>
      <c r="R144" s="18"/>
    </row>
    <row r="145" customFormat="false" ht="22.35" hidden="false" customHeight="false" outlineLevel="0" collapsed="false">
      <c r="A145" s="16" t="s">
        <v>854</v>
      </c>
      <c r="B145" s="16" t="s">
        <v>45</v>
      </c>
      <c r="C145" s="16" t="s">
        <v>658</v>
      </c>
      <c r="D145" s="16" t="s">
        <v>842</v>
      </c>
      <c r="E145" s="16" t="s">
        <v>855</v>
      </c>
      <c r="F145" s="16" t="s">
        <v>661</v>
      </c>
      <c r="G145" s="16" t="s">
        <v>856</v>
      </c>
      <c r="H145" s="16" t="s">
        <v>56</v>
      </c>
      <c r="I145" s="16" t="s">
        <v>33</v>
      </c>
      <c r="J145" s="16" t="s">
        <v>663</v>
      </c>
      <c r="K145" s="16" t="s">
        <v>179</v>
      </c>
      <c r="L145" s="16" t="s">
        <v>857</v>
      </c>
      <c r="M145" s="16" t="s">
        <v>100</v>
      </c>
      <c r="N145" s="16" t="s">
        <v>858</v>
      </c>
      <c r="O145" s="17" t="s">
        <v>92</v>
      </c>
      <c r="P145" s="18" t="s">
        <v>93</v>
      </c>
      <c r="Q145" s="18"/>
      <c r="R145" s="18"/>
    </row>
    <row r="146" customFormat="false" ht="22.35" hidden="false" customHeight="false" outlineLevel="0" collapsed="false">
      <c r="A146" s="16" t="s">
        <v>859</v>
      </c>
      <c r="B146" s="16" t="s">
        <v>45</v>
      </c>
      <c r="C146" s="16" t="s">
        <v>658</v>
      </c>
      <c r="D146" s="16" t="s">
        <v>860</v>
      </c>
      <c r="E146" s="16" t="s">
        <v>861</v>
      </c>
      <c r="F146" s="16" t="s">
        <v>661</v>
      </c>
      <c r="G146" s="16" t="s">
        <v>862</v>
      </c>
      <c r="H146" s="16" t="s">
        <v>54</v>
      </c>
      <c r="I146" s="16" t="s">
        <v>31</v>
      </c>
      <c r="J146" s="16" t="s">
        <v>663</v>
      </c>
      <c r="K146" s="16" t="s">
        <v>863</v>
      </c>
      <c r="L146" s="16" t="s">
        <v>864</v>
      </c>
      <c r="M146" s="16" t="s">
        <v>752</v>
      </c>
      <c r="N146" s="16" t="s">
        <v>865</v>
      </c>
      <c r="O146" s="17" t="s">
        <v>92</v>
      </c>
      <c r="P146" s="18" t="s">
        <v>93</v>
      </c>
      <c r="Q146" s="18"/>
      <c r="R146" s="18"/>
    </row>
    <row r="147" customFormat="false" ht="22.35" hidden="false" customHeight="false" outlineLevel="0" collapsed="false">
      <c r="A147" s="16" t="s">
        <v>866</v>
      </c>
      <c r="B147" s="16" t="s">
        <v>45</v>
      </c>
      <c r="C147" s="16" t="s">
        <v>658</v>
      </c>
      <c r="D147" s="16" t="s">
        <v>860</v>
      </c>
      <c r="E147" s="16" t="s">
        <v>867</v>
      </c>
      <c r="F147" s="16" t="s">
        <v>661</v>
      </c>
      <c r="G147" s="16" t="s">
        <v>868</v>
      </c>
      <c r="H147" s="16" t="s">
        <v>56</v>
      </c>
      <c r="I147" s="16" t="s">
        <v>33</v>
      </c>
      <c r="J147" s="16" t="s">
        <v>663</v>
      </c>
      <c r="K147" s="16" t="s">
        <v>558</v>
      </c>
      <c r="L147" s="16" t="s">
        <v>89</v>
      </c>
      <c r="M147" s="16" t="s">
        <v>100</v>
      </c>
      <c r="N147" s="16" t="s">
        <v>869</v>
      </c>
      <c r="O147" s="17" t="s">
        <v>92</v>
      </c>
      <c r="P147" s="18" t="s">
        <v>93</v>
      </c>
      <c r="Q147" s="18"/>
      <c r="R147" s="18"/>
    </row>
    <row r="148" customFormat="false" ht="22.35" hidden="false" customHeight="false" outlineLevel="0" collapsed="false">
      <c r="A148" s="16" t="s">
        <v>870</v>
      </c>
      <c r="B148" s="16" t="s">
        <v>45</v>
      </c>
      <c r="C148" s="16" t="s">
        <v>658</v>
      </c>
      <c r="D148" s="16" t="s">
        <v>301</v>
      </c>
      <c r="E148" s="16" t="s">
        <v>871</v>
      </c>
      <c r="F148" s="16" t="s">
        <v>661</v>
      </c>
      <c r="G148" s="16" t="s">
        <v>872</v>
      </c>
      <c r="H148" s="16" t="s">
        <v>54</v>
      </c>
      <c r="I148" s="16" t="s">
        <v>31</v>
      </c>
      <c r="J148" s="16" t="s">
        <v>663</v>
      </c>
      <c r="K148" s="16" t="s">
        <v>330</v>
      </c>
      <c r="L148" s="16" t="s">
        <v>873</v>
      </c>
      <c r="M148" s="16" t="s">
        <v>332</v>
      </c>
      <c r="N148" s="16" t="s">
        <v>874</v>
      </c>
      <c r="O148" s="17" t="s">
        <v>92</v>
      </c>
      <c r="P148" s="18" t="s">
        <v>93</v>
      </c>
      <c r="Q148" s="18"/>
      <c r="R148" s="18"/>
    </row>
    <row r="149" customFormat="false" ht="22.35" hidden="false" customHeight="false" outlineLevel="0" collapsed="false">
      <c r="A149" s="16" t="s">
        <v>875</v>
      </c>
      <c r="B149" s="16" t="s">
        <v>45</v>
      </c>
      <c r="C149" s="16" t="s">
        <v>658</v>
      </c>
      <c r="D149" s="16" t="s">
        <v>676</v>
      </c>
      <c r="E149" s="16" t="s">
        <v>876</v>
      </c>
      <c r="F149" s="16" t="s">
        <v>661</v>
      </c>
      <c r="G149" s="16" t="s">
        <v>877</v>
      </c>
      <c r="H149" s="16" t="s">
        <v>56</v>
      </c>
      <c r="I149" s="16" t="s">
        <v>31</v>
      </c>
      <c r="J149" s="16" t="s">
        <v>663</v>
      </c>
      <c r="K149" s="16" t="s">
        <v>330</v>
      </c>
      <c r="L149" s="16" t="s">
        <v>481</v>
      </c>
      <c r="M149" s="16" t="s">
        <v>394</v>
      </c>
      <c r="N149" s="16" t="s">
        <v>878</v>
      </c>
      <c r="O149" s="17" t="s">
        <v>92</v>
      </c>
      <c r="P149" s="18" t="s">
        <v>93</v>
      </c>
      <c r="Q149" s="18"/>
      <c r="R149" s="18"/>
    </row>
    <row r="150" customFormat="false" ht="22.35" hidden="false" customHeight="false" outlineLevel="0" collapsed="false">
      <c r="A150" s="16" t="s">
        <v>879</v>
      </c>
      <c r="B150" s="16" t="s">
        <v>45</v>
      </c>
      <c r="C150" s="16" t="s">
        <v>658</v>
      </c>
      <c r="D150" s="16" t="s">
        <v>880</v>
      </c>
      <c r="E150" s="16" t="s">
        <v>881</v>
      </c>
      <c r="F150" s="16" t="s">
        <v>661</v>
      </c>
      <c r="G150" s="16" t="s">
        <v>882</v>
      </c>
      <c r="H150" s="16" t="s">
        <v>56</v>
      </c>
      <c r="I150" s="16" t="s">
        <v>31</v>
      </c>
      <c r="J150" s="16" t="s">
        <v>663</v>
      </c>
      <c r="K150" s="16" t="s">
        <v>354</v>
      </c>
      <c r="L150" s="16" t="s">
        <v>89</v>
      </c>
      <c r="M150" s="16" t="s">
        <v>313</v>
      </c>
      <c r="N150" s="16" t="s">
        <v>883</v>
      </c>
      <c r="O150" s="17" t="s">
        <v>92</v>
      </c>
      <c r="P150" s="18" t="s">
        <v>93</v>
      </c>
      <c r="Q150" s="18"/>
      <c r="R150" s="18"/>
    </row>
    <row r="151" customFormat="false" ht="22.35" hidden="false" customHeight="false" outlineLevel="0" collapsed="false">
      <c r="A151" s="16" t="s">
        <v>884</v>
      </c>
      <c r="B151" s="16" t="s">
        <v>45</v>
      </c>
      <c r="C151" s="16" t="s">
        <v>885</v>
      </c>
      <c r="D151" s="16" t="s">
        <v>886</v>
      </c>
      <c r="E151" s="16" t="s">
        <v>887</v>
      </c>
      <c r="F151" s="16" t="s">
        <v>888</v>
      </c>
      <c r="G151" s="16" t="s">
        <v>889</v>
      </c>
      <c r="H151" s="16" t="s">
        <v>58</v>
      </c>
      <c r="I151" s="16" t="s">
        <v>34</v>
      </c>
      <c r="J151" s="16" t="s">
        <v>663</v>
      </c>
      <c r="K151" s="16" t="s">
        <v>890</v>
      </c>
      <c r="L151" s="16" t="s">
        <v>89</v>
      </c>
      <c r="M151" s="16" t="s">
        <v>891</v>
      </c>
      <c r="N151" s="16" t="s">
        <v>892</v>
      </c>
      <c r="O151" s="17" t="s">
        <v>92</v>
      </c>
      <c r="P151" s="18" t="s">
        <v>93</v>
      </c>
      <c r="Q151" s="18"/>
      <c r="R151" s="18"/>
    </row>
    <row r="152" customFormat="false" ht="22.35" hidden="false" customHeight="false" outlineLevel="0" collapsed="false">
      <c r="A152" s="16" t="s">
        <v>893</v>
      </c>
      <c r="B152" s="16" t="s">
        <v>45</v>
      </c>
      <c r="C152" s="16" t="s">
        <v>885</v>
      </c>
      <c r="D152" s="16" t="s">
        <v>894</v>
      </c>
      <c r="E152" s="16" t="s">
        <v>895</v>
      </c>
      <c r="F152" s="16" t="s">
        <v>888</v>
      </c>
      <c r="G152" s="16" t="s">
        <v>896</v>
      </c>
      <c r="H152" s="16" t="s">
        <v>54</v>
      </c>
      <c r="I152" s="16" t="s">
        <v>31</v>
      </c>
      <c r="J152" s="16" t="s">
        <v>663</v>
      </c>
      <c r="K152" s="16" t="s">
        <v>354</v>
      </c>
      <c r="L152" s="16" t="s">
        <v>89</v>
      </c>
      <c r="M152" s="16" t="s">
        <v>704</v>
      </c>
      <c r="N152" s="16" t="s">
        <v>897</v>
      </c>
      <c r="O152" s="17" t="s">
        <v>92</v>
      </c>
      <c r="P152" s="18" t="s">
        <v>93</v>
      </c>
      <c r="Q152" s="18"/>
      <c r="R152" s="18"/>
    </row>
    <row r="153" customFormat="false" ht="22.35" hidden="false" customHeight="false" outlineLevel="0" collapsed="false">
      <c r="A153" s="16" t="s">
        <v>898</v>
      </c>
      <c r="B153" s="16" t="s">
        <v>45</v>
      </c>
      <c r="C153" s="16" t="s">
        <v>885</v>
      </c>
      <c r="D153" s="16" t="s">
        <v>894</v>
      </c>
      <c r="E153" s="16" t="s">
        <v>899</v>
      </c>
      <c r="F153" s="16" t="s">
        <v>888</v>
      </c>
      <c r="G153" s="16" t="s">
        <v>900</v>
      </c>
      <c r="H153" s="16" t="s">
        <v>54</v>
      </c>
      <c r="I153" s="16" t="s">
        <v>31</v>
      </c>
      <c r="J153" s="16" t="s">
        <v>663</v>
      </c>
      <c r="K153" s="16" t="s">
        <v>354</v>
      </c>
      <c r="L153" s="16" t="s">
        <v>89</v>
      </c>
      <c r="M153" s="16" t="s">
        <v>704</v>
      </c>
      <c r="N153" s="16" t="s">
        <v>901</v>
      </c>
      <c r="O153" s="17" t="s">
        <v>92</v>
      </c>
      <c r="P153" s="18" t="s">
        <v>93</v>
      </c>
      <c r="Q153" s="18"/>
      <c r="R153" s="18"/>
    </row>
    <row r="154" customFormat="false" ht="22.35" hidden="false" customHeight="false" outlineLevel="0" collapsed="false">
      <c r="A154" s="16" t="s">
        <v>902</v>
      </c>
      <c r="B154" s="16" t="s">
        <v>45</v>
      </c>
      <c r="C154" s="16" t="s">
        <v>885</v>
      </c>
      <c r="D154" s="16" t="s">
        <v>903</v>
      </c>
      <c r="E154" s="16" t="s">
        <v>904</v>
      </c>
      <c r="F154" s="16" t="s">
        <v>888</v>
      </c>
      <c r="G154" s="16" t="s">
        <v>905</v>
      </c>
      <c r="H154" s="16" t="s">
        <v>54</v>
      </c>
      <c r="I154" s="16" t="s">
        <v>31</v>
      </c>
      <c r="J154" s="16" t="s">
        <v>663</v>
      </c>
      <c r="K154" s="16" t="s">
        <v>354</v>
      </c>
      <c r="L154" s="16" t="s">
        <v>89</v>
      </c>
      <c r="M154" s="16" t="s">
        <v>704</v>
      </c>
      <c r="N154" s="16" t="s">
        <v>906</v>
      </c>
      <c r="O154" s="17" t="s">
        <v>92</v>
      </c>
      <c r="P154" s="18" t="s">
        <v>93</v>
      </c>
      <c r="Q154" s="18"/>
      <c r="R154" s="18"/>
    </row>
    <row r="155" customFormat="false" ht="22.35" hidden="false" customHeight="false" outlineLevel="0" collapsed="false">
      <c r="A155" s="16" t="s">
        <v>907</v>
      </c>
      <c r="B155" s="16" t="s">
        <v>45</v>
      </c>
      <c r="C155" s="16" t="s">
        <v>885</v>
      </c>
      <c r="D155" s="16" t="s">
        <v>903</v>
      </c>
      <c r="E155" s="16" t="s">
        <v>908</v>
      </c>
      <c r="F155" s="16" t="s">
        <v>888</v>
      </c>
      <c r="G155" s="16" t="s">
        <v>909</v>
      </c>
      <c r="H155" s="16" t="s">
        <v>56</v>
      </c>
      <c r="I155" s="16" t="s">
        <v>32</v>
      </c>
      <c r="J155" s="16" t="s">
        <v>663</v>
      </c>
      <c r="K155" s="16" t="s">
        <v>354</v>
      </c>
      <c r="L155" s="16" t="s">
        <v>89</v>
      </c>
      <c r="M155" s="16" t="s">
        <v>704</v>
      </c>
      <c r="N155" s="16" t="s">
        <v>910</v>
      </c>
      <c r="O155" s="17" t="s">
        <v>92</v>
      </c>
      <c r="P155" s="18" t="s">
        <v>93</v>
      </c>
      <c r="Q155" s="18"/>
      <c r="R155" s="18"/>
    </row>
    <row r="156" customFormat="false" ht="22.35" hidden="false" customHeight="false" outlineLevel="0" collapsed="false">
      <c r="A156" s="16" t="s">
        <v>911</v>
      </c>
      <c r="B156" s="16" t="s">
        <v>45</v>
      </c>
      <c r="C156" s="16" t="s">
        <v>885</v>
      </c>
      <c r="D156" s="16" t="s">
        <v>912</v>
      </c>
      <c r="E156" s="16" t="s">
        <v>913</v>
      </c>
      <c r="F156" s="16" t="s">
        <v>888</v>
      </c>
      <c r="G156" s="16" t="s">
        <v>914</v>
      </c>
      <c r="H156" s="16" t="s">
        <v>54</v>
      </c>
      <c r="I156" s="16" t="s">
        <v>32</v>
      </c>
      <c r="J156" s="16" t="s">
        <v>663</v>
      </c>
      <c r="K156" s="16" t="s">
        <v>915</v>
      </c>
      <c r="L156" s="16" t="s">
        <v>89</v>
      </c>
      <c r="M156" s="16" t="s">
        <v>891</v>
      </c>
      <c r="N156" s="16" t="s">
        <v>916</v>
      </c>
      <c r="O156" s="17" t="s">
        <v>92</v>
      </c>
      <c r="P156" s="18" t="s">
        <v>93</v>
      </c>
      <c r="Q156" s="18"/>
      <c r="R156" s="18"/>
    </row>
    <row r="157" customFormat="false" ht="22.35" hidden="false" customHeight="false" outlineLevel="0" collapsed="false">
      <c r="A157" s="16" t="s">
        <v>917</v>
      </c>
      <c r="B157" s="16" t="s">
        <v>45</v>
      </c>
      <c r="C157" s="16" t="s">
        <v>918</v>
      </c>
      <c r="D157" s="16" t="s">
        <v>919</v>
      </c>
      <c r="E157" s="16" t="s">
        <v>920</v>
      </c>
      <c r="F157" s="16" t="s">
        <v>921</v>
      </c>
      <c r="G157" s="16" t="s">
        <v>922</v>
      </c>
      <c r="H157" s="16" t="s">
        <v>54</v>
      </c>
      <c r="I157" s="16" t="s">
        <v>32</v>
      </c>
      <c r="J157" s="16" t="s">
        <v>663</v>
      </c>
      <c r="K157" s="16" t="s">
        <v>354</v>
      </c>
      <c r="L157" s="16" t="s">
        <v>89</v>
      </c>
      <c r="M157" s="16" t="s">
        <v>704</v>
      </c>
      <c r="N157" s="16" t="s">
        <v>923</v>
      </c>
      <c r="O157" s="17" t="s">
        <v>92</v>
      </c>
      <c r="P157" s="18" t="s">
        <v>93</v>
      </c>
      <c r="Q157" s="18"/>
      <c r="R157" s="18"/>
    </row>
    <row r="158" customFormat="false" ht="22.35" hidden="false" customHeight="false" outlineLevel="0" collapsed="false">
      <c r="A158" s="16" t="s">
        <v>924</v>
      </c>
      <c r="B158" s="16" t="s">
        <v>45</v>
      </c>
      <c r="C158" s="16" t="s">
        <v>918</v>
      </c>
      <c r="D158" s="16" t="s">
        <v>925</v>
      </c>
      <c r="E158" s="16" t="s">
        <v>926</v>
      </c>
      <c r="F158" s="16" t="s">
        <v>921</v>
      </c>
      <c r="G158" s="16" t="s">
        <v>927</v>
      </c>
      <c r="H158" s="16" t="s">
        <v>54</v>
      </c>
      <c r="I158" s="16" t="s">
        <v>32</v>
      </c>
      <c r="J158" s="16" t="s">
        <v>663</v>
      </c>
      <c r="K158" s="16" t="s">
        <v>354</v>
      </c>
      <c r="L158" s="16" t="s">
        <v>89</v>
      </c>
      <c r="M158" s="16" t="s">
        <v>928</v>
      </c>
      <c r="N158" s="16" t="s">
        <v>929</v>
      </c>
      <c r="O158" s="17" t="s">
        <v>92</v>
      </c>
      <c r="P158" s="18" t="s">
        <v>93</v>
      </c>
      <c r="Q158" s="18"/>
      <c r="R158" s="18"/>
    </row>
    <row r="159" customFormat="false" ht="22.35" hidden="false" customHeight="false" outlineLevel="0" collapsed="false">
      <c r="A159" s="16" t="s">
        <v>930</v>
      </c>
      <c r="B159" s="16" t="s">
        <v>45</v>
      </c>
      <c r="C159" s="16" t="s">
        <v>918</v>
      </c>
      <c r="D159" s="16" t="s">
        <v>925</v>
      </c>
      <c r="E159" s="16" t="s">
        <v>931</v>
      </c>
      <c r="F159" s="16" t="s">
        <v>921</v>
      </c>
      <c r="G159" s="16" t="s">
        <v>932</v>
      </c>
      <c r="H159" s="16" t="s">
        <v>56</v>
      </c>
      <c r="I159" s="16" t="s">
        <v>33</v>
      </c>
      <c r="J159" s="16" t="s">
        <v>663</v>
      </c>
      <c r="K159" s="16" t="s">
        <v>354</v>
      </c>
      <c r="L159" s="16" t="s">
        <v>89</v>
      </c>
      <c r="M159" s="16" t="s">
        <v>928</v>
      </c>
      <c r="N159" s="16" t="s">
        <v>933</v>
      </c>
      <c r="O159" s="17" t="s">
        <v>92</v>
      </c>
      <c r="P159" s="18" t="s">
        <v>93</v>
      </c>
      <c r="Q159" s="18"/>
      <c r="R159" s="18"/>
    </row>
    <row r="160" customFormat="false" ht="22.35" hidden="false" customHeight="false" outlineLevel="0" collapsed="false">
      <c r="A160" s="16" t="s">
        <v>934</v>
      </c>
      <c r="B160" s="16" t="s">
        <v>45</v>
      </c>
      <c r="C160" s="16" t="s">
        <v>918</v>
      </c>
      <c r="D160" s="16" t="s">
        <v>935</v>
      </c>
      <c r="E160" s="16" t="s">
        <v>936</v>
      </c>
      <c r="F160" s="16" t="s">
        <v>921</v>
      </c>
      <c r="G160" s="16" t="s">
        <v>937</v>
      </c>
      <c r="H160" s="16" t="s">
        <v>54</v>
      </c>
      <c r="I160" s="16" t="s">
        <v>32</v>
      </c>
      <c r="J160" s="16" t="s">
        <v>663</v>
      </c>
      <c r="K160" s="16" t="s">
        <v>354</v>
      </c>
      <c r="L160" s="16" t="s">
        <v>89</v>
      </c>
      <c r="M160" s="16" t="s">
        <v>100</v>
      </c>
      <c r="N160" s="16" t="s">
        <v>627</v>
      </c>
      <c r="O160" s="17" t="s">
        <v>92</v>
      </c>
      <c r="P160" s="18" t="s">
        <v>93</v>
      </c>
      <c r="Q160" s="18"/>
      <c r="R160" s="18"/>
    </row>
    <row r="161" customFormat="false" ht="22.35" hidden="false" customHeight="false" outlineLevel="0" collapsed="false">
      <c r="A161" s="16" t="s">
        <v>938</v>
      </c>
      <c r="B161" s="16" t="s">
        <v>45</v>
      </c>
      <c r="C161" s="16" t="s">
        <v>918</v>
      </c>
      <c r="D161" s="16" t="s">
        <v>903</v>
      </c>
      <c r="E161" s="16" t="s">
        <v>939</v>
      </c>
      <c r="F161" s="16" t="s">
        <v>921</v>
      </c>
      <c r="G161" s="16" t="s">
        <v>940</v>
      </c>
      <c r="H161" s="16" t="s">
        <v>56</v>
      </c>
      <c r="I161" s="16" t="s">
        <v>33</v>
      </c>
      <c r="J161" s="16" t="s">
        <v>663</v>
      </c>
      <c r="K161" s="16" t="s">
        <v>354</v>
      </c>
      <c r="L161" s="16" t="s">
        <v>941</v>
      </c>
      <c r="M161" s="16" t="s">
        <v>100</v>
      </c>
      <c r="N161" s="16" t="s">
        <v>942</v>
      </c>
      <c r="O161" s="17" t="s">
        <v>92</v>
      </c>
      <c r="P161" s="18" t="s">
        <v>93</v>
      </c>
      <c r="Q161" s="18"/>
      <c r="R161" s="18"/>
    </row>
    <row r="162" customFormat="false" ht="22.35" hidden="false" customHeight="false" outlineLevel="0" collapsed="false">
      <c r="A162" s="16" t="s">
        <v>943</v>
      </c>
      <c r="B162" s="16" t="s">
        <v>45</v>
      </c>
      <c r="C162" s="16" t="s">
        <v>918</v>
      </c>
      <c r="D162" s="16" t="s">
        <v>903</v>
      </c>
      <c r="E162" s="16" t="s">
        <v>944</v>
      </c>
      <c r="F162" s="16" t="s">
        <v>921</v>
      </c>
      <c r="G162" s="16" t="s">
        <v>945</v>
      </c>
      <c r="H162" s="16" t="s">
        <v>54</v>
      </c>
      <c r="I162" s="16" t="s">
        <v>31</v>
      </c>
      <c r="J162" s="16" t="s">
        <v>663</v>
      </c>
      <c r="K162" s="16" t="s">
        <v>354</v>
      </c>
      <c r="L162" s="16" t="s">
        <v>89</v>
      </c>
      <c r="M162" s="16" t="s">
        <v>704</v>
      </c>
      <c r="N162" s="16" t="s">
        <v>946</v>
      </c>
      <c r="O162" s="17" t="s">
        <v>92</v>
      </c>
      <c r="P162" s="18" t="s">
        <v>93</v>
      </c>
      <c r="Q162" s="18"/>
      <c r="R162" s="18"/>
    </row>
    <row r="163" customFormat="false" ht="22.35" hidden="false" customHeight="false" outlineLevel="0" collapsed="false">
      <c r="A163" s="16" t="s">
        <v>947</v>
      </c>
      <c r="B163" s="16" t="s">
        <v>45</v>
      </c>
      <c r="C163" s="16" t="s">
        <v>918</v>
      </c>
      <c r="D163" s="16" t="s">
        <v>948</v>
      </c>
      <c r="E163" s="16" t="s">
        <v>949</v>
      </c>
      <c r="F163" s="16" t="s">
        <v>921</v>
      </c>
      <c r="G163" s="16" t="s">
        <v>950</v>
      </c>
      <c r="H163" s="16" t="s">
        <v>56</v>
      </c>
      <c r="I163" s="16" t="s">
        <v>33</v>
      </c>
      <c r="J163" s="16" t="s">
        <v>663</v>
      </c>
      <c r="K163" s="16" t="s">
        <v>354</v>
      </c>
      <c r="L163" s="16" t="s">
        <v>89</v>
      </c>
      <c r="M163" s="16" t="s">
        <v>100</v>
      </c>
      <c r="N163" s="16" t="s">
        <v>627</v>
      </c>
      <c r="O163" s="17" t="s">
        <v>92</v>
      </c>
      <c r="P163" s="18" t="s">
        <v>93</v>
      </c>
      <c r="Q163" s="18"/>
      <c r="R163" s="18"/>
    </row>
    <row r="164" customFormat="false" ht="22.35" hidden="false" customHeight="false" outlineLevel="0" collapsed="false">
      <c r="A164" s="16" t="s">
        <v>951</v>
      </c>
      <c r="B164" s="16" t="s">
        <v>45</v>
      </c>
      <c r="C164" s="16" t="s">
        <v>918</v>
      </c>
      <c r="D164" s="16" t="s">
        <v>952</v>
      </c>
      <c r="E164" s="16" t="s">
        <v>953</v>
      </c>
      <c r="F164" s="16" t="s">
        <v>921</v>
      </c>
      <c r="G164" s="16" t="s">
        <v>954</v>
      </c>
      <c r="H164" s="16" t="s">
        <v>56</v>
      </c>
      <c r="I164" s="16" t="s">
        <v>34</v>
      </c>
      <c r="J164" s="16" t="s">
        <v>663</v>
      </c>
      <c r="K164" s="16" t="s">
        <v>354</v>
      </c>
      <c r="L164" s="16" t="s">
        <v>89</v>
      </c>
      <c r="M164" s="16" t="s">
        <v>100</v>
      </c>
      <c r="N164" s="16" t="s">
        <v>955</v>
      </c>
      <c r="O164" s="17" t="s">
        <v>92</v>
      </c>
      <c r="P164" s="18" t="s">
        <v>93</v>
      </c>
      <c r="Q164" s="18"/>
      <c r="R164" s="18"/>
    </row>
    <row r="165" customFormat="false" ht="22.35" hidden="false" customHeight="false" outlineLevel="0" collapsed="false">
      <c r="A165" s="16" t="s">
        <v>956</v>
      </c>
      <c r="B165" s="16" t="s">
        <v>45</v>
      </c>
      <c r="C165" s="16" t="s">
        <v>957</v>
      </c>
      <c r="D165" s="16" t="s">
        <v>958</v>
      </c>
      <c r="E165" s="16" t="s">
        <v>959</v>
      </c>
      <c r="F165" s="16" t="s">
        <v>960</v>
      </c>
      <c r="G165" s="16" t="s">
        <v>961</v>
      </c>
      <c r="H165" s="16" t="s">
        <v>54</v>
      </c>
      <c r="I165" s="16" t="s">
        <v>31</v>
      </c>
      <c r="J165" s="16" t="s">
        <v>663</v>
      </c>
      <c r="K165" s="16" t="s">
        <v>354</v>
      </c>
      <c r="L165" s="16" t="s">
        <v>89</v>
      </c>
      <c r="M165" s="16" t="s">
        <v>313</v>
      </c>
      <c r="N165" s="16" t="s">
        <v>962</v>
      </c>
      <c r="O165" s="17" t="s">
        <v>92</v>
      </c>
      <c r="P165" s="18" t="s">
        <v>93</v>
      </c>
      <c r="Q165" s="18"/>
      <c r="R165" s="18"/>
    </row>
    <row r="166" customFormat="false" ht="22.35" hidden="false" customHeight="false" outlineLevel="0" collapsed="false">
      <c r="A166" s="16" t="s">
        <v>963</v>
      </c>
      <c r="B166" s="16" t="s">
        <v>45</v>
      </c>
      <c r="C166" s="16" t="s">
        <v>957</v>
      </c>
      <c r="D166" s="16" t="s">
        <v>964</v>
      </c>
      <c r="E166" s="16" t="s">
        <v>965</v>
      </c>
      <c r="F166" s="16" t="s">
        <v>960</v>
      </c>
      <c r="G166" s="16" t="s">
        <v>966</v>
      </c>
      <c r="H166" s="16" t="s">
        <v>56</v>
      </c>
      <c r="I166" s="16" t="s">
        <v>31</v>
      </c>
      <c r="J166" s="16" t="s">
        <v>663</v>
      </c>
      <c r="K166" s="16" t="s">
        <v>354</v>
      </c>
      <c r="L166" s="16" t="s">
        <v>89</v>
      </c>
      <c r="M166" s="16" t="s">
        <v>313</v>
      </c>
      <c r="N166" s="16" t="s">
        <v>967</v>
      </c>
      <c r="O166" s="17" t="s">
        <v>92</v>
      </c>
      <c r="P166" s="18" t="s">
        <v>93</v>
      </c>
      <c r="Q166" s="18"/>
      <c r="R166" s="18"/>
    </row>
    <row r="167" customFormat="false" ht="22.35" hidden="false" customHeight="false" outlineLevel="0" collapsed="false">
      <c r="A167" s="16" t="s">
        <v>968</v>
      </c>
      <c r="B167" s="16" t="s">
        <v>45</v>
      </c>
      <c r="C167" s="16" t="s">
        <v>957</v>
      </c>
      <c r="D167" s="16" t="s">
        <v>969</v>
      </c>
      <c r="E167" s="16" t="s">
        <v>970</v>
      </c>
      <c r="F167" s="16" t="s">
        <v>960</v>
      </c>
      <c r="G167" s="16" t="s">
        <v>971</v>
      </c>
      <c r="H167" s="16" t="s">
        <v>54</v>
      </c>
      <c r="I167" s="16" t="s">
        <v>31</v>
      </c>
      <c r="J167" s="16" t="s">
        <v>663</v>
      </c>
      <c r="K167" s="16" t="s">
        <v>972</v>
      </c>
      <c r="L167" s="16" t="s">
        <v>973</v>
      </c>
      <c r="M167" s="16" t="s">
        <v>313</v>
      </c>
      <c r="N167" s="16" t="s">
        <v>974</v>
      </c>
      <c r="O167" s="17" t="s">
        <v>92</v>
      </c>
      <c r="P167" s="18" t="s">
        <v>93</v>
      </c>
      <c r="Q167" s="18"/>
      <c r="R167" s="18"/>
    </row>
    <row r="168" customFormat="false" ht="22.35" hidden="false" customHeight="false" outlineLevel="0" collapsed="false">
      <c r="A168" s="16" t="s">
        <v>975</v>
      </c>
      <c r="B168" s="16" t="s">
        <v>45</v>
      </c>
      <c r="C168" s="16" t="s">
        <v>957</v>
      </c>
      <c r="D168" s="16" t="s">
        <v>964</v>
      </c>
      <c r="E168" s="16" t="s">
        <v>976</v>
      </c>
      <c r="F168" s="16" t="s">
        <v>960</v>
      </c>
      <c r="G168" s="16" t="s">
        <v>977</v>
      </c>
      <c r="H168" s="16" t="s">
        <v>58</v>
      </c>
      <c r="I168" s="16" t="s">
        <v>34</v>
      </c>
      <c r="J168" s="16" t="s">
        <v>663</v>
      </c>
      <c r="K168" s="16" t="s">
        <v>354</v>
      </c>
      <c r="L168" s="16" t="s">
        <v>89</v>
      </c>
      <c r="M168" s="16" t="s">
        <v>313</v>
      </c>
      <c r="N168" s="16" t="s">
        <v>808</v>
      </c>
      <c r="O168" s="17" t="s">
        <v>92</v>
      </c>
      <c r="P168" s="18" t="s">
        <v>93</v>
      </c>
      <c r="Q168" s="18"/>
      <c r="R168" s="18"/>
    </row>
    <row r="169" customFormat="false" ht="22.35" hidden="false" customHeight="false" outlineLevel="0" collapsed="false">
      <c r="A169" s="16" t="s">
        <v>978</v>
      </c>
      <c r="B169" s="16" t="s">
        <v>45</v>
      </c>
      <c r="C169" s="16" t="s">
        <v>957</v>
      </c>
      <c r="D169" s="16" t="s">
        <v>964</v>
      </c>
      <c r="E169" s="16" t="s">
        <v>979</v>
      </c>
      <c r="F169" s="16" t="s">
        <v>960</v>
      </c>
      <c r="G169" s="16" t="s">
        <v>980</v>
      </c>
      <c r="H169" s="16" t="s">
        <v>56</v>
      </c>
      <c r="I169" s="16" t="s">
        <v>32</v>
      </c>
      <c r="J169" s="16" t="s">
        <v>663</v>
      </c>
      <c r="K169" s="16" t="s">
        <v>354</v>
      </c>
      <c r="L169" s="16" t="s">
        <v>89</v>
      </c>
      <c r="M169" s="16" t="s">
        <v>313</v>
      </c>
      <c r="N169" s="16" t="s">
        <v>981</v>
      </c>
      <c r="O169" s="17" t="s">
        <v>92</v>
      </c>
      <c r="P169" s="18" t="s">
        <v>93</v>
      </c>
      <c r="Q169" s="18"/>
      <c r="R169" s="18"/>
    </row>
    <row r="170" customFormat="false" ht="22.35" hidden="false" customHeight="false" outlineLevel="0" collapsed="false">
      <c r="A170" s="16" t="s">
        <v>982</v>
      </c>
      <c r="B170" s="16" t="s">
        <v>45</v>
      </c>
      <c r="C170" s="16" t="s">
        <v>957</v>
      </c>
      <c r="D170" s="16" t="s">
        <v>969</v>
      </c>
      <c r="E170" s="16" t="s">
        <v>983</v>
      </c>
      <c r="F170" s="16" t="s">
        <v>960</v>
      </c>
      <c r="G170" s="16" t="s">
        <v>984</v>
      </c>
      <c r="H170" s="16" t="s">
        <v>56</v>
      </c>
      <c r="I170" s="16" t="s">
        <v>32</v>
      </c>
      <c r="J170" s="16" t="s">
        <v>663</v>
      </c>
      <c r="K170" s="16" t="s">
        <v>972</v>
      </c>
      <c r="L170" s="16" t="s">
        <v>985</v>
      </c>
      <c r="M170" s="16" t="s">
        <v>313</v>
      </c>
      <c r="N170" s="16" t="s">
        <v>974</v>
      </c>
      <c r="O170" s="17" t="s">
        <v>92</v>
      </c>
      <c r="P170" s="18" t="s">
        <v>93</v>
      </c>
      <c r="Q170" s="18"/>
      <c r="R170" s="18"/>
    </row>
    <row r="171" customFormat="false" ht="15" hidden="false" customHeight="false" outlineLevel="0" collapsed="false">
      <c r="A171" s="16" t="s">
        <v>986</v>
      </c>
      <c r="B171" s="16" t="s">
        <v>45</v>
      </c>
      <c r="C171" s="16" t="s">
        <v>957</v>
      </c>
      <c r="D171" s="16" t="s">
        <v>987</v>
      </c>
      <c r="E171" s="16" t="s">
        <v>988</v>
      </c>
      <c r="F171" s="16" t="s">
        <v>960</v>
      </c>
      <c r="G171" s="16" t="s">
        <v>989</v>
      </c>
      <c r="H171" s="16" t="s">
        <v>56</v>
      </c>
      <c r="I171" s="16" t="s">
        <v>32</v>
      </c>
      <c r="J171" s="16" t="s">
        <v>990</v>
      </c>
      <c r="K171" s="16" t="s">
        <v>219</v>
      </c>
      <c r="L171" s="16" t="s">
        <v>853</v>
      </c>
      <c r="M171" s="16" t="s">
        <v>313</v>
      </c>
      <c r="N171" s="16" t="s">
        <v>991</v>
      </c>
      <c r="O171" s="17" t="s">
        <v>92</v>
      </c>
      <c r="P171" s="18" t="s">
        <v>93</v>
      </c>
      <c r="Q171" s="18"/>
      <c r="R171" s="18"/>
    </row>
    <row r="172" customFormat="false" ht="22.35" hidden="false" customHeight="false" outlineLevel="0" collapsed="false">
      <c r="A172" s="16" t="s">
        <v>992</v>
      </c>
      <c r="B172" s="16" t="s">
        <v>45</v>
      </c>
      <c r="C172" s="16" t="s">
        <v>993</v>
      </c>
      <c r="D172" s="16" t="s">
        <v>994</v>
      </c>
      <c r="E172" s="16" t="s">
        <v>995</v>
      </c>
      <c r="F172" s="16" t="s">
        <v>996</v>
      </c>
      <c r="G172" s="16" t="s">
        <v>997</v>
      </c>
      <c r="H172" s="16" t="s">
        <v>54</v>
      </c>
      <c r="I172" s="16" t="s">
        <v>31</v>
      </c>
      <c r="J172" s="16" t="s">
        <v>663</v>
      </c>
      <c r="K172" s="16" t="s">
        <v>318</v>
      </c>
      <c r="L172" s="16" t="s">
        <v>89</v>
      </c>
      <c r="M172" s="16" t="s">
        <v>313</v>
      </c>
      <c r="N172" s="16" t="s">
        <v>998</v>
      </c>
      <c r="O172" s="17" t="s">
        <v>92</v>
      </c>
      <c r="P172" s="18" t="s">
        <v>93</v>
      </c>
      <c r="Q172" s="18"/>
      <c r="R172" s="18"/>
    </row>
    <row r="173" customFormat="false" ht="22.35" hidden="false" customHeight="false" outlineLevel="0" collapsed="false">
      <c r="A173" s="16" t="s">
        <v>999</v>
      </c>
      <c r="B173" s="16" t="s">
        <v>45</v>
      </c>
      <c r="C173" s="16" t="s">
        <v>993</v>
      </c>
      <c r="D173" s="16" t="s">
        <v>1000</v>
      </c>
      <c r="E173" s="16" t="s">
        <v>1001</v>
      </c>
      <c r="F173" s="16" t="s">
        <v>996</v>
      </c>
      <c r="G173" s="16" t="s">
        <v>1002</v>
      </c>
      <c r="H173" s="16" t="s">
        <v>54</v>
      </c>
      <c r="I173" s="16" t="s">
        <v>32</v>
      </c>
      <c r="J173" s="16" t="s">
        <v>663</v>
      </c>
      <c r="K173" s="16" t="s">
        <v>318</v>
      </c>
      <c r="L173" s="16" t="s">
        <v>393</v>
      </c>
      <c r="M173" s="16" t="s">
        <v>100</v>
      </c>
      <c r="N173" s="16" t="s">
        <v>1003</v>
      </c>
      <c r="O173" s="17" t="s">
        <v>92</v>
      </c>
      <c r="P173" s="18" t="s">
        <v>93</v>
      </c>
      <c r="Q173" s="18"/>
      <c r="R173" s="18"/>
    </row>
    <row r="174" customFormat="false" ht="22.35" hidden="false" customHeight="false" outlineLevel="0" collapsed="false">
      <c r="A174" s="16" t="s">
        <v>1004</v>
      </c>
      <c r="B174" s="16" t="s">
        <v>45</v>
      </c>
      <c r="C174" s="16" t="s">
        <v>993</v>
      </c>
      <c r="D174" s="16" t="s">
        <v>1005</v>
      </c>
      <c r="E174" s="16" t="s">
        <v>1006</v>
      </c>
      <c r="F174" s="16" t="s">
        <v>996</v>
      </c>
      <c r="G174" s="16" t="s">
        <v>1007</v>
      </c>
      <c r="H174" s="16" t="s">
        <v>54</v>
      </c>
      <c r="I174" s="16" t="s">
        <v>32</v>
      </c>
      <c r="J174" s="16" t="s">
        <v>663</v>
      </c>
      <c r="K174" s="16" t="s">
        <v>318</v>
      </c>
      <c r="L174" s="16" t="s">
        <v>89</v>
      </c>
      <c r="M174" s="16" t="s">
        <v>100</v>
      </c>
      <c r="N174" s="16" t="s">
        <v>1008</v>
      </c>
      <c r="O174" s="17" t="s">
        <v>92</v>
      </c>
      <c r="P174" s="18" t="s">
        <v>93</v>
      </c>
      <c r="Q174" s="18"/>
      <c r="R174" s="18"/>
    </row>
    <row r="175" customFormat="false" ht="22.35" hidden="false" customHeight="false" outlineLevel="0" collapsed="false">
      <c r="A175" s="16" t="s">
        <v>1009</v>
      </c>
      <c r="B175" s="16" t="s">
        <v>45</v>
      </c>
      <c r="C175" s="16" t="s">
        <v>993</v>
      </c>
      <c r="D175" s="16" t="s">
        <v>1010</v>
      </c>
      <c r="E175" s="16" t="s">
        <v>1011</v>
      </c>
      <c r="F175" s="16" t="s">
        <v>996</v>
      </c>
      <c r="G175" s="16" t="s">
        <v>1012</v>
      </c>
      <c r="H175" s="16" t="s">
        <v>54</v>
      </c>
      <c r="I175" s="16" t="s">
        <v>32</v>
      </c>
      <c r="J175" s="16" t="s">
        <v>663</v>
      </c>
      <c r="K175" s="16" t="s">
        <v>318</v>
      </c>
      <c r="L175" s="16" t="s">
        <v>1013</v>
      </c>
      <c r="M175" s="16" t="s">
        <v>313</v>
      </c>
      <c r="N175" s="16" t="s">
        <v>1014</v>
      </c>
      <c r="O175" s="17" t="s">
        <v>92</v>
      </c>
      <c r="P175" s="18" t="s">
        <v>93</v>
      </c>
      <c r="Q175" s="18"/>
      <c r="R175" s="18"/>
    </row>
    <row r="176" customFormat="false" ht="22.35" hidden="false" customHeight="false" outlineLevel="0" collapsed="false">
      <c r="A176" s="16" t="s">
        <v>1015</v>
      </c>
      <c r="B176" s="16" t="s">
        <v>45</v>
      </c>
      <c r="C176" s="16" t="s">
        <v>993</v>
      </c>
      <c r="D176" s="16" t="s">
        <v>1016</v>
      </c>
      <c r="E176" s="16" t="s">
        <v>1017</v>
      </c>
      <c r="F176" s="16" t="s">
        <v>996</v>
      </c>
      <c r="G176" s="16" t="s">
        <v>1018</v>
      </c>
      <c r="H176" s="16" t="s">
        <v>56</v>
      </c>
      <c r="I176" s="16" t="s">
        <v>32</v>
      </c>
      <c r="J176" s="16" t="s">
        <v>663</v>
      </c>
      <c r="K176" s="16" t="s">
        <v>330</v>
      </c>
      <c r="L176" s="16" t="s">
        <v>1019</v>
      </c>
      <c r="M176" s="16" t="s">
        <v>332</v>
      </c>
      <c r="N176" s="16" t="s">
        <v>1020</v>
      </c>
      <c r="O176" s="17" t="s">
        <v>92</v>
      </c>
      <c r="P176" s="18" t="s">
        <v>93</v>
      </c>
      <c r="Q176" s="18"/>
      <c r="R176" s="18"/>
    </row>
    <row r="177" customFormat="false" ht="22.35" hidden="false" customHeight="false" outlineLevel="0" collapsed="false">
      <c r="A177" s="16" t="s">
        <v>1021</v>
      </c>
      <c r="B177" s="16" t="s">
        <v>45</v>
      </c>
      <c r="C177" s="16" t="s">
        <v>993</v>
      </c>
      <c r="D177" s="16" t="s">
        <v>1022</v>
      </c>
      <c r="E177" s="16" t="s">
        <v>1023</v>
      </c>
      <c r="F177" s="16" t="s">
        <v>996</v>
      </c>
      <c r="G177" s="16" t="s">
        <v>1024</v>
      </c>
      <c r="H177" s="16" t="s">
        <v>56</v>
      </c>
      <c r="I177" s="16" t="s">
        <v>33</v>
      </c>
      <c r="J177" s="16" t="s">
        <v>663</v>
      </c>
      <c r="K177" s="16" t="s">
        <v>330</v>
      </c>
      <c r="L177" s="16" t="s">
        <v>89</v>
      </c>
      <c r="M177" s="16" t="s">
        <v>100</v>
      </c>
      <c r="N177" s="16" t="s">
        <v>1025</v>
      </c>
      <c r="O177" s="17" t="s">
        <v>92</v>
      </c>
      <c r="P177" s="18" t="s">
        <v>93</v>
      </c>
      <c r="Q177" s="18"/>
      <c r="R177" s="18"/>
    </row>
    <row r="178" customFormat="false" ht="22.35" hidden="false" customHeight="false" outlineLevel="0" collapsed="false">
      <c r="A178" s="16" t="s">
        <v>1026</v>
      </c>
      <c r="B178" s="16" t="s">
        <v>45</v>
      </c>
      <c r="C178" s="16" t="s">
        <v>993</v>
      </c>
      <c r="D178" s="16" t="s">
        <v>1027</v>
      </c>
      <c r="E178" s="16" t="s">
        <v>1028</v>
      </c>
      <c r="F178" s="16" t="s">
        <v>996</v>
      </c>
      <c r="G178" s="16" t="s">
        <v>1029</v>
      </c>
      <c r="H178" s="16" t="s">
        <v>56</v>
      </c>
      <c r="I178" s="16" t="s">
        <v>33</v>
      </c>
      <c r="J178" s="16" t="s">
        <v>663</v>
      </c>
      <c r="K178" s="16" t="s">
        <v>318</v>
      </c>
      <c r="L178" s="16" t="s">
        <v>393</v>
      </c>
      <c r="M178" s="16" t="s">
        <v>100</v>
      </c>
      <c r="N178" s="16" t="s">
        <v>1003</v>
      </c>
      <c r="O178" s="17" t="s">
        <v>92</v>
      </c>
      <c r="P178" s="18" t="s">
        <v>93</v>
      </c>
      <c r="Q178" s="18"/>
      <c r="R178" s="18"/>
    </row>
    <row r="179" customFormat="false" ht="22.35" hidden="false" customHeight="false" outlineLevel="0" collapsed="false">
      <c r="A179" s="16" t="s">
        <v>1030</v>
      </c>
      <c r="B179" s="16" t="s">
        <v>45</v>
      </c>
      <c r="C179" s="16" t="s">
        <v>1031</v>
      </c>
      <c r="D179" s="16" t="s">
        <v>1032</v>
      </c>
      <c r="E179" s="16" t="s">
        <v>1033</v>
      </c>
      <c r="F179" s="16" t="s">
        <v>1034</v>
      </c>
      <c r="G179" s="16" t="s">
        <v>1035</v>
      </c>
      <c r="H179" s="16" t="s">
        <v>54</v>
      </c>
      <c r="I179" s="16" t="s">
        <v>31</v>
      </c>
      <c r="J179" s="16" t="s">
        <v>663</v>
      </c>
      <c r="K179" s="16" t="s">
        <v>330</v>
      </c>
      <c r="L179" s="16" t="s">
        <v>1036</v>
      </c>
      <c r="M179" s="16" t="s">
        <v>394</v>
      </c>
      <c r="N179" s="16" t="s">
        <v>1037</v>
      </c>
      <c r="O179" s="17" t="s">
        <v>92</v>
      </c>
      <c r="P179" s="18" t="s">
        <v>93</v>
      </c>
      <c r="Q179" s="18"/>
      <c r="R179" s="18"/>
    </row>
    <row r="180" customFormat="false" ht="22.35" hidden="false" customHeight="false" outlineLevel="0" collapsed="false">
      <c r="A180" s="16" t="s">
        <v>1038</v>
      </c>
      <c r="B180" s="16" t="s">
        <v>45</v>
      </c>
      <c r="C180" s="16" t="s">
        <v>1031</v>
      </c>
      <c r="D180" s="16" t="s">
        <v>1032</v>
      </c>
      <c r="E180" s="16" t="s">
        <v>1039</v>
      </c>
      <c r="F180" s="16" t="s">
        <v>1034</v>
      </c>
      <c r="G180" s="16" t="s">
        <v>1040</v>
      </c>
      <c r="H180" s="16" t="s">
        <v>56</v>
      </c>
      <c r="I180" s="16" t="s">
        <v>32</v>
      </c>
      <c r="J180" s="16" t="s">
        <v>663</v>
      </c>
      <c r="K180" s="16" t="s">
        <v>330</v>
      </c>
      <c r="L180" s="16" t="s">
        <v>725</v>
      </c>
      <c r="M180" s="16" t="s">
        <v>332</v>
      </c>
      <c r="N180" s="16" t="s">
        <v>1041</v>
      </c>
      <c r="O180" s="17" t="s">
        <v>92</v>
      </c>
      <c r="P180" s="18" t="s">
        <v>93</v>
      </c>
      <c r="Q180" s="18"/>
      <c r="R180" s="18"/>
    </row>
    <row r="181" customFormat="false" ht="22.35" hidden="false" customHeight="false" outlineLevel="0" collapsed="false">
      <c r="A181" s="16" t="s">
        <v>1042</v>
      </c>
      <c r="B181" s="16" t="s">
        <v>45</v>
      </c>
      <c r="C181" s="16" t="s">
        <v>1031</v>
      </c>
      <c r="D181" s="16" t="s">
        <v>1043</v>
      </c>
      <c r="E181" s="16" t="s">
        <v>1044</v>
      </c>
      <c r="F181" s="16" t="s">
        <v>1034</v>
      </c>
      <c r="G181" s="16" t="s">
        <v>1045</v>
      </c>
      <c r="H181" s="16" t="s">
        <v>54</v>
      </c>
      <c r="I181" s="16" t="s">
        <v>32</v>
      </c>
      <c r="J181" s="16" t="s">
        <v>663</v>
      </c>
      <c r="K181" s="16" t="s">
        <v>1046</v>
      </c>
      <c r="L181" s="16" t="s">
        <v>1047</v>
      </c>
      <c r="M181" s="16" t="s">
        <v>332</v>
      </c>
      <c r="N181" s="16" t="s">
        <v>1048</v>
      </c>
      <c r="O181" s="17" t="s">
        <v>92</v>
      </c>
      <c r="P181" s="18" t="s">
        <v>93</v>
      </c>
      <c r="Q181" s="18"/>
      <c r="R181" s="18"/>
    </row>
    <row r="182" customFormat="false" ht="22.35" hidden="false" customHeight="false" outlineLevel="0" collapsed="false">
      <c r="A182" s="16" t="s">
        <v>1049</v>
      </c>
      <c r="B182" s="16" t="s">
        <v>45</v>
      </c>
      <c r="C182" s="16" t="s">
        <v>1031</v>
      </c>
      <c r="D182" s="16" t="s">
        <v>1050</v>
      </c>
      <c r="E182" s="16" t="s">
        <v>1051</v>
      </c>
      <c r="F182" s="16" t="s">
        <v>1034</v>
      </c>
      <c r="G182" s="16" t="s">
        <v>1052</v>
      </c>
      <c r="H182" s="16" t="s">
        <v>54</v>
      </c>
      <c r="I182" s="16" t="s">
        <v>31</v>
      </c>
      <c r="J182" s="16" t="s">
        <v>663</v>
      </c>
      <c r="K182" s="16" t="s">
        <v>365</v>
      </c>
      <c r="L182" s="16" t="s">
        <v>349</v>
      </c>
      <c r="M182" s="16" t="s">
        <v>202</v>
      </c>
      <c r="N182" s="16" t="s">
        <v>1053</v>
      </c>
      <c r="O182" s="17" t="s">
        <v>92</v>
      </c>
      <c r="P182" s="18" t="s">
        <v>93</v>
      </c>
      <c r="Q182" s="18"/>
      <c r="R182" s="18"/>
    </row>
    <row r="183" customFormat="false" ht="22.35" hidden="false" customHeight="false" outlineLevel="0" collapsed="false">
      <c r="A183" s="16" t="s">
        <v>1054</v>
      </c>
      <c r="B183" s="16" t="s">
        <v>45</v>
      </c>
      <c r="C183" s="16" t="s">
        <v>1031</v>
      </c>
      <c r="D183" s="16" t="s">
        <v>1055</v>
      </c>
      <c r="E183" s="16" t="s">
        <v>1056</v>
      </c>
      <c r="F183" s="16" t="s">
        <v>1034</v>
      </c>
      <c r="G183" s="16" t="s">
        <v>1057</v>
      </c>
      <c r="H183" s="16" t="s">
        <v>54</v>
      </c>
      <c r="I183" s="16" t="s">
        <v>31</v>
      </c>
      <c r="J183" s="16" t="s">
        <v>663</v>
      </c>
      <c r="K183" s="16" t="s">
        <v>330</v>
      </c>
      <c r="L183" s="16" t="s">
        <v>481</v>
      </c>
      <c r="M183" s="16" t="s">
        <v>394</v>
      </c>
      <c r="N183" s="16" t="s">
        <v>1058</v>
      </c>
      <c r="O183" s="17" t="s">
        <v>92</v>
      </c>
      <c r="P183" s="18" t="s">
        <v>93</v>
      </c>
      <c r="Q183" s="18"/>
      <c r="R183" s="18"/>
    </row>
    <row r="184" customFormat="false" ht="22.35" hidden="false" customHeight="false" outlineLevel="0" collapsed="false">
      <c r="A184" s="16" t="s">
        <v>1059</v>
      </c>
      <c r="B184" s="16" t="s">
        <v>45</v>
      </c>
      <c r="C184" s="16" t="s">
        <v>1031</v>
      </c>
      <c r="D184" s="16" t="s">
        <v>1060</v>
      </c>
      <c r="E184" s="16" t="s">
        <v>1061</v>
      </c>
      <c r="F184" s="16" t="s">
        <v>1034</v>
      </c>
      <c r="G184" s="16" t="s">
        <v>1062</v>
      </c>
      <c r="H184" s="16" t="s">
        <v>56</v>
      </c>
      <c r="I184" s="16" t="s">
        <v>32</v>
      </c>
      <c r="J184" s="16" t="s">
        <v>990</v>
      </c>
      <c r="K184" s="16" t="s">
        <v>330</v>
      </c>
      <c r="L184" s="16" t="s">
        <v>1036</v>
      </c>
      <c r="M184" s="16" t="s">
        <v>394</v>
      </c>
      <c r="N184" s="16" t="s">
        <v>1063</v>
      </c>
      <c r="O184" s="17" t="s">
        <v>92</v>
      </c>
      <c r="P184" s="18" t="s">
        <v>93</v>
      </c>
      <c r="Q184" s="18"/>
      <c r="R184" s="18"/>
    </row>
    <row r="185" customFormat="false" ht="22.35" hidden="false" customHeight="false" outlineLevel="0" collapsed="false">
      <c r="A185" s="16" t="s">
        <v>1064</v>
      </c>
      <c r="B185" s="16" t="s">
        <v>45</v>
      </c>
      <c r="C185" s="16" t="s">
        <v>1031</v>
      </c>
      <c r="D185" s="16" t="s">
        <v>1065</v>
      </c>
      <c r="E185" s="16" t="s">
        <v>1066</v>
      </c>
      <c r="F185" s="16" t="s">
        <v>1034</v>
      </c>
      <c r="G185" s="16" t="s">
        <v>1067</v>
      </c>
      <c r="H185" s="16" t="s">
        <v>54</v>
      </c>
      <c r="I185" s="16" t="s">
        <v>31</v>
      </c>
      <c r="J185" s="16" t="s">
        <v>663</v>
      </c>
      <c r="K185" s="16" t="s">
        <v>1068</v>
      </c>
      <c r="L185" s="16" t="s">
        <v>89</v>
      </c>
      <c r="M185" s="16" t="s">
        <v>394</v>
      </c>
      <c r="N185" s="16" t="s">
        <v>1069</v>
      </c>
      <c r="O185" s="17" t="s">
        <v>92</v>
      </c>
      <c r="P185" s="18" t="s">
        <v>93</v>
      </c>
      <c r="Q185" s="18"/>
      <c r="R185" s="18"/>
    </row>
    <row r="186" customFormat="false" ht="22.35" hidden="false" customHeight="false" outlineLevel="0" collapsed="false">
      <c r="A186" s="16" t="s">
        <v>1070</v>
      </c>
      <c r="B186" s="16" t="s">
        <v>45</v>
      </c>
      <c r="C186" s="16" t="s">
        <v>1031</v>
      </c>
      <c r="D186" s="16" t="s">
        <v>1065</v>
      </c>
      <c r="E186" s="16" t="s">
        <v>1071</v>
      </c>
      <c r="F186" s="16" t="s">
        <v>1034</v>
      </c>
      <c r="G186" s="16" t="s">
        <v>1072</v>
      </c>
      <c r="H186" s="16" t="s">
        <v>54</v>
      </c>
      <c r="I186" s="16" t="s">
        <v>31</v>
      </c>
      <c r="J186" s="16" t="s">
        <v>663</v>
      </c>
      <c r="K186" s="16" t="s">
        <v>1068</v>
      </c>
      <c r="L186" s="16" t="s">
        <v>1073</v>
      </c>
      <c r="M186" s="16" t="s">
        <v>1074</v>
      </c>
      <c r="N186" s="16" t="s">
        <v>1075</v>
      </c>
      <c r="O186" s="17" t="s">
        <v>92</v>
      </c>
      <c r="P186" s="18" t="s">
        <v>93</v>
      </c>
      <c r="Q186" s="18"/>
      <c r="R186" s="18"/>
    </row>
    <row r="187" customFormat="false" ht="22.35" hidden="false" customHeight="false" outlineLevel="0" collapsed="false">
      <c r="A187" s="16" t="s">
        <v>1076</v>
      </c>
      <c r="B187" s="16" t="s">
        <v>45</v>
      </c>
      <c r="C187" s="16" t="s">
        <v>1031</v>
      </c>
      <c r="D187" s="16" t="s">
        <v>1077</v>
      </c>
      <c r="E187" s="16" t="s">
        <v>1078</v>
      </c>
      <c r="F187" s="16" t="s">
        <v>1034</v>
      </c>
      <c r="G187" s="16" t="s">
        <v>1079</v>
      </c>
      <c r="H187" s="16" t="s">
        <v>54</v>
      </c>
      <c r="I187" s="16" t="s">
        <v>32</v>
      </c>
      <c r="J187" s="16" t="s">
        <v>663</v>
      </c>
      <c r="K187" s="16" t="s">
        <v>354</v>
      </c>
      <c r="L187" s="16" t="s">
        <v>89</v>
      </c>
      <c r="M187" s="16" t="s">
        <v>394</v>
      </c>
      <c r="N187" s="16" t="s">
        <v>1080</v>
      </c>
      <c r="O187" s="17" t="s">
        <v>92</v>
      </c>
      <c r="P187" s="18" t="s">
        <v>93</v>
      </c>
      <c r="Q187" s="18"/>
      <c r="R187" s="18"/>
    </row>
    <row r="188" customFormat="false" ht="22.35" hidden="false" customHeight="false" outlineLevel="0" collapsed="false">
      <c r="A188" s="16" t="s">
        <v>1081</v>
      </c>
      <c r="B188" s="16" t="s">
        <v>45</v>
      </c>
      <c r="C188" s="16" t="s">
        <v>1031</v>
      </c>
      <c r="D188" s="16" t="s">
        <v>1077</v>
      </c>
      <c r="E188" s="16" t="s">
        <v>1082</v>
      </c>
      <c r="F188" s="16" t="s">
        <v>1034</v>
      </c>
      <c r="G188" s="16" t="s">
        <v>1083</v>
      </c>
      <c r="H188" s="16" t="s">
        <v>54</v>
      </c>
      <c r="I188" s="16" t="s">
        <v>33</v>
      </c>
      <c r="J188" s="16" t="s">
        <v>663</v>
      </c>
      <c r="K188" s="16" t="s">
        <v>354</v>
      </c>
      <c r="L188" s="16" t="s">
        <v>89</v>
      </c>
      <c r="M188" s="16" t="s">
        <v>100</v>
      </c>
      <c r="N188" s="16" t="s">
        <v>1084</v>
      </c>
      <c r="O188" s="17" t="s">
        <v>92</v>
      </c>
      <c r="P188" s="18" t="s">
        <v>93</v>
      </c>
      <c r="Q188" s="18"/>
      <c r="R188" s="18"/>
    </row>
    <row r="189" customFormat="false" ht="22.35" hidden="false" customHeight="false" outlineLevel="0" collapsed="false">
      <c r="A189" s="16" t="s">
        <v>1085</v>
      </c>
      <c r="B189" s="16" t="s">
        <v>45</v>
      </c>
      <c r="C189" s="16" t="s">
        <v>1031</v>
      </c>
      <c r="D189" s="16" t="s">
        <v>1077</v>
      </c>
      <c r="E189" s="16" t="s">
        <v>1086</v>
      </c>
      <c r="F189" s="16" t="s">
        <v>1034</v>
      </c>
      <c r="G189" s="16" t="s">
        <v>1087</v>
      </c>
      <c r="H189" s="16" t="s">
        <v>54</v>
      </c>
      <c r="I189" s="16" t="s">
        <v>31</v>
      </c>
      <c r="J189" s="16" t="s">
        <v>663</v>
      </c>
      <c r="K189" s="16" t="s">
        <v>803</v>
      </c>
      <c r="L189" s="16" t="s">
        <v>89</v>
      </c>
      <c r="M189" s="16" t="s">
        <v>100</v>
      </c>
      <c r="N189" s="16" t="s">
        <v>1088</v>
      </c>
      <c r="O189" s="17" t="s">
        <v>92</v>
      </c>
      <c r="P189" s="18" t="s">
        <v>93</v>
      </c>
      <c r="Q189" s="18"/>
      <c r="R189" s="18"/>
    </row>
    <row r="190" customFormat="false" ht="22.35" hidden="false" customHeight="false" outlineLevel="0" collapsed="false">
      <c r="A190" s="16" t="s">
        <v>1089</v>
      </c>
      <c r="B190" s="16" t="s">
        <v>45</v>
      </c>
      <c r="C190" s="16" t="s">
        <v>1031</v>
      </c>
      <c r="D190" s="16" t="s">
        <v>1090</v>
      </c>
      <c r="E190" s="16" t="s">
        <v>1091</v>
      </c>
      <c r="F190" s="16" t="s">
        <v>1034</v>
      </c>
      <c r="G190" s="16" t="s">
        <v>1092</v>
      </c>
      <c r="H190" s="16" t="s">
        <v>54</v>
      </c>
      <c r="I190" s="16" t="s">
        <v>32</v>
      </c>
      <c r="J190" s="16" t="s">
        <v>663</v>
      </c>
      <c r="K190" s="16" t="s">
        <v>354</v>
      </c>
      <c r="L190" s="16" t="s">
        <v>89</v>
      </c>
      <c r="M190" s="16" t="s">
        <v>394</v>
      </c>
      <c r="N190" s="16" t="s">
        <v>1093</v>
      </c>
      <c r="O190" s="17" t="s">
        <v>92</v>
      </c>
      <c r="P190" s="18" t="s">
        <v>93</v>
      </c>
      <c r="Q190" s="18"/>
      <c r="R190" s="18"/>
    </row>
    <row r="191" customFormat="false" ht="22.35" hidden="false" customHeight="false" outlineLevel="0" collapsed="false">
      <c r="A191" s="16" t="s">
        <v>1094</v>
      </c>
      <c r="B191" s="16" t="s">
        <v>45</v>
      </c>
      <c r="C191" s="16" t="s">
        <v>1031</v>
      </c>
      <c r="D191" s="16" t="s">
        <v>1090</v>
      </c>
      <c r="E191" s="16" t="s">
        <v>1095</v>
      </c>
      <c r="F191" s="16" t="s">
        <v>1034</v>
      </c>
      <c r="G191" s="16" t="s">
        <v>1096</v>
      </c>
      <c r="H191" s="16" t="s">
        <v>56</v>
      </c>
      <c r="I191" s="16" t="s">
        <v>32</v>
      </c>
      <c r="J191" s="16" t="s">
        <v>663</v>
      </c>
      <c r="K191" s="16" t="s">
        <v>330</v>
      </c>
      <c r="L191" s="16" t="s">
        <v>89</v>
      </c>
      <c r="M191" s="16" t="s">
        <v>394</v>
      </c>
      <c r="N191" s="16" t="s">
        <v>1097</v>
      </c>
      <c r="O191" s="17" t="s">
        <v>92</v>
      </c>
      <c r="P191" s="18" t="s">
        <v>93</v>
      </c>
      <c r="Q191" s="18"/>
      <c r="R191" s="18"/>
    </row>
    <row r="192" customFormat="false" ht="22.35" hidden="false" customHeight="false" outlineLevel="0" collapsed="false">
      <c r="A192" s="16" t="s">
        <v>1098</v>
      </c>
      <c r="B192" s="16" t="s">
        <v>45</v>
      </c>
      <c r="C192" s="16" t="s">
        <v>1031</v>
      </c>
      <c r="D192" s="16" t="s">
        <v>1090</v>
      </c>
      <c r="E192" s="16" t="s">
        <v>1099</v>
      </c>
      <c r="F192" s="16" t="s">
        <v>1034</v>
      </c>
      <c r="G192" s="16" t="s">
        <v>1100</v>
      </c>
      <c r="H192" s="16" t="s">
        <v>56</v>
      </c>
      <c r="I192" s="16" t="s">
        <v>33</v>
      </c>
      <c r="J192" s="16" t="s">
        <v>663</v>
      </c>
      <c r="K192" s="16" t="s">
        <v>354</v>
      </c>
      <c r="L192" s="16" t="s">
        <v>89</v>
      </c>
      <c r="M192" s="16" t="s">
        <v>100</v>
      </c>
      <c r="N192" s="16" t="s">
        <v>1101</v>
      </c>
      <c r="O192" s="17" t="s">
        <v>92</v>
      </c>
      <c r="P192" s="18" t="s">
        <v>93</v>
      </c>
      <c r="Q192" s="18"/>
      <c r="R192" s="18"/>
    </row>
    <row r="193" customFormat="false" ht="22.35" hidden="false" customHeight="false" outlineLevel="0" collapsed="false">
      <c r="A193" s="16" t="s">
        <v>1102</v>
      </c>
      <c r="B193" s="16" t="s">
        <v>45</v>
      </c>
      <c r="C193" s="16" t="s">
        <v>1031</v>
      </c>
      <c r="D193" s="16" t="s">
        <v>1090</v>
      </c>
      <c r="E193" s="16" t="s">
        <v>1103</v>
      </c>
      <c r="F193" s="16" t="s">
        <v>1034</v>
      </c>
      <c r="G193" s="16" t="s">
        <v>1104</v>
      </c>
      <c r="H193" s="16" t="s">
        <v>54</v>
      </c>
      <c r="I193" s="16" t="s">
        <v>32</v>
      </c>
      <c r="J193" s="16" t="s">
        <v>663</v>
      </c>
      <c r="K193" s="16" t="s">
        <v>330</v>
      </c>
      <c r="L193" s="16" t="s">
        <v>89</v>
      </c>
      <c r="M193" s="16" t="s">
        <v>394</v>
      </c>
      <c r="N193" s="16" t="s">
        <v>942</v>
      </c>
      <c r="O193" s="17" t="s">
        <v>92</v>
      </c>
      <c r="P193" s="18" t="s">
        <v>93</v>
      </c>
      <c r="Q193" s="18"/>
      <c r="R193" s="18"/>
    </row>
    <row r="194" customFormat="false" ht="22.35" hidden="false" customHeight="false" outlineLevel="0" collapsed="false">
      <c r="A194" s="16" t="s">
        <v>1105</v>
      </c>
      <c r="B194" s="16" t="s">
        <v>45</v>
      </c>
      <c r="C194" s="16" t="s">
        <v>1106</v>
      </c>
      <c r="D194" s="16" t="s">
        <v>1107</v>
      </c>
      <c r="E194" s="16" t="s">
        <v>1108</v>
      </c>
      <c r="F194" s="16" t="s">
        <v>1109</v>
      </c>
      <c r="G194" s="16" t="s">
        <v>1110</v>
      </c>
      <c r="H194" s="16" t="s">
        <v>56</v>
      </c>
      <c r="I194" s="16" t="s">
        <v>32</v>
      </c>
      <c r="J194" s="16" t="s">
        <v>663</v>
      </c>
      <c r="K194" s="16" t="s">
        <v>330</v>
      </c>
      <c r="L194" s="16" t="s">
        <v>89</v>
      </c>
      <c r="M194" s="16" t="s">
        <v>100</v>
      </c>
      <c r="N194" s="16" t="s">
        <v>1111</v>
      </c>
      <c r="O194" s="17" t="s">
        <v>92</v>
      </c>
      <c r="P194" s="18" t="s">
        <v>93</v>
      </c>
      <c r="Q194" s="18"/>
      <c r="R194" s="18"/>
    </row>
    <row r="195" customFormat="false" ht="22.35" hidden="false" customHeight="false" outlineLevel="0" collapsed="false">
      <c r="A195" s="16" t="s">
        <v>1112</v>
      </c>
      <c r="B195" s="16" t="s">
        <v>45</v>
      </c>
      <c r="C195" s="16" t="s">
        <v>1106</v>
      </c>
      <c r="D195" s="16" t="s">
        <v>1107</v>
      </c>
      <c r="E195" s="16" t="s">
        <v>1113</v>
      </c>
      <c r="F195" s="16" t="s">
        <v>1109</v>
      </c>
      <c r="G195" s="16" t="s">
        <v>1114</v>
      </c>
      <c r="H195" s="16" t="s">
        <v>56</v>
      </c>
      <c r="I195" s="16" t="s">
        <v>33</v>
      </c>
      <c r="J195" s="16" t="s">
        <v>663</v>
      </c>
      <c r="K195" s="16" t="s">
        <v>354</v>
      </c>
      <c r="L195" s="16" t="s">
        <v>89</v>
      </c>
      <c r="M195" s="16" t="s">
        <v>313</v>
      </c>
      <c r="N195" s="16" t="s">
        <v>1115</v>
      </c>
      <c r="O195" s="17" t="s">
        <v>92</v>
      </c>
      <c r="P195" s="18" t="s">
        <v>93</v>
      </c>
      <c r="Q195" s="18"/>
      <c r="R195" s="18"/>
    </row>
    <row r="196" customFormat="false" ht="22.35" hidden="false" customHeight="false" outlineLevel="0" collapsed="false">
      <c r="A196" s="16" t="s">
        <v>1116</v>
      </c>
      <c r="B196" s="16" t="s">
        <v>45</v>
      </c>
      <c r="C196" s="16" t="s">
        <v>1106</v>
      </c>
      <c r="D196" s="16" t="s">
        <v>1107</v>
      </c>
      <c r="E196" s="16" t="s">
        <v>1117</v>
      </c>
      <c r="F196" s="16" t="s">
        <v>1109</v>
      </c>
      <c r="G196" s="16" t="s">
        <v>1118</v>
      </c>
      <c r="H196" s="16" t="s">
        <v>54</v>
      </c>
      <c r="I196" s="16" t="s">
        <v>32</v>
      </c>
      <c r="J196" s="16" t="s">
        <v>663</v>
      </c>
      <c r="K196" s="16" t="s">
        <v>354</v>
      </c>
      <c r="L196" s="16" t="s">
        <v>1119</v>
      </c>
      <c r="M196" s="16" t="s">
        <v>1074</v>
      </c>
      <c r="N196" s="16" t="s">
        <v>1120</v>
      </c>
      <c r="O196" s="17" t="s">
        <v>92</v>
      </c>
      <c r="P196" s="18" t="s">
        <v>93</v>
      </c>
      <c r="Q196" s="18"/>
      <c r="R196" s="18"/>
    </row>
    <row r="197" customFormat="false" ht="22.35" hidden="false" customHeight="false" outlineLevel="0" collapsed="false">
      <c r="A197" s="16" t="s">
        <v>1121</v>
      </c>
      <c r="B197" s="16" t="s">
        <v>45</v>
      </c>
      <c r="C197" s="16" t="s">
        <v>1106</v>
      </c>
      <c r="D197" s="16" t="s">
        <v>1107</v>
      </c>
      <c r="E197" s="16" t="s">
        <v>1122</v>
      </c>
      <c r="F197" s="16" t="s">
        <v>1109</v>
      </c>
      <c r="G197" s="16" t="s">
        <v>1123</v>
      </c>
      <c r="H197" s="16" t="s">
        <v>56</v>
      </c>
      <c r="I197" s="16" t="s">
        <v>33</v>
      </c>
      <c r="J197" s="16" t="s">
        <v>663</v>
      </c>
      <c r="K197" s="16" t="s">
        <v>354</v>
      </c>
      <c r="L197" s="16" t="s">
        <v>89</v>
      </c>
      <c r="M197" s="16" t="s">
        <v>313</v>
      </c>
      <c r="N197" s="16" t="s">
        <v>1115</v>
      </c>
      <c r="O197" s="17" t="s">
        <v>92</v>
      </c>
      <c r="P197" s="18" t="s">
        <v>93</v>
      </c>
      <c r="Q197" s="18"/>
      <c r="R197" s="18"/>
    </row>
    <row r="198" customFormat="false" ht="22.35" hidden="false" customHeight="false" outlineLevel="0" collapsed="false">
      <c r="A198" s="16" t="s">
        <v>1124</v>
      </c>
      <c r="B198" s="16" t="s">
        <v>45</v>
      </c>
      <c r="C198" s="16" t="s">
        <v>1125</v>
      </c>
      <c r="D198" s="16" t="s">
        <v>1126</v>
      </c>
      <c r="E198" s="16" t="s">
        <v>1127</v>
      </c>
      <c r="F198" s="16" t="s">
        <v>1128</v>
      </c>
      <c r="G198" s="16" t="s">
        <v>1129</v>
      </c>
      <c r="H198" s="16" t="s">
        <v>57</v>
      </c>
      <c r="I198" s="16" t="s">
        <v>32</v>
      </c>
      <c r="J198" s="16" t="s">
        <v>663</v>
      </c>
      <c r="K198" s="16" t="s">
        <v>803</v>
      </c>
      <c r="L198" s="16" t="s">
        <v>89</v>
      </c>
      <c r="M198" s="16" t="s">
        <v>1074</v>
      </c>
      <c r="N198" s="16" t="s">
        <v>1130</v>
      </c>
      <c r="O198" s="17" t="s">
        <v>92</v>
      </c>
      <c r="P198" s="18" t="s">
        <v>93</v>
      </c>
      <c r="Q198" s="18"/>
      <c r="R198" s="18"/>
    </row>
    <row r="199" customFormat="false" ht="15" hidden="false" customHeight="false" outlineLevel="0" collapsed="false">
      <c r="A199" s="16" t="s">
        <v>1131</v>
      </c>
      <c r="B199" s="16" t="s">
        <v>45</v>
      </c>
      <c r="C199" s="16" t="s">
        <v>1125</v>
      </c>
      <c r="D199" s="16" t="s">
        <v>1126</v>
      </c>
      <c r="E199" s="16" t="s">
        <v>1132</v>
      </c>
      <c r="F199" s="16" t="s">
        <v>1128</v>
      </c>
      <c r="G199" s="16" t="s">
        <v>1133</v>
      </c>
      <c r="H199" s="16" t="s">
        <v>56</v>
      </c>
      <c r="I199" s="16" t="s">
        <v>33</v>
      </c>
      <c r="J199" s="16" t="s">
        <v>990</v>
      </c>
      <c r="K199" s="16" t="s">
        <v>803</v>
      </c>
      <c r="L199" s="16" t="s">
        <v>388</v>
      </c>
      <c r="M199" s="16" t="s">
        <v>1074</v>
      </c>
      <c r="N199" s="16" t="s">
        <v>1134</v>
      </c>
      <c r="O199" s="17" t="s">
        <v>92</v>
      </c>
      <c r="P199" s="18" t="s">
        <v>93</v>
      </c>
      <c r="Q199" s="18"/>
      <c r="R199" s="18"/>
    </row>
    <row r="200" customFormat="false" ht="22.35" hidden="false" customHeight="false" outlineLevel="0" collapsed="false">
      <c r="A200" s="16" t="s">
        <v>1135</v>
      </c>
      <c r="B200" s="16" t="s">
        <v>45</v>
      </c>
      <c r="C200" s="16" t="s">
        <v>1125</v>
      </c>
      <c r="D200" s="16" t="s">
        <v>1126</v>
      </c>
      <c r="E200" s="16" t="s">
        <v>1136</v>
      </c>
      <c r="F200" s="16" t="s">
        <v>1128</v>
      </c>
      <c r="G200" s="16" t="s">
        <v>1137</v>
      </c>
      <c r="H200" s="16" t="s">
        <v>54</v>
      </c>
      <c r="I200" s="16" t="s">
        <v>32</v>
      </c>
      <c r="J200" s="16" t="s">
        <v>663</v>
      </c>
      <c r="K200" s="16" t="s">
        <v>343</v>
      </c>
      <c r="L200" s="16" t="s">
        <v>1138</v>
      </c>
      <c r="M200" s="16" t="s">
        <v>1074</v>
      </c>
      <c r="N200" s="16" t="s">
        <v>1139</v>
      </c>
      <c r="O200" s="17" t="s">
        <v>92</v>
      </c>
      <c r="P200" s="18" t="s">
        <v>93</v>
      </c>
      <c r="Q200" s="18"/>
      <c r="R200" s="18"/>
    </row>
    <row r="201" customFormat="false" ht="22.35" hidden="false" customHeight="false" outlineLevel="0" collapsed="false">
      <c r="A201" s="16" t="s">
        <v>1140</v>
      </c>
      <c r="B201" s="16" t="s">
        <v>45</v>
      </c>
      <c r="C201" s="16" t="s">
        <v>1125</v>
      </c>
      <c r="D201" s="16" t="s">
        <v>1126</v>
      </c>
      <c r="E201" s="16" t="s">
        <v>1141</v>
      </c>
      <c r="F201" s="16" t="s">
        <v>1128</v>
      </c>
      <c r="G201" s="16" t="s">
        <v>1142</v>
      </c>
      <c r="H201" s="16" t="s">
        <v>54</v>
      </c>
      <c r="I201" s="16" t="s">
        <v>32</v>
      </c>
      <c r="J201" s="16" t="s">
        <v>663</v>
      </c>
      <c r="K201" s="16" t="s">
        <v>354</v>
      </c>
      <c r="L201" s="16" t="s">
        <v>1119</v>
      </c>
      <c r="M201" s="16" t="s">
        <v>1074</v>
      </c>
      <c r="N201" s="16" t="s">
        <v>1120</v>
      </c>
      <c r="O201" s="17" t="s">
        <v>92</v>
      </c>
      <c r="P201" s="18" t="s">
        <v>93</v>
      </c>
      <c r="Q201" s="18"/>
      <c r="R201" s="18"/>
    </row>
    <row r="202" customFormat="false" ht="22.35" hidden="false" customHeight="false" outlineLevel="0" collapsed="false">
      <c r="A202" s="16" t="s">
        <v>1143</v>
      </c>
      <c r="B202" s="16" t="s">
        <v>47</v>
      </c>
      <c r="C202" s="16" t="s">
        <v>1144</v>
      </c>
      <c r="D202" s="16" t="s">
        <v>1145</v>
      </c>
      <c r="E202" s="16" t="s">
        <v>1146</v>
      </c>
      <c r="F202" s="16" t="s">
        <v>1147</v>
      </c>
      <c r="G202" s="16" t="s">
        <v>1148</v>
      </c>
      <c r="H202" s="16" t="s">
        <v>56</v>
      </c>
      <c r="I202" s="16" t="s">
        <v>34</v>
      </c>
      <c r="J202" s="16" t="s">
        <v>1149</v>
      </c>
      <c r="K202" s="16" t="s">
        <v>577</v>
      </c>
      <c r="L202" s="16" t="s">
        <v>593</v>
      </c>
      <c r="M202" s="16" t="s">
        <v>100</v>
      </c>
      <c r="N202" s="16" t="s">
        <v>1150</v>
      </c>
      <c r="O202" s="17" t="s">
        <v>92</v>
      </c>
      <c r="P202" s="18" t="s">
        <v>93</v>
      </c>
      <c r="Q202" s="18"/>
      <c r="R202" s="18"/>
    </row>
    <row r="203" customFormat="false" ht="22.35" hidden="false" customHeight="false" outlineLevel="0" collapsed="false">
      <c r="A203" s="16" t="s">
        <v>1151</v>
      </c>
      <c r="B203" s="16" t="s">
        <v>47</v>
      </c>
      <c r="C203" s="16" t="s">
        <v>1144</v>
      </c>
      <c r="D203" s="16" t="s">
        <v>1145</v>
      </c>
      <c r="E203" s="16" t="s">
        <v>1152</v>
      </c>
      <c r="F203" s="16" t="s">
        <v>1147</v>
      </c>
      <c r="G203" s="16" t="s">
        <v>1153</v>
      </c>
      <c r="H203" s="16" t="s">
        <v>56</v>
      </c>
      <c r="I203" s="16" t="s">
        <v>34</v>
      </c>
      <c r="J203" s="16" t="s">
        <v>1149</v>
      </c>
      <c r="K203" s="16" t="s">
        <v>577</v>
      </c>
      <c r="L203" s="16" t="s">
        <v>593</v>
      </c>
      <c r="M203" s="16" t="s">
        <v>100</v>
      </c>
      <c r="N203" s="16" t="s">
        <v>1154</v>
      </c>
      <c r="O203" s="17" t="s">
        <v>92</v>
      </c>
      <c r="P203" s="18" t="s">
        <v>93</v>
      </c>
      <c r="Q203" s="18"/>
      <c r="R203" s="18"/>
    </row>
    <row r="204" customFormat="false" ht="22.35" hidden="false" customHeight="false" outlineLevel="0" collapsed="false">
      <c r="A204" s="16" t="s">
        <v>1155</v>
      </c>
      <c r="B204" s="16" t="s">
        <v>47</v>
      </c>
      <c r="C204" s="16" t="s">
        <v>1144</v>
      </c>
      <c r="D204" s="16" t="s">
        <v>1156</v>
      </c>
      <c r="E204" s="16" t="s">
        <v>1157</v>
      </c>
      <c r="F204" s="16" t="s">
        <v>1147</v>
      </c>
      <c r="G204" s="16" t="s">
        <v>1158</v>
      </c>
      <c r="H204" s="16" t="s">
        <v>56</v>
      </c>
      <c r="I204" s="16" t="s">
        <v>34</v>
      </c>
      <c r="J204" s="16" t="s">
        <v>1149</v>
      </c>
      <c r="K204" s="16" t="s">
        <v>577</v>
      </c>
      <c r="L204" s="16" t="s">
        <v>593</v>
      </c>
      <c r="M204" s="16" t="s">
        <v>100</v>
      </c>
      <c r="N204" s="16" t="s">
        <v>1159</v>
      </c>
      <c r="O204" s="17" t="s">
        <v>92</v>
      </c>
      <c r="P204" s="18" t="s">
        <v>93</v>
      </c>
      <c r="Q204" s="18"/>
      <c r="R204" s="18"/>
    </row>
    <row r="205" customFormat="false" ht="22.35" hidden="false" customHeight="false" outlineLevel="0" collapsed="false">
      <c r="A205" s="16" t="s">
        <v>1160</v>
      </c>
      <c r="B205" s="16" t="s">
        <v>47</v>
      </c>
      <c r="C205" s="16" t="s">
        <v>1144</v>
      </c>
      <c r="D205" s="16" t="s">
        <v>1156</v>
      </c>
      <c r="E205" s="16" t="s">
        <v>1161</v>
      </c>
      <c r="F205" s="16" t="s">
        <v>1147</v>
      </c>
      <c r="G205" s="16" t="s">
        <v>1162</v>
      </c>
      <c r="H205" s="16" t="s">
        <v>54</v>
      </c>
      <c r="I205" s="16" t="s">
        <v>33</v>
      </c>
      <c r="J205" s="16" t="s">
        <v>1149</v>
      </c>
      <c r="K205" s="16" t="s">
        <v>577</v>
      </c>
      <c r="L205" s="16" t="s">
        <v>593</v>
      </c>
      <c r="M205" s="16" t="s">
        <v>100</v>
      </c>
      <c r="N205" s="16" t="s">
        <v>1163</v>
      </c>
      <c r="O205" s="17" t="s">
        <v>92</v>
      </c>
      <c r="P205" s="18" t="s">
        <v>93</v>
      </c>
      <c r="Q205" s="18"/>
      <c r="R205" s="18"/>
    </row>
    <row r="206" customFormat="false" ht="22.35" hidden="false" customHeight="false" outlineLevel="0" collapsed="false">
      <c r="A206" s="16" t="s">
        <v>1164</v>
      </c>
      <c r="B206" s="16" t="s">
        <v>47</v>
      </c>
      <c r="C206" s="16" t="s">
        <v>1144</v>
      </c>
      <c r="D206" s="16" t="s">
        <v>1165</v>
      </c>
      <c r="E206" s="16" t="s">
        <v>1166</v>
      </c>
      <c r="F206" s="16" t="s">
        <v>1147</v>
      </c>
      <c r="G206" s="16" t="s">
        <v>1167</v>
      </c>
      <c r="H206" s="16" t="s">
        <v>56</v>
      </c>
      <c r="I206" s="16" t="s">
        <v>33</v>
      </c>
      <c r="J206" s="16" t="s">
        <v>1149</v>
      </c>
      <c r="K206" s="16" t="s">
        <v>577</v>
      </c>
      <c r="L206" s="16" t="s">
        <v>741</v>
      </c>
      <c r="M206" s="16" t="s">
        <v>100</v>
      </c>
      <c r="N206" s="16" t="s">
        <v>808</v>
      </c>
      <c r="O206" s="17" t="s">
        <v>92</v>
      </c>
      <c r="P206" s="18" t="s">
        <v>93</v>
      </c>
      <c r="Q206" s="18"/>
      <c r="R206" s="18"/>
    </row>
    <row r="207" customFormat="false" ht="22.35" hidden="false" customHeight="false" outlineLevel="0" collapsed="false">
      <c r="A207" s="16" t="s">
        <v>1168</v>
      </c>
      <c r="B207" s="16" t="s">
        <v>47</v>
      </c>
      <c r="C207" s="16" t="s">
        <v>1144</v>
      </c>
      <c r="D207" s="16" t="s">
        <v>1165</v>
      </c>
      <c r="E207" s="16" t="s">
        <v>1169</v>
      </c>
      <c r="F207" s="16" t="s">
        <v>1147</v>
      </c>
      <c r="G207" s="16" t="s">
        <v>1170</v>
      </c>
      <c r="H207" s="16" t="s">
        <v>56</v>
      </c>
      <c r="I207" s="16" t="s">
        <v>34</v>
      </c>
      <c r="J207" s="16" t="s">
        <v>1149</v>
      </c>
      <c r="K207" s="16" t="s">
        <v>577</v>
      </c>
      <c r="L207" s="16" t="s">
        <v>593</v>
      </c>
      <c r="M207" s="16" t="s">
        <v>100</v>
      </c>
      <c r="N207" s="16" t="s">
        <v>1171</v>
      </c>
      <c r="O207" s="17" t="s">
        <v>92</v>
      </c>
      <c r="P207" s="18" t="s">
        <v>93</v>
      </c>
      <c r="Q207" s="18"/>
      <c r="R207" s="18"/>
    </row>
    <row r="208" customFormat="false" ht="22.35" hidden="false" customHeight="false" outlineLevel="0" collapsed="false">
      <c r="A208" s="16" t="s">
        <v>1172</v>
      </c>
      <c r="B208" s="16" t="s">
        <v>47</v>
      </c>
      <c r="C208" s="16" t="s">
        <v>1144</v>
      </c>
      <c r="D208" s="16" t="s">
        <v>1165</v>
      </c>
      <c r="E208" s="16" t="s">
        <v>1173</v>
      </c>
      <c r="F208" s="16" t="s">
        <v>1147</v>
      </c>
      <c r="G208" s="16" t="s">
        <v>1174</v>
      </c>
      <c r="H208" s="16" t="s">
        <v>60</v>
      </c>
      <c r="I208" s="16" t="s">
        <v>33</v>
      </c>
      <c r="J208" s="16" t="s">
        <v>1149</v>
      </c>
      <c r="K208" s="16" t="s">
        <v>426</v>
      </c>
      <c r="L208" s="16" t="s">
        <v>741</v>
      </c>
      <c r="M208" s="16" t="s">
        <v>100</v>
      </c>
      <c r="N208" s="16" t="s">
        <v>1175</v>
      </c>
      <c r="O208" s="17" t="s">
        <v>92</v>
      </c>
      <c r="P208" s="18" t="s">
        <v>93</v>
      </c>
      <c r="Q208" s="18"/>
      <c r="R208" s="18"/>
    </row>
    <row r="209" customFormat="false" ht="22.35" hidden="false" customHeight="false" outlineLevel="0" collapsed="false">
      <c r="A209" s="16" t="s">
        <v>1176</v>
      </c>
      <c r="B209" s="16" t="s">
        <v>47</v>
      </c>
      <c r="C209" s="16" t="s">
        <v>1144</v>
      </c>
      <c r="D209" s="16" t="s">
        <v>1165</v>
      </c>
      <c r="E209" s="16" t="s">
        <v>1177</v>
      </c>
      <c r="F209" s="16" t="s">
        <v>1147</v>
      </c>
      <c r="G209" s="16" t="s">
        <v>1178</v>
      </c>
      <c r="H209" s="16" t="s">
        <v>56</v>
      </c>
      <c r="I209" s="16" t="s">
        <v>33</v>
      </c>
      <c r="J209" s="16" t="s">
        <v>1149</v>
      </c>
      <c r="K209" s="16" t="s">
        <v>558</v>
      </c>
      <c r="L209" s="16" t="s">
        <v>593</v>
      </c>
      <c r="M209" s="16" t="s">
        <v>100</v>
      </c>
      <c r="N209" s="16" t="s">
        <v>869</v>
      </c>
      <c r="O209" s="17" t="s">
        <v>92</v>
      </c>
      <c r="P209" s="18" t="s">
        <v>93</v>
      </c>
      <c r="Q209" s="18"/>
      <c r="R209" s="18"/>
    </row>
    <row r="210" customFormat="false" ht="22.35" hidden="false" customHeight="false" outlineLevel="0" collapsed="false">
      <c r="A210" s="16" t="s">
        <v>1179</v>
      </c>
      <c r="B210" s="16" t="s">
        <v>47</v>
      </c>
      <c r="C210" s="16" t="s">
        <v>1144</v>
      </c>
      <c r="D210" s="16" t="s">
        <v>1180</v>
      </c>
      <c r="E210" s="16" t="s">
        <v>1181</v>
      </c>
      <c r="F210" s="16" t="s">
        <v>1147</v>
      </c>
      <c r="G210" s="16" t="s">
        <v>1182</v>
      </c>
      <c r="H210" s="16" t="s">
        <v>56</v>
      </c>
      <c r="I210" s="16" t="s">
        <v>33</v>
      </c>
      <c r="J210" s="16" t="s">
        <v>1149</v>
      </c>
      <c r="K210" s="16" t="s">
        <v>577</v>
      </c>
      <c r="L210" s="16" t="s">
        <v>593</v>
      </c>
      <c r="M210" s="16" t="s">
        <v>100</v>
      </c>
      <c r="N210" s="16" t="s">
        <v>627</v>
      </c>
      <c r="O210" s="17" t="s">
        <v>92</v>
      </c>
      <c r="P210" s="18" t="s">
        <v>93</v>
      </c>
      <c r="Q210" s="18"/>
      <c r="R210" s="18"/>
    </row>
    <row r="211" customFormat="false" ht="22.35" hidden="false" customHeight="false" outlineLevel="0" collapsed="false">
      <c r="A211" s="16" t="s">
        <v>1183</v>
      </c>
      <c r="B211" s="16" t="s">
        <v>47</v>
      </c>
      <c r="C211" s="16" t="s">
        <v>1144</v>
      </c>
      <c r="D211" s="16" t="s">
        <v>1184</v>
      </c>
      <c r="E211" s="16" t="s">
        <v>1185</v>
      </c>
      <c r="F211" s="16" t="s">
        <v>1147</v>
      </c>
      <c r="G211" s="16" t="s">
        <v>1186</v>
      </c>
      <c r="H211" s="16" t="s">
        <v>54</v>
      </c>
      <c r="I211" s="16" t="s">
        <v>32</v>
      </c>
      <c r="J211" s="16" t="s">
        <v>1149</v>
      </c>
      <c r="K211" s="16" t="s">
        <v>1187</v>
      </c>
      <c r="L211" s="16" t="s">
        <v>122</v>
      </c>
      <c r="M211" s="16" t="s">
        <v>100</v>
      </c>
      <c r="N211" s="16" t="s">
        <v>1188</v>
      </c>
      <c r="O211" s="17" t="s">
        <v>92</v>
      </c>
      <c r="P211" s="18" t="s">
        <v>93</v>
      </c>
      <c r="Q211" s="18"/>
      <c r="R211" s="18"/>
    </row>
    <row r="212" customFormat="false" ht="22.35" hidden="false" customHeight="false" outlineLevel="0" collapsed="false">
      <c r="A212" s="16" t="s">
        <v>1189</v>
      </c>
      <c r="B212" s="16" t="s">
        <v>47</v>
      </c>
      <c r="C212" s="16" t="s">
        <v>1144</v>
      </c>
      <c r="D212" s="16" t="s">
        <v>1184</v>
      </c>
      <c r="E212" s="16" t="s">
        <v>1190</v>
      </c>
      <c r="F212" s="16" t="s">
        <v>1147</v>
      </c>
      <c r="G212" s="16" t="s">
        <v>1191</v>
      </c>
      <c r="H212" s="16" t="s">
        <v>56</v>
      </c>
      <c r="I212" s="16" t="s">
        <v>33</v>
      </c>
      <c r="J212" s="16" t="s">
        <v>1149</v>
      </c>
      <c r="K212" s="16" t="s">
        <v>558</v>
      </c>
      <c r="L212" s="16" t="s">
        <v>1192</v>
      </c>
      <c r="M212" s="16" t="s">
        <v>100</v>
      </c>
      <c r="N212" s="16" t="s">
        <v>1193</v>
      </c>
      <c r="O212" s="17" t="s">
        <v>92</v>
      </c>
      <c r="P212" s="18" t="s">
        <v>93</v>
      </c>
      <c r="Q212" s="18"/>
      <c r="R212" s="18"/>
    </row>
    <row r="213" customFormat="false" ht="22.35" hidden="false" customHeight="false" outlineLevel="0" collapsed="false">
      <c r="A213" s="16" t="s">
        <v>1194</v>
      </c>
      <c r="B213" s="16" t="s">
        <v>47</v>
      </c>
      <c r="C213" s="16" t="s">
        <v>1144</v>
      </c>
      <c r="D213" s="16" t="s">
        <v>1184</v>
      </c>
      <c r="E213" s="16" t="s">
        <v>1195</v>
      </c>
      <c r="F213" s="16" t="s">
        <v>1147</v>
      </c>
      <c r="G213" s="16" t="s">
        <v>1196</v>
      </c>
      <c r="H213" s="16" t="s">
        <v>54</v>
      </c>
      <c r="I213" s="16" t="s">
        <v>31</v>
      </c>
      <c r="J213" s="16" t="s">
        <v>1149</v>
      </c>
      <c r="K213" s="16" t="s">
        <v>207</v>
      </c>
      <c r="L213" s="16" t="s">
        <v>741</v>
      </c>
      <c r="M213" s="16" t="s">
        <v>100</v>
      </c>
      <c r="N213" s="16" t="s">
        <v>1197</v>
      </c>
      <c r="O213" s="17" t="s">
        <v>92</v>
      </c>
      <c r="P213" s="18" t="s">
        <v>93</v>
      </c>
      <c r="Q213" s="18"/>
      <c r="R213" s="18"/>
    </row>
    <row r="214" customFormat="false" ht="22.35" hidden="false" customHeight="false" outlineLevel="0" collapsed="false">
      <c r="A214" s="16" t="s">
        <v>1198</v>
      </c>
      <c r="B214" s="16" t="s">
        <v>47</v>
      </c>
      <c r="C214" s="16" t="s">
        <v>1144</v>
      </c>
      <c r="D214" s="16" t="s">
        <v>1199</v>
      </c>
      <c r="E214" s="16" t="s">
        <v>1200</v>
      </c>
      <c r="F214" s="16" t="s">
        <v>1147</v>
      </c>
      <c r="G214" s="16" t="s">
        <v>1201</v>
      </c>
      <c r="H214" s="16" t="s">
        <v>54</v>
      </c>
      <c r="I214" s="16" t="s">
        <v>32</v>
      </c>
      <c r="J214" s="16" t="s">
        <v>1149</v>
      </c>
      <c r="K214" s="16" t="s">
        <v>179</v>
      </c>
      <c r="L214" s="16" t="s">
        <v>1202</v>
      </c>
      <c r="M214" s="16" t="s">
        <v>100</v>
      </c>
      <c r="N214" s="16" t="s">
        <v>1203</v>
      </c>
      <c r="O214" s="17" t="s">
        <v>92</v>
      </c>
      <c r="P214" s="18" t="s">
        <v>93</v>
      </c>
      <c r="Q214" s="18"/>
      <c r="R214" s="18"/>
    </row>
    <row r="215" customFormat="false" ht="22.35" hidden="false" customHeight="false" outlineLevel="0" collapsed="false">
      <c r="A215" s="16" t="s">
        <v>1204</v>
      </c>
      <c r="B215" s="16" t="s">
        <v>47</v>
      </c>
      <c r="C215" s="16" t="s">
        <v>1144</v>
      </c>
      <c r="D215" s="16" t="s">
        <v>1199</v>
      </c>
      <c r="E215" s="16" t="s">
        <v>1205</v>
      </c>
      <c r="F215" s="16" t="s">
        <v>1147</v>
      </c>
      <c r="G215" s="16" t="s">
        <v>1206</v>
      </c>
      <c r="H215" s="16" t="s">
        <v>54</v>
      </c>
      <c r="I215" s="16" t="s">
        <v>34</v>
      </c>
      <c r="J215" s="16" t="s">
        <v>1149</v>
      </c>
      <c r="K215" s="16" t="s">
        <v>179</v>
      </c>
      <c r="L215" s="16" t="s">
        <v>272</v>
      </c>
      <c r="M215" s="16" t="s">
        <v>100</v>
      </c>
      <c r="N215" s="16" t="s">
        <v>1207</v>
      </c>
      <c r="O215" s="17" t="s">
        <v>92</v>
      </c>
      <c r="P215" s="18" t="s">
        <v>93</v>
      </c>
      <c r="Q215" s="18"/>
      <c r="R215" s="18"/>
    </row>
    <row r="216" customFormat="false" ht="22.35" hidden="false" customHeight="false" outlineLevel="0" collapsed="false">
      <c r="A216" s="16" t="s">
        <v>1208</v>
      </c>
      <c r="B216" s="16" t="s">
        <v>47</v>
      </c>
      <c r="C216" s="16" t="s">
        <v>1144</v>
      </c>
      <c r="D216" s="16" t="s">
        <v>1199</v>
      </c>
      <c r="E216" s="16" t="s">
        <v>1209</v>
      </c>
      <c r="F216" s="16" t="s">
        <v>1147</v>
      </c>
      <c r="G216" s="16" t="s">
        <v>1210</v>
      </c>
      <c r="H216" s="16" t="s">
        <v>54</v>
      </c>
      <c r="I216" s="16" t="s">
        <v>33</v>
      </c>
      <c r="J216" s="16" t="s">
        <v>1149</v>
      </c>
      <c r="K216" s="16" t="s">
        <v>179</v>
      </c>
      <c r="L216" s="16" t="s">
        <v>272</v>
      </c>
      <c r="M216" s="16" t="s">
        <v>100</v>
      </c>
      <c r="N216" s="16" t="s">
        <v>1211</v>
      </c>
      <c r="O216" s="17" t="s">
        <v>92</v>
      </c>
      <c r="P216" s="18" t="s">
        <v>93</v>
      </c>
      <c r="Q216" s="18"/>
      <c r="R216" s="18"/>
    </row>
    <row r="217" customFormat="false" ht="22.35" hidden="false" customHeight="false" outlineLevel="0" collapsed="false">
      <c r="A217" s="16" t="s">
        <v>1212</v>
      </c>
      <c r="B217" s="16" t="s">
        <v>47</v>
      </c>
      <c r="C217" s="16" t="s">
        <v>1144</v>
      </c>
      <c r="D217" s="16" t="s">
        <v>1199</v>
      </c>
      <c r="E217" s="16" t="s">
        <v>1213</v>
      </c>
      <c r="F217" s="16" t="s">
        <v>1147</v>
      </c>
      <c r="G217" s="16" t="s">
        <v>1214</v>
      </c>
      <c r="H217" s="16" t="s">
        <v>56</v>
      </c>
      <c r="I217" s="16" t="s">
        <v>33</v>
      </c>
      <c r="J217" s="16" t="s">
        <v>1149</v>
      </c>
      <c r="K217" s="16" t="s">
        <v>426</v>
      </c>
      <c r="L217" s="16" t="s">
        <v>272</v>
      </c>
      <c r="M217" s="16" t="s">
        <v>100</v>
      </c>
      <c r="N217" s="16" t="s">
        <v>1215</v>
      </c>
      <c r="O217" s="17" t="s">
        <v>92</v>
      </c>
      <c r="P217" s="18" t="s">
        <v>93</v>
      </c>
      <c r="Q217" s="18"/>
      <c r="R217" s="18"/>
    </row>
    <row r="218" customFormat="false" ht="22.35" hidden="false" customHeight="false" outlineLevel="0" collapsed="false">
      <c r="A218" s="16" t="s">
        <v>1216</v>
      </c>
      <c r="B218" s="16" t="s">
        <v>47</v>
      </c>
      <c r="C218" s="16" t="s">
        <v>1144</v>
      </c>
      <c r="D218" s="16" t="s">
        <v>1199</v>
      </c>
      <c r="E218" s="16" t="s">
        <v>1217</v>
      </c>
      <c r="F218" s="16" t="s">
        <v>1147</v>
      </c>
      <c r="G218" s="16" t="s">
        <v>1218</v>
      </c>
      <c r="H218" s="16" t="s">
        <v>56</v>
      </c>
      <c r="I218" s="16" t="s">
        <v>33</v>
      </c>
      <c r="J218" s="16" t="s">
        <v>1149</v>
      </c>
      <c r="K218" s="16" t="s">
        <v>343</v>
      </c>
      <c r="L218" s="16" t="s">
        <v>593</v>
      </c>
      <c r="M218" s="16" t="s">
        <v>100</v>
      </c>
      <c r="N218" s="16" t="s">
        <v>1219</v>
      </c>
      <c r="O218" s="17" t="s">
        <v>92</v>
      </c>
      <c r="P218" s="18" t="s">
        <v>93</v>
      </c>
      <c r="Q218" s="18"/>
      <c r="R218" s="18"/>
    </row>
    <row r="219" customFormat="false" ht="22.35" hidden="false" customHeight="false" outlineLevel="0" collapsed="false">
      <c r="A219" s="16" t="s">
        <v>1220</v>
      </c>
      <c r="B219" s="16" t="s">
        <v>47</v>
      </c>
      <c r="C219" s="16" t="s">
        <v>1144</v>
      </c>
      <c r="D219" s="16" t="s">
        <v>1221</v>
      </c>
      <c r="E219" s="16" t="s">
        <v>1222</v>
      </c>
      <c r="F219" s="16" t="s">
        <v>1147</v>
      </c>
      <c r="G219" s="16" t="s">
        <v>1223</v>
      </c>
      <c r="H219" s="16" t="s">
        <v>54</v>
      </c>
      <c r="I219" s="16" t="s">
        <v>33</v>
      </c>
      <c r="J219" s="16" t="s">
        <v>1149</v>
      </c>
      <c r="K219" s="16" t="s">
        <v>577</v>
      </c>
      <c r="L219" s="16" t="s">
        <v>593</v>
      </c>
      <c r="M219" s="16" t="s">
        <v>100</v>
      </c>
      <c r="N219" s="16" t="s">
        <v>1224</v>
      </c>
      <c r="O219" s="17" t="s">
        <v>92</v>
      </c>
      <c r="P219" s="18" t="s">
        <v>93</v>
      </c>
      <c r="Q219" s="18"/>
      <c r="R219" s="18"/>
    </row>
    <row r="220" customFormat="false" ht="22.35" hidden="false" customHeight="false" outlineLevel="0" collapsed="false">
      <c r="A220" s="16" t="s">
        <v>1225</v>
      </c>
      <c r="B220" s="16" t="s">
        <v>47</v>
      </c>
      <c r="C220" s="16" t="s">
        <v>1144</v>
      </c>
      <c r="D220" s="16" t="s">
        <v>1221</v>
      </c>
      <c r="E220" s="16" t="s">
        <v>1226</v>
      </c>
      <c r="F220" s="16" t="s">
        <v>1147</v>
      </c>
      <c r="G220" s="16" t="s">
        <v>1227</v>
      </c>
      <c r="H220" s="16" t="s">
        <v>56</v>
      </c>
      <c r="I220" s="16" t="s">
        <v>33</v>
      </c>
      <c r="J220" s="16" t="s">
        <v>1149</v>
      </c>
      <c r="K220" s="16" t="s">
        <v>577</v>
      </c>
      <c r="L220" s="16" t="s">
        <v>593</v>
      </c>
      <c r="M220" s="16" t="s">
        <v>100</v>
      </c>
      <c r="N220" s="16" t="s">
        <v>627</v>
      </c>
      <c r="O220" s="17" t="s">
        <v>92</v>
      </c>
      <c r="P220" s="18" t="s">
        <v>93</v>
      </c>
      <c r="Q220" s="18"/>
      <c r="R220" s="18"/>
    </row>
    <row r="221" customFormat="false" ht="22.35" hidden="false" customHeight="false" outlineLevel="0" collapsed="false">
      <c r="A221" s="16" t="s">
        <v>1228</v>
      </c>
      <c r="B221" s="16" t="s">
        <v>47</v>
      </c>
      <c r="C221" s="16" t="s">
        <v>1144</v>
      </c>
      <c r="D221" s="16" t="s">
        <v>1229</v>
      </c>
      <c r="E221" s="16" t="s">
        <v>1230</v>
      </c>
      <c r="F221" s="16" t="s">
        <v>1147</v>
      </c>
      <c r="G221" s="16" t="s">
        <v>1231</v>
      </c>
      <c r="H221" s="16" t="s">
        <v>56</v>
      </c>
      <c r="I221" s="16" t="s">
        <v>34</v>
      </c>
      <c r="J221" s="16" t="s">
        <v>1149</v>
      </c>
      <c r="K221" s="16" t="s">
        <v>577</v>
      </c>
      <c r="L221" s="16" t="s">
        <v>593</v>
      </c>
      <c r="M221" s="16" t="s">
        <v>100</v>
      </c>
      <c r="N221" s="16" t="s">
        <v>627</v>
      </c>
      <c r="O221" s="17" t="s">
        <v>92</v>
      </c>
      <c r="P221" s="18" t="s">
        <v>93</v>
      </c>
      <c r="Q221" s="18"/>
      <c r="R221" s="18"/>
    </row>
    <row r="222" customFormat="false" ht="22.35" hidden="false" customHeight="false" outlineLevel="0" collapsed="false">
      <c r="A222" s="16" t="s">
        <v>1232</v>
      </c>
      <c r="B222" s="16" t="s">
        <v>47</v>
      </c>
      <c r="C222" s="16" t="s">
        <v>1144</v>
      </c>
      <c r="D222" s="16" t="s">
        <v>1233</v>
      </c>
      <c r="E222" s="16" t="s">
        <v>1234</v>
      </c>
      <c r="F222" s="16" t="s">
        <v>1147</v>
      </c>
      <c r="G222" s="16" t="s">
        <v>1235</v>
      </c>
      <c r="H222" s="16" t="s">
        <v>54</v>
      </c>
      <c r="I222" s="16" t="s">
        <v>33</v>
      </c>
      <c r="J222" s="16" t="s">
        <v>1149</v>
      </c>
      <c r="K222" s="16" t="s">
        <v>1236</v>
      </c>
      <c r="L222" s="16" t="s">
        <v>89</v>
      </c>
      <c r="M222" s="16" t="s">
        <v>100</v>
      </c>
      <c r="N222" s="16" t="s">
        <v>1237</v>
      </c>
      <c r="O222" s="17" t="s">
        <v>92</v>
      </c>
      <c r="P222" s="18" t="s">
        <v>93</v>
      </c>
      <c r="Q222" s="18"/>
      <c r="R222" s="18"/>
    </row>
    <row r="223" customFormat="false" ht="22.35" hidden="false" customHeight="false" outlineLevel="0" collapsed="false">
      <c r="A223" s="16" t="s">
        <v>1238</v>
      </c>
      <c r="B223" s="16" t="s">
        <v>47</v>
      </c>
      <c r="C223" s="16" t="s">
        <v>1144</v>
      </c>
      <c r="D223" s="16" t="s">
        <v>1233</v>
      </c>
      <c r="E223" s="16" t="s">
        <v>1239</v>
      </c>
      <c r="F223" s="16" t="s">
        <v>1147</v>
      </c>
      <c r="G223" s="16" t="s">
        <v>1240</v>
      </c>
      <c r="H223" s="16" t="s">
        <v>56</v>
      </c>
      <c r="I223" s="16" t="s">
        <v>33</v>
      </c>
      <c r="J223" s="16" t="s">
        <v>1149</v>
      </c>
      <c r="K223" s="16" t="s">
        <v>282</v>
      </c>
      <c r="L223" s="16" t="s">
        <v>89</v>
      </c>
      <c r="M223" s="16" t="s">
        <v>100</v>
      </c>
      <c r="N223" s="16" t="s">
        <v>955</v>
      </c>
      <c r="O223" s="17" t="s">
        <v>92</v>
      </c>
      <c r="P223" s="18" t="s">
        <v>93</v>
      </c>
      <c r="Q223" s="18"/>
      <c r="R223" s="18"/>
    </row>
    <row r="224" customFormat="false" ht="22.35" hidden="false" customHeight="false" outlineLevel="0" collapsed="false">
      <c r="A224" s="16" t="s">
        <v>1241</v>
      </c>
      <c r="B224" s="16" t="s">
        <v>47</v>
      </c>
      <c r="C224" s="16" t="s">
        <v>1144</v>
      </c>
      <c r="D224" s="16" t="s">
        <v>1233</v>
      </c>
      <c r="E224" s="16" t="s">
        <v>1242</v>
      </c>
      <c r="F224" s="16" t="s">
        <v>1147</v>
      </c>
      <c r="G224" s="16" t="s">
        <v>1243</v>
      </c>
      <c r="H224" s="16" t="s">
        <v>54</v>
      </c>
      <c r="I224" s="16" t="s">
        <v>33</v>
      </c>
      <c r="J224" s="16" t="s">
        <v>1149</v>
      </c>
      <c r="K224" s="16" t="s">
        <v>171</v>
      </c>
      <c r="L224" s="16" t="s">
        <v>89</v>
      </c>
      <c r="M224" s="16" t="s">
        <v>100</v>
      </c>
      <c r="N224" s="16" t="s">
        <v>1244</v>
      </c>
      <c r="O224" s="17" t="s">
        <v>92</v>
      </c>
      <c r="P224" s="18" t="s">
        <v>93</v>
      </c>
      <c r="Q224" s="18"/>
      <c r="R224" s="18"/>
    </row>
    <row r="225" customFormat="false" ht="22.35" hidden="false" customHeight="false" outlineLevel="0" collapsed="false">
      <c r="A225" s="16" t="s">
        <v>1245</v>
      </c>
      <c r="B225" s="16" t="s">
        <v>47</v>
      </c>
      <c r="C225" s="16" t="s">
        <v>1246</v>
      </c>
      <c r="D225" s="16" t="s">
        <v>1247</v>
      </c>
      <c r="E225" s="16" t="s">
        <v>1248</v>
      </c>
      <c r="F225" s="16" t="s">
        <v>1249</v>
      </c>
      <c r="G225" s="16" t="s">
        <v>1250</v>
      </c>
      <c r="H225" s="16" t="s">
        <v>54</v>
      </c>
      <c r="I225" s="16" t="s">
        <v>32</v>
      </c>
      <c r="J225" s="16" t="s">
        <v>1149</v>
      </c>
      <c r="K225" s="16" t="s">
        <v>577</v>
      </c>
      <c r="L225" s="16" t="s">
        <v>553</v>
      </c>
      <c r="M225" s="16" t="s">
        <v>100</v>
      </c>
      <c r="N225" s="16" t="s">
        <v>1251</v>
      </c>
      <c r="O225" s="17" t="s">
        <v>92</v>
      </c>
      <c r="P225" s="18" t="s">
        <v>93</v>
      </c>
      <c r="Q225" s="18"/>
      <c r="R225" s="18"/>
    </row>
    <row r="226" customFormat="false" ht="22.35" hidden="false" customHeight="false" outlineLevel="0" collapsed="false">
      <c r="A226" s="16" t="s">
        <v>1252</v>
      </c>
      <c r="B226" s="16" t="s">
        <v>47</v>
      </c>
      <c r="C226" s="16" t="s">
        <v>1246</v>
      </c>
      <c r="D226" s="16" t="s">
        <v>1247</v>
      </c>
      <c r="E226" s="16" t="s">
        <v>1253</v>
      </c>
      <c r="F226" s="16" t="s">
        <v>1249</v>
      </c>
      <c r="G226" s="16" t="s">
        <v>1254</v>
      </c>
      <c r="H226" s="16" t="s">
        <v>56</v>
      </c>
      <c r="I226" s="16" t="s">
        <v>33</v>
      </c>
      <c r="J226" s="16" t="s">
        <v>1149</v>
      </c>
      <c r="K226" s="16" t="s">
        <v>577</v>
      </c>
      <c r="L226" s="16" t="s">
        <v>553</v>
      </c>
      <c r="M226" s="16" t="s">
        <v>100</v>
      </c>
      <c r="N226" s="16" t="s">
        <v>1255</v>
      </c>
      <c r="O226" s="17" t="s">
        <v>92</v>
      </c>
      <c r="P226" s="18" t="s">
        <v>93</v>
      </c>
      <c r="Q226" s="18"/>
      <c r="R226" s="18"/>
    </row>
    <row r="227" customFormat="false" ht="22.35" hidden="false" customHeight="false" outlineLevel="0" collapsed="false">
      <c r="A227" s="16" t="s">
        <v>1256</v>
      </c>
      <c r="B227" s="16" t="s">
        <v>47</v>
      </c>
      <c r="C227" s="16" t="s">
        <v>1246</v>
      </c>
      <c r="D227" s="16" t="s">
        <v>1247</v>
      </c>
      <c r="E227" s="16" t="s">
        <v>1257</v>
      </c>
      <c r="F227" s="16" t="s">
        <v>1249</v>
      </c>
      <c r="G227" s="16" t="s">
        <v>1258</v>
      </c>
      <c r="H227" s="16" t="s">
        <v>56</v>
      </c>
      <c r="I227" s="16" t="s">
        <v>32</v>
      </c>
      <c r="J227" s="16" t="s">
        <v>1149</v>
      </c>
      <c r="K227" s="16" t="s">
        <v>577</v>
      </c>
      <c r="L227" s="16" t="s">
        <v>553</v>
      </c>
      <c r="M227" s="16" t="s">
        <v>100</v>
      </c>
      <c r="N227" s="16" t="s">
        <v>1259</v>
      </c>
      <c r="O227" s="17" t="s">
        <v>92</v>
      </c>
      <c r="P227" s="18" t="s">
        <v>93</v>
      </c>
      <c r="Q227" s="18"/>
      <c r="R227" s="18"/>
    </row>
    <row r="228" customFormat="false" ht="22.35" hidden="false" customHeight="false" outlineLevel="0" collapsed="false">
      <c r="A228" s="16" t="s">
        <v>1260</v>
      </c>
      <c r="B228" s="16" t="s">
        <v>47</v>
      </c>
      <c r="C228" s="16" t="s">
        <v>1246</v>
      </c>
      <c r="D228" s="16" t="s">
        <v>1247</v>
      </c>
      <c r="E228" s="16" t="s">
        <v>1261</v>
      </c>
      <c r="F228" s="16" t="s">
        <v>1249</v>
      </c>
      <c r="G228" s="16" t="s">
        <v>1262</v>
      </c>
      <c r="H228" s="16" t="s">
        <v>54</v>
      </c>
      <c r="I228" s="16" t="s">
        <v>33</v>
      </c>
      <c r="J228" s="16" t="s">
        <v>1149</v>
      </c>
      <c r="K228" s="16" t="s">
        <v>577</v>
      </c>
      <c r="L228" s="16" t="s">
        <v>553</v>
      </c>
      <c r="M228" s="16" t="s">
        <v>100</v>
      </c>
      <c r="N228" s="16" t="s">
        <v>1263</v>
      </c>
      <c r="O228" s="17" t="s">
        <v>92</v>
      </c>
      <c r="P228" s="18" t="s">
        <v>93</v>
      </c>
      <c r="Q228" s="18"/>
      <c r="R228" s="18"/>
    </row>
    <row r="229" customFormat="false" ht="22.35" hidden="false" customHeight="false" outlineLevel="0" collapsed="false">
      <c r="A229" s="16" t="s">
        <v>1264</v>
      </c>
      <c r="B229" s="16" t="s">
        <v>47</v>
      </c>
      <c r="C229" s="16" t="s">
        <v>1246</v>
      </c>
      <c r="D229" s="16" t="s">
        <v>1247</v>
      </c>
      <c r="E229" s="16" t="s">
        <v>1265</v>
      </c>
      <c r="F229" s="16" t="s">
        <v>1249</v>
      </c>
      <c r="G229" s="16" t="s">
        <v>1266</v>
      </c>
      <c r="H229" s="16" t="s">
        <v>54</v>
      </c>
      <c r="I229" s="16" t="s">
        <v>32</v>
      </c>
      <c r="J229" s="16" t="s">
        <v>1149</v>
      </c>
      <c r="K229" s="16" t="s">
        <v>577</v>
      </c>
      <c r="L229" s="16" t="s">
        <v>553</v>
      </c>
      <c r="M229" s="16" t="s">
        <v>100</v>
      </c>
      <c r="N229" s="16" t="s">
        <v>1267</v>
      </c>
      <c r="O229" s="17" t="s">
        <v>92</v>
      </c>
      <c r="P229" s="18" t="s">
        <v>93</v>
      </c>
      <c r="Q229" s="18"/>
      <c r="R229" s="18"/>
    </row>
    <row r="230" customFormat="false" ht="22.35" hidden="false" customHeight="false" outlineLevel="0" collapsed="false">
      <c r="A230" s="16" t="s">
        <v>1268</v>
      </c>
      <c r="B230" s="16" t="s">
        <v>47</v>
      </c>
      <c r="C230" s="16" t="s">
        <v>1246</v>
      </c>
      <c r="D230" s="16" t="s">
        <v>1247</v>
      </c>
      <c r="E230" s="16" t="s">
        <v>1269</v>
      </c>
      <c r="F230" s="16" t="s">
        <v>1249</v>
      </c>
      <c r="G230" s="16" t="s">
        <v>1270</v>
      </c>
      <c r="H230" s="16" t="s">
        <v>54</v>
      </c>
      <c r="I230" s="16" t="s">
        <v>33</v>
      </c>
      <c r="J230" s="16" t="s">
        <v>1149</v>
      </c>
      <c r="K230" s="16" t="s">
        <v>577</v>
      </c>
      <c r="L230" s="16" t="s">
        <v>553</v>
      </c>
      <c r="M230" s="16" t="s">
        <v>100</v>
      </c>
      <c r="N230" s="16" t="s">
        <v>1271</v>
      </c>
      <c r="O230" s="17" t="s">
        <v>92</v>
      </c>
      <c r="P230" s="18" t="s">
        <v>93</v>
      </c>
      <c r="Q230" s="18"/>
      <c r="R230" s="18"/>
    </row>
    <row r="231" customFormat="false" ht="22.35" hidden="false" customHeight="false" outlineLevel="0" collapsed="false">
      <c r="A231" s="16" t="s">
        <v>1272</v>
      </c>
      <c r="B231" s="16" t="s">
        <v>47</v>
      </c>
      <c r="C231" s="16" t="s">
        <v>1246</v>
      </c>
      <c r="D231" s="16" t="s">
        <v>1247</v>
      </c>
      <c r="E231" s="16" t="s">
        <v>1273</v>
      </c>
      <c r="F231" s="16" t="s">
        <v>1249</v>
      </c>
      <c r="G231" s="16" t="s">
        <v>1274</v>
      </c>
      <c r="H231" s="16" t="s">
        <v>56</v>
      </c>
      <c r="I231" s="16" t="s">
        <v>34</v>
      </c>
      <c r="J231" s="16" t="s">
        <v>1149</v>
      </c>
      <c r="K231" s="16" t="s">
        <v>577</v>
      </c>
      <c r="L231" s="16" t="s">
        <v>553</v>
      </c>
      <c r="M231" s="16" t="s">
        <v>100</v>
      </c>
      <c r="N231" s="16" t="s">
        <v>1275</v>
      </c>
      <c r="O231" s="17" t="s">
        <v>92</v>
      </c>
      <c r="P231" s="18" t="s">
        <v>93</v>
      </c>
      <c r="Q231" s="18"/>
      <c r="R231" s="18"/>
    </row>
    <row r="232" customFormat="false" ht="22.35" hidden="false" customHeight="false" outlineLevel="0" collapsed="false">
      <c r="A232" s="16" t="s">
        <v>1276</v>
      </c>
      <c r="B232" s="16" t="s">
        <v>47</v>
      </c>
      <c r="C232" s="16" t="s">
        <v>1246</v>
      </c>
      <c r="D232" s="16" t="s">
        <v>1247</v>
      </c>
      <c r="E232" s="16" t="s">
        <v>1277</v>
      </c>
      <c r="F232" s="16" t="s">
        <v>1249</v>
      </c>
      <c r="G232" s="16" t="s">
        <v>1278</v>
      </c>
      <c r="H232" s="16" t="s">
        <v>56</v>
      </c>
      <c r="I232" s="16" t="s">
        <v>34</v>
      </c>
      <c r="J232" s="16" t="s">
        <v>1149</v>
      </c>
      <c r="K232" s="16" t="s">
        <v>577</v>
      </c>
      <c r="L232" s="16" t="s">
        <v>553</v>
      </c>
      <c r="M232" s="16" t="s">
        <v>100</v>
      </c>
      <c r="N232" s="16" t="s">
        <v>1279</v>
      </c>
      <c r="O232" s="17" t="s">
        <v>92</v>
      </c>
      <c r="P232" s="18" t="s">
        <v>93</v>
      </c>
      <c r="Q232" s="18"/>
      <c r="R232" s="18"/>
    </row>
    <row r="233" customFormat="false" ht="22.35" hidden="false" customHeight="false" outlineLevel="0" collapsed="false">
      <c r="A233" s="16" t="s">
        <v>1280</v>
      </c>
      <c r="B233" s="16" t="s">
        <v>47</v>
      </c>
      <c r="C233" s="16" t="s">
        <v>1246</v>
      </c>
      <c r="D233" s="16" t="s">
        <v>1281</v>
      </c>
      <c r="E233" s="16" t="s">
        <v>1282</v>
      </c>
      <c r="F233" s="16" t="s">
        <v>1249</v>
      </c>
      <c r="G233" s="16" t="s">
        <v>1283</v>
      </c>
      <c r="H233" s="16" t="s">
        <v>54</v>
      </c>
      <c r="I233" s="16" t="s">
        <v>31</v>
      </c>
      <c r="J233" s="16" t="s">
        <v>1149</v>
      </c>
      <c r="K233" s="16" t="s">
        <v>552</v>
      </c>
      <c r="L233" s="16" t="s">
        <v>553</v>
      </c>
      <c r="M233" s="16" t="s">
        <v>100</v>
      </c>
      <c r="N233" s="16" t="s">
        <v>1284</v>
      </c>
      <c r="O233" s="17" t="s">
        <v>92</v>
      </c>
      <c r="P233" s="18" t="s">
        <v>93</v>
      </c>
      <c r="Q233" s="18"/>
      <c r="R233" s="18"/>
    </row>
    <row r="234" customFormat="false" ht="22.35" hidden="false" customHeight="false" outlineLevel="0" collapsed="false">
      <c r="A234" s="16" t="s">
        <v>1285</v>
      </c>
      <c r="B234" s="16" t="s">
        <v>47</v>
      </c>
      <c r="C234" s="16" t="s">
        <v>1246</v>
      </c>
      <c r="D234" s="16" t="s">
        <v>1281</v>
      </c>
      <c r="E234" s="16" t="s">
        <v>1286</v>
      </c>
      <c r="F234" s="16" t="s">
        <v>1249</v>
      </c>
      <c r="G234" s="16" t="s">
        <v>1287</v>
      </c>
      <c r="H234" s="16" t="s">
        <v>54</v>
      </c>
      <c r="I234" s="16" t="s">
        <v>32</v>
      </c>
      <c r="J234" s="16" t="s">
        <v>1149</v>
      </c>
      <c r="K234" s="16" t="s">
        <v>558</v>
      </c>
      <c r="L234" s="16" t="s">
        <v>553</v>
      </c>
      <c r="M234" s="16" t="s">
        <v>100</v>
      </c>
      <c r="N234" s="16" t="s">
        <v>1288</v>
      </c>
      <c r="O234" s="17" t="s">
        <v>92</v>
      </c>
      <c r="P234" s="18" t="s">
        <v>93</v>
      </c>
      <c r="Q234" s="18"/>
      <c r="R234" s="18"/>
    </row>
    <row r="235" customFormat="false" ht="22.35" hidden="false" customHeight="false" outlineLevel="0" collapsed="false">
      <c r="A235" s="16" t="s">
        <v>1289</v>
      </c>
      <c r="B235" s="16" t="s">
        <v>47</v>
      </c>
      <c r="C235" s="16" t="s">
        <v>1246</v>
      </c>
      <c r="D235" s="16" t="s">
        <v>1281</v>
      </c>
      <c r="E235" s="16" t="s">
        <v>1290</v>
      </c>
      <c r="F235" s="16" t="s">
        <v>1249</v>
      </c>
      <c r="G235" s="16" t="s">
        <v>1291</v>
      </c>
      <c r="H235" s="16" t="s">
        <v>54</v>
      </c>
      <c r="I235" s="16" t="s">
        <v>32</v>
      </c>
      <c r="J235" s="16" t="s">
        <v>1149</v>
      </c>
      <c r="K235" s="16" t="s">
        <v>558</v>
      </c>
      <c r="L235" s="16" t="s">
        <v>553</v>
      </c>
      <c r="M235" s="16" t="s">
        <v>100</v>
      </c>
      <c r="N235" s="16" t="s">
        <v>1292</v>
      </c>
      <c r="O235" s="17" t="s">
        <v>92</v>
      </c>
      <c r="P235" s="18" t="s">
        <v>93</v>
      </c>
      <c r="Q235" s="18"/>
      <c r="R235" s="18"/>
    </row>
    <row r="236" customFormat="false" ht="22.35" hidden="false" customHeight="false" outlineLevel="0" collapsed="false">
      <c r="A236" s="16" t="s">
        <v>1293</v>
      </c>
      <c r="B236" s="16" t="s">
        <v>47</v>
      </c>
      <c r="C236" s="16" t="s">
        <v>1246</v>
      </c>
      <c r="D236" s="16" t="s">
        <v>1281</v>
      </c>
      <c r="E236" s="16" t="s">
        <v>1294</v>
      </c>
      <c r="F236" s="16" t="s">
        <v>1249</v>
      </c>
      <c r="G236" s="16" t="s">
        <v>1295</v>
      </c>
      <c r="H236" s="16" t="s">
        <v>61</v>
      </c>
      <c r="I236" s="16" t="s">
        <v>33</v>
      </c>
      <c r="J236" s="16" t="s">
        <v>1149</v>
      </c>
      <c r="K236" s="16" t="s">
        <v>387</v>
      </c>
      <c r="L236" s="16" t="s">
        <v>147</v>
      </c>
      <c r="M236" s="16" t="s">
        <v>100</v>
      </c>
      <c r="N236" s="16" t="s">
        <v>1296</v>
      </c>
      <c r="O236" s="17" t="s">
        <v>92</v>
      </c>
      <c r="P236" s="18" t="s">
        <v>93</v>
      </c>
      <c r="Q236" s="18"/>
      <c r="R236" s="18"/>
    </row>
    <row r="237" customFormat="false" ht="22.35" hidden="false" customHeight="false" outlineLevel="0" collapsed="false">
      <c r="A237" s="16" t="s">
        <v>1297</v>
      </c>
      <c r="B237" s="16" t="s">
        <v>47</v>
      </c>
      <c r="C237" s="16" t="s">
        <v>1246</v>
      </c>
      <c r="D237" s="16" t="s">
        <v>1281</v>
      </c>
      <c r="E237" s="16" t="s">
        <v>1298</v>
      </c>
      <c r="F237" s="16" t="s">
        <v>1249</v>
      </c>
      <c r="G237" s="16" t="s">
        <v>1299</v>
      </c>
      <c r="H237" s="16" t="s">
        <v>54</v>
      </c>
      <c r="I237" s="16" t="s">
        <v>31</v>
      </c>
      <c r="J237" s="16" t="s">
        <v>1149</v>
      </c>
      <c r="K237" s="16" t="s">
        <v>1300</v>
      </c>
      <c r="L237" s="16" t="s">
        <v>1301</v>
      </c>
      <c r="M237" s="16" t="s">
        <v>100</v>
      </c>
      <c r="N237" s="16" t="s">
        <v>1302</v>
      </c>
      <c r="O237" s="17" t="s">
        <v>92</v>
      </c>
      <c r="P237" s="18" t="s">
        <v>93</v>
      </c>
      <c r="Q237" s="18"/>
      <c r="R237" s="18"/>
    </row>
    <row r="238" customFormat="false" ht="22.35" hidden="false" customHeight="false" outlineLevel="0" collapsed="false">
      <c r="A238" s="16" t="s">
        <v>1303</v>
      </c>
      <c r="B238" s="16" t="s">
        <v>47</v>
      </c>
      <c r="C238" s="16" t="s">
        <v>1304</v>
      </c>
      <c r="D238" s="16" t="s">
        <v>1305</v>
      </c>
      <c r="E238" s="16" t="s">
        <v>1306</v>
      </c>
      <c r="F238" s="16" t="s">
        <v>1307</v>
      </c>
      <c r="G238" s="16" t="s">
        <v>1308</v>
      </c>
      <c r="H238" s="16" t="s">
        <v>54</v>
      </c>
      <c r="I238" s="16" t="s">
        <v>32</v>
      </c>
      <c r="J238" s="16" t="s">
        <v>1149</v>
      </c>
      <c r="K238" s="16" t="s">
        <v>577</v>
      </c>
      <c r="L238" s="16" t="s">
        <v>1309</v>
      </c>
      <c r="M238" s="16" t="s">
        <v>100</v>
      </c>
      <c r="N238" s="16" t="s">
        <v>1310</v>
      </c>
      <c r="O238" s="17" t="s">
        <v>92</v>
      </c>
      <c r="P238" s="18" t="s">
        <v>93</v>
      </c>
      <c r="Q238" s="18"/>
      <c r="R238" s="18"/>
    </row>
    <row r="239" customFormat="false" ht="22.35" hidden="false" customHeight="false" outlineLevel="0" collapsed="false">
      <c r="A239" s="16" t="s">
        <v>1311</v>
      </c>
      <c r="B239" s="16" t="s">
        <v>47</v>
      </c>
      <c r="C239" s="16" t="s">
        <v>1304</v>
      </c>
      <c r="D239" s="16" t="s">
        <v>1305</v>
      </c>
      <c r="E239" s="16" t="s">
        <v>1312</v>
      </c>
      <c r="F239" s="16" t="s">
        <v>1307</v>
      </c>
      <c r="G239" s="16" t="s">
        <v>1313</v>
      </c>
      <c r="H239" s="16" t="s">
        <v>54</v>
      </c>
      <c r="I239" s="16" t="s">
        <v>33</v>
      </c>
      <c r="J239" s="16" t="s">
        <v>1149</v>
      </c>
      <c r="K239" s="16" t="s">
        <v>146</v>
      </c>
      <c r="L239" s="16" t="s">
        <v>1309</v>
      </c>
      <c r="M239" s="16" t="s">
        <v>100</v>
      </c>
      <c r="N239" s="16" t="s">
        <v>1314</v>
      </c>
      <c r="O239" s="17" t="s">
        <v>92</v>
      </c>
      <c r="P239" s="18" t="s">
        <v>93</v>
      </c>
      <c r="Q239" s="18"/>
      <c r="R239" s="18"/>
    </row>
    <row r="240" customFormat="false" ht="22.35" hidden="false" customHeight="false" outlineLevel="0" collapsed="false">
      <c r="A240" s="16" t="s">
        <v>1315</v>
      </c>
      <c r="B240" s="16" t="s">
        <v>47</v>
      </c>
      <c r="C240" s="16" t="s">
        <v>1304</v>
      </c>
      <c r="D240" s="16" t="s">
        <v>1316</v>
      </c>
      <c r="E240" s="16" t="s">
        <v>1317</v>
      </c>
      <c r="F240" s="16" t="s">
        <v>1307</v>
      </c>
      <c r="G240" s="16" t="s">
        <v>1318</v>
      </c>
      <c r="H240" s="16" t="s">
        <v>54</v>
      </c>
      <c r="I240" s="16" t="s">
        <v>32</v>
      </c>
      <c r="J240" s="16" t="s">
        <v>1149</v>
      </c>
      <c r="K240" s="16" t="s">
        <v>179</v>
      </c>
      <c r="L240" s="16" t="s">
        <v>272</v>
      </c>
      <c r="M240" s="16" t="s">
        <v>100</v>
      </c>
      <c r="N240" s="16" t="s">
        <v>1319</v>
      </c>
      <c r="O240" s="17" t="s">
        <v>92</v>
      </c>
      <c r="P240" s="18" t="s">
        <v>93</v>
      </c>
      <c r="Q240" s="18"/>
      <c r="R240" s="18"/>
    </row>
    <row r="241" customFormat="false" ht="22.35" hidden="false" customHeight="false" outlineLevel="0" collapsed="false">
      <c r="A241" s="16" t="s">
        <v>1320</v>
      </c>
      <c r="B241" s="16" t="s">
        <v>47</v>
      </c>
      <c r="C241" s="16" t="s">
        <v>1304</v>
      </c>
      <c r="D241" s="16" t="s">
        <v>1316</v>
      </c>
      <c r="E241" s="16" t="s">
        <v>1321</v>
      </c>
      <c r="F241" s="16" t="s">
        <v>1307</v>
      </c>
      <c r="G241" s="16" t="s">
        <v>1322</v>
      </c>
      <c r="H241" s="16" t="s">
        <v>60</v>
      </c>
      <c r="I241" s="16" t="s">
        <v>33</v>
      </c>
      <c r="J241" s="16" t="s">
        <v>1149</v>
      </c>
      <c r="K241" s="16" t="s">
        <v>426</v>
      </c>
      <c r="L241" s="16" t="s">
        <v>272</v>
      </c>
      <c r="M241" s="16" t="s">
        <v>100</v>
      </c>
      <c r="N241" s="16" t="s">
        <v>1323</v>
      </c>
      <c r="O241" s="17" t="s">
        <v>92</v>
      </c>
      <c r="P241" s="18" t="s">
        <v>93</v>
      </c>
      <c r="Q241" s="18"/>
      <c r="R241" s="18"/>
    </row>
    <row r="242" customFormat="false" ht="22.35" hidden="false" customHeight="false" outlineLevel="0" collapsed="false">
      <c r="A242" s="16" t="s">
        <v>1324</v>
      </c>
      <c r="B242" s="16" t="s">
        <v>47</v>
      </c>
      <c r="C242" s="16" t="s">
        <v>1304</v>
      </c>
      <c r="D242" s="16" t="s">
        <v>1325</v>
      </c>
      <c r="E242" s="16" t="s">
        <v>1326</v>
      </c>
      <c r="F242" s="16" t="s">
        <v>1307</v>
      </c>
      <c r="G242" s="16" t="s">
        <v>1327</v>
      </c>
      <c r="H242" s="16" t="s">
        <v>60</v>
      </c>
      <c r="I242" s="16" t="s">
        <v>32</v>
      </c>
      <c r="J242" s="16" t="s">
        <v>1149</v>
      </c>
      <c r="K242" s="16" t="s">
        <v>1328</v>
      </c>
      <c r="L242" s="16" t="s">
        <v>272</v>
      </c>
      <c r="M242" s="16" t="s">
        <v>100</v>
      </c>
      <c r="N242" s="16" t="s">
        <v>1329</v>
      </c>
      <c r="O242" s="17" t="s">
        <v>92</v>
      </c>
      <c r="P242" s="18" t="s">
        <v>93</v>
      </c>
      <c r="Q242" s="18"/>
      <c r="R242" s="18"/>
    </row>
    <row r="243" customFormat="false" ht="22.35" hidden="false" customHeight="false" outlineLevel="0" collapsed="false">
      <c r="A243" s="16" t="s">
        <v>1330</v>
      </c>
      <c r="B243" s="16" t="s">
        <v>47</v>
      </c>
      <c r="C243" s="16" t="s">
        <v>1331</v>
      </c>
      <c r="D243" s="16" t="s">
        <v>1332</v>
      </c>
      <c r="E243" s="16" t="s">
        <v>1333</v>
      </c>
      <c r="F243" s="16" t="s">
        <v>1334</v>
      </c>
      <c r="G243" s="16" t="s">
        <v>1335</v>
      </c>
      <c r="H243" s="16" t="s">
        <v>56</v>
      </c>
      <c r="I243" s="16" t="s">
        <v>34</v>
      </c>
      <c r="J243" s="16" t="s">
        <v>1149</v>
      </c>
      <c r="K243" s="16" t="s">
        <v>387</v>
      </c>
      <c r="L243" s="16" t="s">
        <v>147</v>
      </c>
      <c r="M243" s="16" t="s">
        <v>100</v>
      </c>
      <c r="N243" s="16" t="s">
        <v>1336</v>
      </c>
      <c r="O243" s="17" t="s">
        <v>92</v>
      </c>
      <c r="P243" s="18" t="s">
        <v>93</v>
      </c>
      <c r="Q243" s="18"/>
      <c r="R243" s="18"/>
    </row>
    <row r="244" customFormat="false" ht="22.35" hidden="false" customHeight="false" outlineLevel="0" collapsed="false">
      <c r="A244" s="16" t="s">
        <v>1337</v>
      </c>
      <c r="B244" s="16" t="s">
        <v>47</v>
      </c>
      <c r="C244" s="16" t="s">
        <v>1331</v>
      </c>
      <c r="D244" s="16" t="s">
        <v>1338</v>
      </c>
      <c r="E244" s="16" t="s">
        <v>1339</v>
      </c>
      <c r="F244" s="16" t="s">
        <v>1334</v>
      </c>
      <c r="G244" s="16" t="s">
        <v>1340</v>
      </c>
      <c r="H244" s="16" t="s">
        <v>60</v>
      </c>
      <c r="I244" s="16" t="s">
        <v>33</v>
      </c>
      <c r="J244" s="16" t="s">
        <v>1149</v>
      </c>
      <c r="K244" s="16" t="s">
        <v>387</v>
      </c>
      <c r="L244" s="16" t="s">
        <v>147</v>
      </c>
      <c r="M244" s="16" t="s">
        <v>100</v>
      </c>
      <c r="N244" s="16" t="s">
        <v>1341</v>
      </c>
      <c r="O244" s="17" t="s">
        <v>92</v>
      </c>
      <c r="P244" s="18" t="s">
        <v>93</v>
      </c>
      <c r="Q244" s="18"/>
      <c r="R244" s="18"/>
    </row>
    <row r="245" customFormat="false" ht="22.35" hidden="false" customHeight="false" outlineLevel="0" collapsed="false">
      <c r="A245" s="16" t="s">
        <v>1342</v>
      </c>
      <c r="B245" s="16" t="s">
        <v>47</v>
      </c>
      <c r="C245" s="16" t="s">
        <v>1331</v>
      </c>
      <c r="D245" s="16" t="s">
        <v>1343</v>
      </c>
      <c r="E245" s="16" t="s">
        <v>1344</v>
      </c>
      <c r="F245" s="16" t="s">
        <v>1334</v>
      </c>
      <c r="G245" s="16" t="s">
        <v>1345</v>
      </c>
      <c r="H245" s="16" t="s">
        <v>60</v>
      </c>
      <c r="I245" s="16" t="s">
        <v>33</v>
      </c>
      <c r="J245" s="16" t="s">
        <v>1149</v>
      </c>
      <c r="K245" s="16" t="s">
        <v>426</v>
      </c>
      <c r="L245" s="16" t="s">
        <v>427</v>
      </c>
      <c r="M245" s="16" t="s">
        <v>100</v>
      </c>
      <c r="N245" s="16" t="s">
        <v>1346</v>
      </c>
      <c r="O245" s="17" t="s">
        <v>92</v>
      </c>
      <c r="P245" s="18" t="s">
        <v>93</v>
      </c>
      <c r="Q245" s="18"/>
      <c r="R245" s="18"/>
    </row>
    <row r="246" customFormat="false" ht="22.35" hidden="false" customHeight="false" outlineLevel="0" collapsed="false">
      <c r="A246" s="16" t="s">
        <v>1347</v>
      </c>
      <c r="B246" s="16" t="s">
        <v>47</v>
      </c>
      <c r="C246" s="16" t="s">
        <v>1331</v>
      </c>
      <c r="D246" s="16" t="s">
        <v>1348</v>
      </c>
      <c r="E246" s="16" t="s">
        <v>1349</v>
      </c>
      <c r="F246" s="16" t="s">
        <v>1334</v>
      </c>
      <c r="G246" s="16" t="s">
        <v>1350</v>
      </c>
      <c r="H246" s="16" t="s">
        <v>54</v>
      </c>
      <c r="I246" s="16" t="s">
        <v>32</v>
      </c>
      <c r="J246" s="16" t="s">
        <v>1149</v>
      </c>
      <c r="K246" s="16" t="s">
        <v>140</v>
      </c>
      <c r="L246" s="16" t="s">
        <v>1351</v>
      </c>
      <c r="M246" s="16" t="s">
        <v>100</v>
      </c>
      <c r="N246" s="16" t="s">
        <v>1352</v>
      </c>
      <c r="O246" s="17" t="s">
        <v>92</v>
      </c>
      <c r="P246" s="18" t="s">
        <v>93</v>
      </c>
      <c r="Q246" s="18"/>
      <c r="R246" s="18"/>
    </row>
    <row r="247" customFormat="false" ht="22.35" hidden="false" customHeight="false" outlineLevel="0" collapsed="false">
      <c r="A247" s="16" t="s">
        <v>1353</v>
      </c>
      <c r="B247" s="16" t="s">
        <v>47</v>
      </c>
      <c r="C247" s="16" t="s">
        <v>1331</v>
      </c>
      <c r="D247" s="16" t="s">
        <v>1348</v>
      </c>
      <c r="E247" s="16" t="s">
        <v>1354</v>
      </c>
      <c r="F247" s="16" t="s">
        <v>1334</v>
      </c>
      <c r="G247" s="16" t="s">
        <v>1355</v>
      </c>
      <c r="H247" s="16" t="s">
        <v>56</v>
      </c>
      <c r="I247" s="16" t="s">
        <v>33</v>
      </c>
      <c r="J247" s="16" t="s">
        <v>1149</v>
      </c>
      <c r="K247" s="16" t="s">
        <v>776</v>
      </c>
      <c r="L247" s="16" t="s">
        <v>436</v>
      </c>
      <c r="M247" s="16" t="s">
        <v>100</v>
      </c>
      <c r="N247" s="16" t="s">
        <v>1356</v>
      </c>
      <c r="O247" s="17" t="s">
        <v>92</v>
      </c>
      <c r="P247" s="18" t="s">
        <v>93</v>
      </c>
      <c r="Q247" s="18"/>
      <c r="R247" s="18"/>
    </row>
    <row r="248" customFormat="false" ht="22.35" hidden="false" customHeight="false" outlineLevel="0" collapsed="false">
      <c r="A248" s="16" t="s">
        <v>1357</v>
      </c>
      <c r="B248" s="16" t="s">
        <v>47</v>
      </c>
      <c r="C248" s="16" t="s">
        <v>1331</v>
      </c>
      <c r="D248" s="16" t="s">
        <v>1348</v>
      </c>
      <c r="E248" s="16" t="s">
        <v>1358</v>
      </c>
      <c r="F248" s="16" t="s">
        <v>1334</v>
      </c>
      <c r="G248" s="16" t="s">
        <v>1359</v>
      </c>
      <c r="H248" s="16" t="s">
        <v>56</v>
      </c>
      <c r="I248" s="16" t="s">
        <v>32</v>
      </c>
      <c r="J248" s="16" t="s">
        <v>1149</v>
      </c>
      <c r="K248" s="16" t="s">
        <v>371</v>
      </c>
      <c r="L248" s="16" t="s">
        <v>372</v>
      </c>
      <c r="M248" s="16" t="s">
        <v>100</v>
      </c>
      <c r="N248" s="16" t="s">
        <v>1360</v>
      </c>
      <c r="O248" s="17" t="s">
        <v>92</v>
      </c>
      <c r="P248" s="18" t="s">
        <v>93</v>
      </c>
      <c r="Q248" s="18"/>
      <c r="R248" s="18"/>
    </row>
    <row r="249" customFormat="false" ht="22.35" hidden="false" customHeight="false" outlineLevel="0" collapsed="false">
      <c r="A249" s="16" t="s">
        <v>1361</v>
      </c>
      <c r="B249" s="16" t="s">
        <v>47</v>
      </c>
      <c r="C249" s="16" t="s">
        <v>1331</v>
      </c>
      <c r="D249" s="16" t="s">
        <v>1362</v>
      </c>
      <c r="E249" s="16" t="s">
        <v>1363</v>
      </c>
      <c r="F249" s="16" t="s">
        <v>1334</v>
      </c>
      <c r="G249" s="16" t="s">
        <v>1364</v>
      </c>
      <c r="H249" s="16" t="s">
        <v>54</v>
      </c>
      <c r="I249" s="16" t="s">
        <v>32</v>
      </c>
      <c r="J249" s="16" t="s">
        <v>1149</v>
      </c>
      <c r="K249" s="16" t="s">
        <v>171</v>
      </c>
      <c r="L249" s="16" t="s">
        <v>1365</v>
      </c>
      <c r="M249" s="16" t="s">
        <v>100</v>
      </c>
      <c r="N249" s="16" t="s">
        <v>1366</v>
      </c>
      <c r="O249" s="17" t="s">
        <v>92</v>
      </c>
      <c r="P249" s="18" t="s">
        <v>93</v>
      </c>
      <c r="Q249" s="18"/>
      <c r="R249" s="18"/>
    </row>
    <row r="250" customFormat="false" ht="22.35" hidden="false" customHeight="false" outlineLevel="0" collapsed="false">
      <c r="A250" s="16" t="s">
        <v>1367</v>
      </c>
      <c r="B250" s="16" t="s">
        <v>47</v>
      </c>
      <c r="C250" s="16" t="s">
        <v>1331</v>
      </c>
      <c r="D250" s="16" t="s">
        <v>1362</v>
      </c>
      <c r="E250" s="16" t="s">
        <v>1368</v>
      </c>
      <c r="F250" s="16" t="s">
        <v>1334</v>
      </c>
      <c r="G250" s="16" t="s">
        <v>1369</v>
      </c>
      <c r="H250" s="16" t="s">
        <v>54</v>
      </c>
      <c r="I250" s="16" t="s">
        <v>31</v>
      </c>
      <c r="J250" s="16" t="s">
        <v>1149</v>
      </c>
      <c r="K250" s="16" t="s">
        <v>714</v>
      </c>
      <c r="L250" s="16" t="s">
        <v>186</v>
      </c>
      <c r="M250" s="16" t="s">
        <v>100</v>
      </c>
      <c r="N250" s="16" t="s">
        <v>1370</v>
      </c>
      <c r="O250" s="17" t="s">
        <v>92</v>
      </c>
      <c r="P250" s="18" t="s">
        <v>93</v>
      </c>
      <c r="Q250" s="18"/>
      <c r="R250" s="18"/>
    </row>
    <row r="251" customFormat="false" ht="22.35" hidden="false" customHeight="false" outlineLevel="0" collapsed="false">
      <c r="A251" s="16" t="s">
        <v>1371</v>
      </c>
      <c r="B251" s="16" t="s">
        <v>47</v>
      </c>
      <c r="C251" s="16" t="s">
        <v>1331</v>
      </c>
      <c r="D251" s="16" t="s">
        <v>1362</v>
      </c>
      <c r="E251" s="16" t="s">
        <v>1372</v>
      </c>
      <c r="F251" s="16" t="s">
        <v>1334</v>
      </c>
      <c r="G251" s="16" t="s">
        <v>1373</v>
      </c>
      <c r="H251" s="16" t="s">
        <v>54</v>
      </c>
      <c r="I251" s="16" t="s">
        <v>31</v>
      </c>
      <c r="J251" s="16" t="s">
        <v>1149</v>
      </c>
      <c r="K251" s="16" t="s">
        <v>1374</v>
      </c>
      <c r="L251" s="16" t="s">
        <v>1375</v>
      </c>
      <c r="M251" s="16" t="s">
        <v>100</v>
      </c>
      <c r="N251" s="16" t="s">
        <v>1376</v>
      </c>
      <c r="O251" s="17" t="s">
        <v>92</v>
      </c>
      <c r="P251" s="18" t="s">
        <v>93</v>
      </c>
      <c r="Q251" s="18"/>
      <c r="R251" s="18"/>
    </row>
    <row r="252" customFormat="false" ht="22.35" hidden="false" customHeight="false" outlineLevel="0" collapsed="false">
      <c r="A252" s="16" t="s">
        <v>1377</v>
      </c>
      <c r="B252" s="16" t="s">
        <v>47</v>
      </c>
      <c r="C252" s="16" t="s">
        <v>1331</v>
      </c>
      <c r="D252" s="16" t="s">
        <v>1378</v>
      </c>
      <c r="E252" s="16" t="s">
        <v>1379</v>
      </c>
      <c r="F252" s="16" t="s">
        <v>1334</v>
      </c>
      <c r="G252" s="16" t="s">
        <v>1380</v>
      </c>
      <c r="H252" s="16" t="s">
        <v>58</v>
      </c>
      <c r="I252" s="16" t="s">
        <v>34</v>
      </c>
      <c r="J252" s="16" t="s">
        <v>1149</v>
      </c>
      <c r="K252" s="16" t="s">
        <v>219</v>
      </c>
      <c r="L252" s="16" t="s">
        <v>220</v>
      </c>
      <c r="M252" s="16" t="s">
        <v>100</v>
      </c>
      <c r="N252" s="16" t="s">
        <v>1381</v>
      </c>
      <c r="O252" s="17" t="s">
        <v>92</v>
      </c>
      <c r="P252" s="18" t="s">
        <v>93</v>
      </c>
      <c r="Q252" s="18"/>
      <c r="R252" s="18"/>
    </row>
    <row r="253" customFormat="false" ht="22.35" hidden="false" customHeight="false" outlineLevel="0" collapsed="false">
      <c r="A253" s="16" t="s">
        <v>1382</v>
      </c>
      <c r="B253" s="16" t="s">
        <v>47</v>
      </c>
      <c r="C253" s="16" t="s">
        <v>1331</v>
      </c>
      <c r="D253" s="16" t="s">
        <v>1383</v>
      </c>
      <c r="E253" s="16" t="s">
        <v>1384</v>
      </c>
      <c r="F253" s="16" t="s">
        <v>1334</v>
      </c>
      <c r="G253" s="16" t="s">
        <v>1385</v>
      </c>
      <c r="H253" s="16" t="s">
        <v>54</v>
      </c>
      <c r="I253" s="16" t="s">
        <v>33</v>
      </c>
      <c r="J253" s="16" t="s">
        <v>1149</v>
      </c>
      <c r="K253" s="16" t="s">
        <v>1386</v>
      </c>
      <c r="L253" s="16" t="s">
        <v>115</v>
      </c>
      <c r="M253" s="16" t="s">
        <v>100</v>
      </c>
      <c r="N253" s="16" t="s">
        <v>1387</v>
      </c>
      <c r="O253" s="17" t="s">
        <v>92</v>
      </c>
      <c r="P253" s="18" t="s">
        <v>93</v>
      </c>
      <c r="Q253" s="18"/>
      <c r="R253" s="18"/>
    </row>
    <row r="254" customFormat="false" ht="22.35" hidden="false" customHeight="false" outlineLevel="0" collapsed="false">
      <c r="A254" s="16" t="s">
        <v>1388</v>
      </c>
      <c r="B254" s="16" t="s">
        <v>47</v>
      </c>
      <c r="C254" s="16" t="s">
        <v>1331</v>
      </c>
      <c r="D254" s="16" t="s">
        <v>565</v>
      </c>
      <c r="E254" s="16" t="s">
        <v>1389</v>
      </c>
      <c r="F254" s="16" t="s">
        <v>1334</v>
      </c>
      <c r="G254" s="16" t="s">
        <v>1390</v>
      </c>
      <c r="H254" s="16" t="s">
        <v>54</v>
      </c>
      <c r="I254" s="16" t="s">
        <v>32</v>
      </c>
      <c r="J254" s="16" t="s">
        <v>1149</v>
      </c>
      <c r="K254" s="16" t="s">
        <v>568</v>
      </c>
      <c r="L254" s="16" t="s">
        <v>569</v>
      </c>
      <c r="M254" s="16" t="s">
        <v>100</v>
      </c>
      <c r="N254" s="16" t="s">
        <v>1391</v>
      </c>
      <c r="O254" s="17" t="s">
        <v>92</v>
      </c>
      <c r="P254" s="18" t="s">
        <v>93</v>
      </c>
      <c r="Q254" s="18"/>
      <c r="R254" s="18"/>
    </row>
    <row r="255" customFormat="false" ht="22.35" hidden="false" customHeight="false" outlineLevel="0" collapsed="false">
      <c r="A255" s="16" t="s">
        <v>1392</v>
      </c>
      <c r="B255" s="16" t="s">
        <v>47</v>
      </c>
      <c r="C255" s="16" t="s">
        <v>1331</v>
      </c>
      <c r="D255" s="16" t="s">
        <v>565</v>
      </c>
      <c r="E255" s="16" t="s">
        <v>1393</v>
      </c>
      <c r="F255" s="16" t="s">
        <v>1334</v>
      </c>
      <c r="G255" s="16" t="s">
        <v>1394</v>
      </c>
      <c r="H255" s="16" t="s">
        <v>56</v>
      </c>
      <c r="I255" s="16" t="s">
        <v>32</v>
      </c>
      <c r="J255" s="16" t="s">
        <v>1149</v>
      </c>
      <c r="K255" s="16" t="s">
        <v>568</v>
      </c>
      <c r="L255" s="16" t="s">
        <v>569</v>
      </c>
      <c r="M255" s="16" t="s">
        <v>100</v>
      </c>
      <c r="N255" s="16" t="s">
        <v>1395</v>
      </c>
      <c r="O255" s="17" t="s">
        <v>92</v>
      </c>
      <c r="P255" s="18" t="s">
        <v>93</v>
      </c>
      <c r="Q255" s="18"/>
      <c r="R255" s="18"/>
    </row>
    <row r="256" customFormat="false" ht="22.35" hidden="false" customHeight="false" outlineLevel="0" collapsed="false">
      <c r="A256" s="16" t="s">
        <v>1396</v>
      </c>
      <c r="B256" s="16" t="s">
        <v>47</v>
      </c>
      <c r="C256" s="16" t="s">
        <v>1331</v>
      </c>
      <c r="D256" s="16" t="s">
        <v>368</v>
      </c>
      <c r="E256" s="16" t="s">
        <v>1397</v>
      </c>
      <c r="F256" s="16" t="s">
        <v>1334</v>
      </c>
      <c r="G256" s="16" t="s">
        <v>1398</v>
      </c>
      <c r="H256" s="16" t="s">
        <v>54</v>
      </c>
      <c r="I256" s="16" t="s">
        <v>31</v>
      </c>
      <c r="J256" s="16" t="s">
        <v>1149</v>
      </c>
      <c r="K256" s="16" t="s">
        <v>371</v>
      </c>
      <c r="L256" s="16" t="s">
        <v>761</v>
      </c>
      <c r="M256" s="16" t="s">
        <v>100</v>
      </c>
      <c r="N256" s="16" t="s">
        <v>1399</v>
      </c>
      <c r="O256" s="17" t="s">
        <v>92</v>
      </c>
      <c r="P256" s="18" t="s">
        <v>93</v>
      </c>
      <c r="Q256" s="18"/>
      <c r="R256" s="18"/>
    </row>
    <row r="257" customFormat="false" ht="22.35" hidden="false" customHeight="false" outlineLevel="0" collapsed="false">
      <c r="A257" s="16" t="s">
        <v>1400</v>
      </c>
      <c r="B257" s="16" t="s">
        <v>47</v>
      </c>
      <c r="C257" s="16" t="s">
        <v>1331</v>
      </c>
      <c r="D257" s="16" t="s">
        <v>368</v>
      </c>
      <c r="E257" s="16" t="s">
        <v>1401</v>
      </c>
      <c r="F257" s="16" t="s">
        <v>1334</v>
      </c>
      <c r="G257" s="16" t="s">
        <v>1402</v>
      </c>
      <c r="H257" s="16" t="s">
        <v>56</v>
      </c>
      <c r="I257" s="16" t="s">
        <v>32</v>
      </c>
      <c r="J257" s="16" t="s">
        <v>1149</v>
      </c>
      <c r="K257" s="16" t="s">
        <v>751</v>
      </c>
      <c r="L257" s="16" t="s">
        <v>372</v>
      </c>
      <c r="M257" s="16" t="s">
        <v>100</v>
      </c>
      <c r="N257" s="16" t="s">
        <v>1403</v>
      </c>
      <c r="O257" s="17" t="s">
        <v>92</v>
      </c>
      <c r="P257" s="18" t="s">
        <v>93</v>
      </c>
      <c r="Q257" s="18"/>
      <c r="R257" s="18"/>
    </row>
    <row r="258" customFormat="false" ht="22.35" hidden="false" customHeight="false" outlineLevel="0" collapsed="false">
      <c r="A258" s="16" t="s">
        <v>1404</v>
      </c>
      <c r="B258" s="16" t="s">
        <v>47</v>
      </c>
      <c r="C258" s="16" t="s">
        <v>1405</v>
      </c>
      <c r="D258" s="16" t="s">
        <v>1406</v>
      </c>
      <c r="E258" s="16" t="s">
        <v>1407</v>
      </c>
      <c r="F258" s="16" t="s">
        <v>1408</v>
      </c>
      <c r="G258" s="16" t="s">
        <v>1409</v>
      </c>
      <c r="H258" s="16" t="s">
        <v>60</v>
      </c>
      <c r="I258" s="16" t="s">
        <v>33</v>
      </c>
      <c r="J258" s="16" t="s">
        <v>1149</v>
      </c>
      <c r="K258" s="16" t="s">
        <v>1410</v>
      </c>
      <c r="L258" s="16" t="s">
        <v>1411</v>
      </c>
      <c r="M258" s="16" t="s">
        <v>100</v>
      </c>
      <c r="N258" s="16" t="s">
        <v>1412</v>
      </c>
      <c r="O258" s="17" t="s">
        <v>92</v>
      </c>
      <c r="P258" s="18" t="s">
        <v>93</v>
      </c>
      <c r="Q258" s="18"/>
      <c r="R258" s="18"/>
    </row>
    <row r="259" customFormat="false" ht="22.35" hidden="false" customHeight="false" outlineLevel="0" collapsed="false">
      <c r="A259" s="16" t="s">
        <v>1413</v>
      </c>
      <c r="B259" s="16" t="s">
        <v>47</v>
      </c>
      <c r="C259" s="16" t="s">
        <v>1405</v>
      </c>
      <c r="D259" s="16" t="s">
        <v>1406</v>
      </c>
      <c r="E259" s="16" t="s">
        <v>1414</v>
      </c>
      <c r="F259" s="16" t="s">
        <v>1408</v>
      </c>
      <c r="G259" s="16" t="s">
        <v>1415</v>
      </c>
      <c r="H259" s="16" t="s">
        <v>54</v>
      </c>
      <c r="I259" s="16" t="s">
        <v>33</v>
      </c>
      <c r="J259" s="16" t="s">
        <v>1149</v>
      </c>
      <c r="K259" s="16" t="s">
        <v>387</v>
      </c>
      <c r="L259" s="16" t="s">
        <v>147</v>
      </c>
      <c r="M259" s="16" t="s">
        <v>100</v>
      </c>
      <c r="N259" s="16" t="s">
        <v>1416</v>
      </c>
      <c r="O259" s="17" t="s">
        <v>92</v>
      </c>
      <c r="P259" s="18" t="s">
        <v>93</v>
      </c>
      <c r="Q259" s="18"/>
      <c r="R259" s="18"/>
    </row>
    <row r="260" customFormat="false" ht="22.35" hidden="false" customHeight="false" outlineLevel="0" collapsed="false">
      <c r="A260" s="16" t="s">
        <v>1417</v>
      </c>
      <c r="B260" s="16" t="s">
        <v>47</v>
      </c>
      <c r="C260" s="16" t="s">
        <v>1405</v>
      </c>
      <c r="D260" s="16" t="s">
        <v>1406</v>
      </c>
      <c r="E260" s="16" t="s">
        <v>1418</v>
      </c>
      <c r="F260" s="16" t="s">
        <v>1408</v>
      </c>
      <c r="G260" s="16" t="s">
        <v>1419</v>
      </c>
      <c r="H260" s="16" t="s">
        <v>54</v>
      </c>
      <c r="I260" s="16" t="s">
        <v>32</v>
      </c>
      <c r="J260" s="16" t="s">
        <v>1149</v>
      </c>
      <c r="K260" s="16" t="s">
        <v>140</v>
      </c>
      <c r="L260" s="16" t="s">
        <v>141</v>
      </c>
      <c r="M260" s="16" t="s">
        <v>100</v>
      </c>
      <c r="N260" s="16" t="s">
        <v>1420</v>
      </c>
      <c r="O260" s="17" t="s">
        <v>92</v>
      </c>
      <c r="P260" s="18" t="s">
        <v>93</v>
      </c>
      <c r="Q260" s="18"/>
      <c r="R260" s="18"/>
    </row>
    <row r="261" customFormat="false" ht="22.35" hidden="false" customHeight="false" outlineLevel="0" collapsed="false">
      <c r="A261" s="16" t="s">
        <v>1421</v>
      </c>
      <c r="B261" s="16" t="s">
        <v>47</v>
      </c>
      <c r="C261" s="16" t="s">
        <v>1405</v>
      </c>
      <c r="D261" s="16" t="s">
        <v>1422</v>
      </c>
      <c r="E261" s="16" t="s">
        <v>1423</v>
      </c>
      <c r="F261" s="16" t="s">
        <v>1408</v>
      </c>
      <c r="G261" s="16" t="s">
        <v>1424</v>
      </c>
      <c r="H261" s="16" t="s">
        <v>54</v>
      </c>
      <c r="I261" s="16" t="s">
        <v>31</v>
      </c>
      <c r="J261" s="16" t="s">
        <v>1149</v>
      </c>
      <c r="K261" s="16" t="s">
        <v>235</v>
      </c>
      <c r="L261" s="16" t="s">
        <v>272</v>
      </c>
      <c r="M261" s="16" t="s">
        <v>100</v>
      </c>
      <c r="N261" s="16" t="s">
        <v>1425</v>
      </c>
      <c r="O261" s="17" t="s">
        <v>92</v>
      </c>
      <c r="P261" s="18" t="s">
        <v>93</v>
      </c>
      <c r="Q261" s="18"/>
      <c r="R261" s="18"/>
    </row>
    <row r="262" customFormat="false" ht="22.35" hidden="false" customHeight="false" outlineLevel="0" collapsed="false">
      <c r="A262" s="16" t="s">
        <v>1426</v>
      </c>
      <c r="B262" s="16" t="s">
        <v>47</v>
      </c>
      <c r="C262" s="16" t="s">
        <v>1405</v>
      </c>
      <c r="D262" s="16" t="s">
        <v>1422</v>
      </c>
      <c r="E262" s="16" t="s">
        <v>1427</v>
      </c>
      <c r="F262" s="16" t="s">
        <v>1408</v>
      </c>
      <c r="G262" s="16" t="s">
        <v>1428</v>
      </c>
      <c r="H262" s="16" t="s">
        <v>54</v>
      </c>
      <c r="I262" s="16" t="s">
        <v>32</v>
      </c>
      <c r="J262" s="16" t="s">
        <v>1149</v>
      </c>
      <c r="K262" s="16" t="s">
        <v>426</v>
      </c>
      <c r="L262" s="16" t="s">
        <v>272</v>
      </c>
      <c r="M262" s="16" t="s">
        <v>100</v>
      </c>
      <c r="N262" s="16" t="s">
        <v>1429</v>
      </c>
      <c r="O262" s="17" t="s">
        <v>92</v>
      </c>
      <c r="P262" s="18" t="s">
        <v>93</v>
      </c>
      <c r="Q262" s="18"/>
      <c r="R262" s="18"/>
    </row>
    <row r="263" customFormat="false" ht="22.35" hidden="false" customHeight="false" outlineLevel="0" collapsed="false">
      <c r="A263" s="16" t="s">
        <v>1430</v>
      </c>
      <c r="B263" s="16" t="s">
        <v>47</v>
      </c>
      <c r="C263" s="16" t="s">
        <v>1405</v>
      </c>
      <c r="D263" s="16" t="s">
        <v>1422</v>
      </c>
      <c r="E263" s="16" t="s">
        <v>510</v>
      </c>
      <c r="F263" s="16" t="s">
        <v>1408</v>
      </c>
      <c r="G263" s="16" t="s">
        <v>1431</v>
      </c>
      <c r="H263" s="16" t="s">
        <v>54</v>
      </c>
      <c r="I263" s="16" t="s">
        <v>33</v>
      </c>
      <c r="J263" s="16" t="s">
        <v>1149</v>
      </c>
      <c r="K263" s="16" t="s">
        <v>426</v>
      </c>
      <c r="L263" s="16" t="s">
        <v>272</v>
      </c>
      <c r="M263" s="16" t="s">
        <v>100</v>
      </c>
      <c r="N263" s="16" t="s">
        <v>1432</v>
      </c>
      <c r="O263" s="17" t="s">
        <v>92</v>
      </c>
      <c r="P263" s="18" t="s">
        <v>93</v>
      </c>
      <c r="Q263" s="18"/>
      <c r="R263" s="18"/>
    </row>
    <row r="264" customFormat="false" ht="22.35" hidden="false" customHeight="false" outlineLevel="0" collapsed="false">
      <c r="A264" s="16" t="s">
        <v>1433</v>
      </c>
      <c r="B264" s="16" t="s">
        <v>47</v>
      </c>
      <c r="C264" s="16" t="s">
        <v>1405</v>
      </c>
      <c r="D264" s="16" t="s">
        <v>1422</v>
      </c>
      <c r="E264" s="16" t="s">
        <v>1434</v>
      </c>
      <c r="F264" s="16" t="s">
        <v>1408</v>
      </c>
      <c r="G264" s="16" t="s">
        <v>1435</v>
      </c>
      <c r="H264" s="16" t="s">
        <v>54</v>
      </c>
      <c r="I264" s="16" t="s">
        <v>33</v>
      </c>
      <c r="J264" s="16" t="s">
        <v>1149</v>
      </c>
      <c r="K264" s="16" t="s">
        <v>387</v>
      </c>
      <c r="L264" s="16" t="s">
        <v>272</v>
      </c>
      <c r="M264" s="16" t="s">
        <v>100</v>
      </c>
      <c r="N264" s="16" t="s">
        <v>1436</v>
      </c>
      <c r="O264" s="17" t="s">
        <v>92</v>
      </c>
      <c r="P264" s="18" t="s">
        <v>93</v>
      </c>
      <c r="Q264" s="18"/>
      <c r="R264" s="18"/>
    </row>
    <row r="265" customFormat="false" ht="22.35" hidden="false" customHeight="false" outlineLevel="0" collapsed="false">
      <c r="A265" s="16" t="s">
        <v>1437</v>
      </c>
      <c r="B265" s="16" t="s">
        <v>47</v>
      </c>
      <c r="C265" s="16" t="s">
        <v>1405</v>
      </c>
      <c r="D265" s="16" t="s">
        <v>1422</v>
      </c>
      <c r="E265" s="16" t="s">
        <v>1438</v>
      </c>
      <c r="F265" s="16" t="s">
        <v>1408</v>
      </c>
      <c r="G265" s="16" t="s">
        <v>1439</v>
      </c>
      <c r="H265" s="16" t="s">
        <v>54</v>
      </c>
      <c r="I265" s="16" t="s">
        <v>34</v>
      </c>
      <c r="J265" s="16" t="s">
        <v>1149</v>
      </c>
      <c r="K265" s="16" t="s">
        <v>426</v>
      </c>
      <c r="L265" s="16" t="s">
        <v>272</v>
      </c>
      <c r="M265" s="16" t="s">
        <v>100</v>
      </c>
      <c r="N265" s="16" t="s">
        <v>1436</v>
      </c>
      <c r="O265" s="17" t="s">
        <v>92</v>
      </c>
      <c r="P265" s="18" t="s">
        <v>93</v>
      </c>
      <c r="Q265" s="18"/>
      <c r="R265" s="18"/>
    </row>
    <row r="266" customFormat="false" ht="22.35" hidden="false" customHeight="false" outlineLevel="0" collapsed="false">
      <c r="A266" s="16" t="s">
        <v>1440</v>
      </c>
      <c r="B266" s="16" t="s">
        <v>47</v>
      </c>
      <c r="C266" s="16" t="s">
        <v>1405</v>
      </c>
      <c r="D266" s="16" t="s">
        <v>1422</v>
      </c>
      <c r="E266" s="16" t="s">
        <v>1441</v>
      </c>
      <c r="F266" s="16" t="s">
        <v>1408</v>
      </c>
      <c r="G266" s="16" t="s">
        <v>1442</v>
      </c>
      <c r="H266" s="16" t="s">
        <v>54</v>
      </c>
      <c r="I266" s="16" t="s">
        <v>33</v>
      </c>
      <c r="J266" s="16" t="s">
        <v>1149</v>
      </c>
      <c r="K266" s="16" t="s">
        <v>179</v>
      </c>
      <c r="L266" s="16" t="s">
        <v>272</v>
      </c>
      <c r="M266" s="16" t="s">
        <v>100</v>
      </c>
      <c r="N266" s="16" t="s">
        <v>1443</v>
      </c>
      <c r="O266" s="17" t="s">
        <v>92</v>
      </c>
      <c r="P266" s="18" t="s">
        <v>93</v>
      </c>
      <c r="Q266" s="18"/>
      <c r="R266" s="18"/>
    </row>
    <row r="267" customFormat="false" ht="22.35" hidden="false" customHeight="false" outlineLevel="0" collapsed="false">
      <c r="A267" s="16" t="s">
        <v>1444</v>
      </c>
      <c r="B267" s="16" t="s">
        <v>47</v>
      </c>
      <c r="C267" s="16" t="s">
        <v>1405</v>
      </c>
      <c r="D267" s="16" t="s">
        <v>1422</v>
      </c>
      <c r="E267" s="16" t="s">
        <v>1445</v>
      </c>
      <c r="F267" s="16" t="s">
        <v>1408</v>
      </c>
      <c r="G267" s="16" t="s">
        <v>1446</v>
      </c>
      <c r="H267" s="16" t="s">
        <v>54</v>
      </c>
      <c r="I267" s="16" t="s">
        <v>34</v>
      </c>
      <c r="J267" s="16" t="s">
        <v>1149</v>
      </c>
      <c r="K267" s="16" t="s">
        <v>387</v>
      </c>
      <c r="L267" s="16" t="s">
        <v>147</v>
      </c>
      <c r="M267" s="16" t="s">
        <v>100</v>
      </c>
      <c r="N267" s="16" t="s">
        <v>1436</v>
      </c>
      <c r="O267" s="17" t="s">
        <v>92</v>
      </c>
      <c r="P267" s="18" t="s">
        <v>93</v>
      </c>
      <c r="Q267" s="18"/>
      <c r="R267" s="18"/>
    </row>
    <row r="268" customFormat="false" ht="22.35" hidden="false" customHeight="false" outlineLevel="0" collapsed="false">
      <c r="A268" s="16" t="s">
        <v>1447</v>
      </c>
      <c r="B268" s="16" t="s">
        <v>47</v>
      </c>
      <c r="C268" s="16" t="s">
        <v>1405</v>
      </c>
      <c r="D268" s="16" t="s">
        <v>473</v>
      </c>
      <c r="E268" s="16" t="s">
        <v>1448</v>
      </c>
      <c r="F268" s="16" t="s">
        <v>1408</v>
      </c>
      <c r="G268" s="16" t="s">
        <v>1449</v>
      </c>
      <c r="H268" s="16" t="s">
        <v>54</v>
      </c>
      <c r="I268" s="16" t="s">
        <v>31</v>
      </c>
      <c r="J268" s="16" t="s">
        <v>1149</v>
      </c>
      <c r="K268" s="16" t="s">
        <v>330</v>
      </c>
      <c r="L268" s="16" t="s">
        <v>1019</v>
      </c>
      <c r="M268" s="16" t="s">
        <v>332</v>
      </c>
      <c r="N268" s="16" t="s">
        <v>1450</v>
      </c>
      <c r="O268" s="17" t="s">
        <v>92</v>
      </c>
      <c r="P268" s="18" t="s">
        <v>93</v>
      </c>
      <c r="Q268" s="18"/>
      <c r="R268" s="18"/>
    </row>
    <row r="269" customFormat="false" ht="22.35" hidden="false" customHeight="false" outlineLevel="0" collapsed="false">
      <c r="A269" s="16" t="s">
        <v>1451</v>
      </c>
      <c r="B269" s="16" t="s">
        <v>47</v>
      </c>
      <c r="C269" s="16" t="s">
        <v>1405</v>
      </c>
      <c r="D269" s="16" t="s">
        <v>473</v>
      </c>
      <c r="E269" s="16" t="s">
        <v>1452</v>
      </c>
      <c r="F269" s="16" t="s">
        <v>1408</v>
      </c>
      <c r="G269" s="16" t="s">
        <v>1453</v>
      </c>
      <c r="H269" s="16" t="s">
        <v>56</v>
      </c>
      <c r="I269" s="16" t="s">
        <v>31</v>
      </c>
      <c r="J269" s="16" t="s">
        <v>1149</v>
      </c>
      <c r="K269" s="16" t="s">
        <v>330</v>
      </c>
      <c r="L269" s="16" t="s">
        <v>481</v>
      </c>
      <c r="M269" s="16" t="s">
        <v>394</v>
      </c>
      <c r="N269" s="16" t="s">
        <v>1454</v>
      </c>
      <c r="O269" s="17" t="s">
        <v>92</v>
      </c>
      <c r="P269" s="18" t="s">
        <v>93</v>
      </c>
      <c r="Q269" s="18"/>
      <c r="R269" s="18"/>
    </row>
    <row r="270" customFormat="false" ht="22.35" hidden="false" customHeight="false" outlineLevel="0" collapsed="false">
      <c r="A270" s="16" t="s">
        <v>1455</v>
      </c>
      <c r="B270" s="16" t="s">
        <v>47</v>
      </c>
      <c r="C270" s="16" t="s">
        <v>1405</v>
      </c>
      <c r="D270" s="16" t="s">
        <v>473</v>
      </c>
      <c r="E270" s="16" t="s">
        <v>1456</v>
      </c>
      <c r="F270" s="16" t="s">
        <v>1408</v>
      </c>
      <c r="G270" s="16" t="s">
        <v>1457</v>
      </c>
      <c r="H270" s="16" t="s">
        <v>54</v>
      </c>
      <c r="I270" s="16" t="s">
        <v>31</v>
      </c>
      <c r="J270" s="16" t="s">
        <v>1149</v>
      </c>
      <c r="K270" s="16" t="s">
        <v>1458</v>
      </c>
      <c r="L270" s="16" t="s">
        <v>1459</v>
      </c>
      <c r="M270" s="16" t="s">
        <v>307</v>
      </c>
      <c r="N270" s="16" t="s">
        <v>1460</v>
      </c>
      <c r="O270" s="17" t="s">
        <v>92</v>
      </c>
      <c r="P270" s="18" t="s">
        <v>93</v>
      </c>
      <c r="Q270" s="18"/>
      <c r="R270" s="18"/>
    </row>
    <row r="271" customFormat="false" ht="22.35" hidden="false" customHeight="false" outlineLevel="0" collapsed="false">
      <c r="A271" s="16" t="s">
        <v>1461</v>
      </c>
      <c r="B271" s="16" t="s">
        <v>50</v>
      </c>
      <c r="C271" s="16" t="s">
        <v>1462</v>
      </c>
      <c r="D271" s="16" t="s">
        <v>1463</v>
      </c>
      <c r="E271" s="16" t="s">
        <v>1464</v>
      </c>
      <c r="F271" s="16" t="s">
        <v>1465</v>
      </c>
      <c r="G271" s="16" t="s">
        <v>1466</v>
      </c>
      <c r="H271" s="16" t="s">
        <v>56</v>
      </c>
      <c r="I271" s="16" t="s">
        <v>32</v>
      </c>
      <c r="J271" s="16" t="s">
        <v>1467</v>
      </c>
      <c r="K271" s="16" t="s">
        <v>1468</v>
      </c>
      <c r="L271" s="16" t="s">
        <v>1469</v>
      </c>
      <c r="M271" s="16" t="s">
        <v>100</v>
      </c>
      <c r="N271" s="16" t="s">
        <v>1470</v>
      </c>
      <c r="O271" s="17" t="s">
        <v>92</v>
      </c>
      <c r="P271" s="18" t="s">
        <v>93</v>
      </c>
      <c r="Q271" s="18"/>
      <c r="R271" s="18"/>
    </row>
    <row r="272" customFormat="false" ht="22.35" hidden="false" customHeight="false" outlineLevel="0" collapsed="false">
      <c r="A272" s="16" t="s">
        <v>1471</v>
      </c>
      <c r="B272" s="16" t="s">
        <v>50</v>
      </c>
      <c r="C272" s="16" t="s">
        <v>1462</v>
      </c>
      <c r="D272" s="16" t="s">
        <v>1463</v>
      </c>
      <c r="E272" s="16" t="s">
        <v>1472</v>
      </c>
      <c r="F272" s="16" t="s">
        <v>1465</v>
      </c>
      <c r="G272" s="16" t="s">
        <v>1473</v>
      </c>
      <c r="H272" s="16" t="s">
        <v>56</v>
      </c>
      <c r="I272" s="16" t="s">
        <v>32</v>
      </c>
      <c r="J272" s="16" t="s">
        <v>1467</v>
      </c>
      <c r="K272" s="16" t="s">
        <v>1474</v>
      </c>
      <c r="L272" s="16" t="s">
        <v>1475</v>
      </c>
      <c r="M272" s="16" t="s">
        <v>100</v>
      </c>
      <c r="N272" s="16" t="s">
        <v>1476</v>
      </c>
      <c r="O272" s="17" t="s">
        <v>92</v>
      </c>
      <c r="P272" s="18" t="s">
        <v>93</v>
      </c>
      <c r="Q272" s="18"/>
      <c r="R272" s="18"/>
    </row>
    <row r="273" customFormat="false" ht="22.35" hidden="false" customHeight="false" outlineLevel="0" collapsed="false">
      <c r="A273" s="16" t="s">
        <v>1477</v>
      </c>
      <c r="B273" s="16" t="s">
        <v>50</v>
      </c>
      <c r="C273" s="16" t="s">
        <v>1462</v>
      </c>
      <c r="D273" s="16" t="s">
        <v>1478</v>
      </c>
      <c r="E273" s="16" t="s">
        <v>1479</v>
      </c>
      <c r="F273" s="16" t="s">
        <v>1465</v>
      </c>
      <c r="G273" s="16" t="s">
        <v>1480</v>
      </c>
      <c r="H273" s="16" t="s">
        <v>56</v>
      </c>
      <c r="I273" s="16" t="s">
        <v>33</v>
      </c>
      <c r="J273" s="16" t="s">
        <v>1467</v>
      </c>
      <c r="K273" s="16" t="s">
        <v>1481</v>
      </c>
      <c r="L273" s="16" t="s">
        <v>1482</v>
      </c>
      <c r="M273" s="16" t="s">
        <v>100</v>
      </c>
      <c r="N273" s="16" t="s">
        <v>1483</v>
      </c>
      <c r="O273" s="17" t="s">
        <v>92</v>
      </c>
      <c r="P273" s="18" t="s">
        <v>93</v>
      </c>
      <c r="Q273" s="18"/>
      <c r="R273" s="18"/>
    </row>
    <row r="274" customFormat="false" ht="15" hidden="false" customHeight="false" outlineLevel="0" collapsed="false">
      <c r="A274" s="16" t="s">
        <v>1484</v>
      </c>
      <c r="B274" s="16" t="s">
        <v>50</v>
      </c>
      <c r="C274" s="16" t="s">
        <v>1462</v>
      </c>
      <c r="D274" s="16" t="s">
        <v>1485</v>
      </c>
      <c r="E274" s="16" t="s">
        <v>1486</v>
      </c>
      <c r="F274" s="16" t="s">
        <v>1465</v>
      </c>
      <c r="G274" s="16" t="s">
        <v>1487</v>
      </c>
      <c r="H274" s="16" t="s">
        <v>56</v>
      </c>
      <c r="I274" s="16" t="s">
        <v>33</v>
      </c>
      <c r="J274" s="16" t="s">
        <v>1467</v>
      </c>
      <c r="K274" s="16" t="s">
        <v>1488</v>
      </c>
      <c r="L274" s="16" t="s">
        <v>1489</v>
      </c>
      <c r="M274" s="16" t="s">
        <v>100</v>
      </c>
      <c r="N274" s="16" t="s">
        <v>1490</v>
      </c>
      <c r="O274" s="17" t="s">
        <v>92</v>
      </c>
      <c r="P274" s="18" t="s">
        <v>93</v>
      </c>
      <c r="Q274" s="18"/>
      <c r="R274" s="18"/>
    </row>
    <row r="275" customFormat="false" ht="15" hidden="false" customHeight="false" outlineLevel="0" collapsed="false">
      <c r="A275" s="16" t="s">
        <v>1491</v>
      </c>
      <c r="B275" s="16" t="s">
        <v>50</v>
      </c>
      <c r="C275" s="16" t="s">
        <v>1462</v>
      </c>
      <c r="D275" s="16" t="s">
        <v>1492</v>
      </c>
      <c r="E275" s="16" t="s">
        <v>1493</v>
      </c>
      <c r="F275" s="16" t="s">
        <v>1465</v>
      </c>
      <c r="G275" s="16" t="s">
        <v>1494</v>
      </c>
      <c r="H275" s="16" t="s">
        <v>56</v>
      </c>
      <c r="I275" s="16" t="s">
        <v>34</v>
      </c>
      <c r="J275" s="16" t="s">
        <v>1467</v>
      </c>
      <c r="K275" s="16" t="s">
        <v>387</v>
      </c>
      <c r="L275" s="16" t="s">
        <v>388</v>
      </c>
      <c r="M275" s="16" t="s">
        <v>100</v>
      </c>
      <c r="N275" s="16" t="s">
        <v>1495</v>
      </c>
      <c r="O275" s="17" t="s">
        <v>92</v>
      </c>
      <c r="P275" s="18" t="s">
        <v>93</v>
      </c>
      <c r="Q275" s="18"/>
      <c r="R275" s="18"/>
    </row>
    <row r="276" customFormat="false" ht="15" hidden="false" customHeight="false" outlineLevel="0" collapsed="false">
      <c r="A276" s="16" t="s">
        <v>1496</v>
      </c>
      <c r="B276" s="16" t="s">
        <v>50</v>
      </c>
      <c r="C276" s="16" t="s">
        <v>1462</v>
      </c>
      <c r="D276" s="16" t="s">
        <v>1497</v>
      </c>
      <c r="E276" s="16" t="s">
        <v>1498</v>
      </c>
      <c r="F276" s="16" t="s">
        <v>1465</v>
      </c>
      <c r="G276" s="16" t="s">
        <v>1499</v>
      </c>
      <c r="H276" s="16" t="s">
        <v>56</v>
      </c>
      <c r="I276" s="16" t="s">
        <v>32</v>
      </c>
      <c r="J276" s="16" t="s">
        <v>1467</v>
      </c>
      <c r="K276" s="16" t="s">
        <v>159</v>
      </c>
      <c r="L276" s="16" t="s">
        <v>160</v>
      </c>
      <c r="M276" s="16" t="s">
        <v>100</v>
      </c>
      <c r="N276" s="16" t="s">
        <v>1500</v>
      </c>
      <c r="O276" s="17" t="s">
        <v>92</v>
      </c>
      <c r="P276" s="18" t="s">
        <v>93</v>
      </c>
      <c r="Q276" s="18"/>
      <c r="R276" s="18"/>
    </row>
    <row r="277" customFormat="false" ht="22.35" hidden="false" customHeight="false" outlineLevel="0" collapsed="false">
      <c r="A277" s="16" t="s">
        <v>1501</v>
      </c>
      <c r="B277" s="16" t="s">
        <v>50</v>
      </c>
      <c r="C277" s="16" t="s">
        <v>1462</v>
      </c>
      <c r="D277" s="16" t="s">
        <v>1502</v>
      </c>
      <c r="E277" s="16" t="s">
        <v>1503</v>
      </c>
      <c r="F277" s="16" t="s">
        <v>1465</v>
      </c>
      <c r="G277" s="16" t="s">
        <v>1504</v>
      </c>
      <c r="H277" s="16" t="s">
        <v>56</v>
      </c>
      <c r="I277" s="16" t="s">
        <v>32</v>
      </c>
      <c r="J277" s="16" t="s">
        <v>1467</v>
      </c>
      <c r="K277" s="16" t="s">
        <v>1505</v>
      </c>
      <c r="L277" s="16" t="s">
        <v>1506</v>
      </c>
      <c r="M277" s="16" t="s">
        <v>100</v>
      </c>
      <c r="N277" s="16" t="s">
        <v>1507</v>
      </c>
      <c r="O277" s="17" t="s">
        <v>92</v>
      </c>
      <c r="P277" s="18" t="s">
        <v>93</v>
      </c>
      <c r="Q277" s="18"/>
      <c r="R277" s="18"/>
    </row>
    <row r="278" customFormat="false" ht="15" hidden="false" customHeight="false" outlineLevel="0" collapsed="false">
      <c r="A278" s="16" t="s">
        <v>1508</v>
      </c>
      <c r="B278" s="16" t="s">
        <v>50</v>
      </c>
      <c r="C278" s="16" t="s">
        <v>1462</v>
      </c>
      <c r="D278" s="16" t="s">
        <v>1509</v>
      </c>
      <c r="E278" s="16" t="s">
        <v>1510</v>
      </c>
      <c r="F278" s="16" t="s">
        <v>1465</v>
      </c>
      <c r="G278" s="16" t="s">
        <v>1511</v>
      </c>
      <c r="H278" s="16" t="s">
        <v>56</v>
      </c>
      <c r="I278" s="16" t="s">
        <v>33</v>
      </c>
      <c r="J278" s="16" t="s">
        <v>1467</v>
      </c>
      <c r="K278" s="16" t="s">
        <v>735</v>
      </c>
      <c r="L278" s="16" t="s">
        <v>89</v>
      </c>
      <c r="M278" s="16" t="s">
        <v>100</v>
      </c>
      <c r="N278" s="16" t="s">
        <v>1512</v>
      </c>
      <c r="O278" s="17" t="s">
        <v>92</v>
      </c>
      <c r="P278" s="18" t="s">
        <v>93</v>
      </c>
      <c r="Q278" s="18"/>
      <c r="R278" s="18"/>
    </row>
    <row r="279" customFormat="false" ht="15" hidden="false" customHeight="false" outlineLevel="0" collapsed="false">
      <c r="A279" s="16" t="s">
        <v>1513</v>
      </c>
      <c r="B279" s="16" t="s">
        <v>50</v>
      </c>
      <c r="C279" s="16" t="s">
        <v>1514</v>
      </c>
      <c r="D279" s="16" t="s">
        <v>104</v>
      </c>
      <c r="E279" s="16" t="s">
        <v>1515</v>
      </c>
      <c r="F279" s="16" t="s">
        <v>1516</v>
      </c>
      <c r="G279" s="16" t="s">
        <v>1517</v>
      </c>
      <c r="H279" s="16" t="s">
        <v>56</v>
      </c>
      <c r="I279" s="16" t="s">
        <v>32</v>
      </c>
      <c r="J279" s="16" t="s">
        <v>1467</v>
      </c>
      <c r="K279" s="16" t="s">
        <v>171</v>
      </c>
      <c r="L279" s="16" t="s">
        <v>1518</v>
      </c>
      <c r="M279" s="16" t="s">
        <v>100</v>
      </c>
      <c r="N279" s="16" t="s">
        <v>1519</v>
      </c>
      <c r="O279" s="17" t="s">
        <v>92</v>
      </c>
      <c r="P279" s="18" t="s">
        <v>93</v>
      </c>
      <c r="Q279" s="18"/>
      <c r="R279" s="18"/>
    </row>
    <row r="280" customFormat="false" ht="22.35" hidden="false" customHeight="false" outlineLevel="0" collapsed="false">
      <c r="A280" s="16" t="s">
        <v>1520</v>
      </c>
      <c r="B280" s="16" t="s">
        <v>50</v>
      </c>
      <c r="C280" s="16" t="s">
        <v>1514</v>
      </c>
      <c r="D280" s="16" t="s">
        <v>1521</v>
      </c>
      <c r="E280" s="16" t="s">
        <v>1522</v>
      </c>
      <c r="F280" s="16" t="s">
        <v>1516</v>
      </c>
      <c r="G280" s="16" t="s">
        <v>1523</v>
      </c>
      <c r="H280" s="16" t="s">
        <v>56</v>
      </c>
      <c r="I280" s="16" t="s">
        <v>31</v>
      </c>
      <c r="J280" s="16" t="s">
        <v>1524</v>
      </c>
      <c r="K280" s="16" t="s">
        <v>1525</v>
      </c>
      <c r="L280" s="16" t="s">
        <v>1526</v>
      </c>
      <c r="M280" s="16" t="s">
        <v>469</v>
      </c>
      <c r="N280" s="16" t="s">
        <v>1527</v>
      </c>
      <c r="O280" s="17" t="s">
        <v>92</v>
      </c>
      <c r="P280" s="18" t="s">
        <v>93</v>
      </c>
      <c r="Q280" s="18"/>
      <c r="R280" s="18"/>
    </row>
    <row r="281" customFormat="false" ht="22.35" hidden="false" customHeight="false" outlineLevel="0" collapsed="false">
      <c r="A281" s="16" t="s">
        <v>1528</v>
      </c>
      <c r="B281" s="16" t="s">
        <v>50</v>
      </c>
      <c r="C281" s="16" t="s">
        <v>1514</v>
      </c>
      <c r="D281" s="16" t="s">
        <v>1529</v>
      </c>
      <c r="E281" s="16" t="s">
        <v>1530</v>
      </c>
      <c r="F281" s="16" t="s">
        <v>1516</v>
      </c>
      <c r="G281" s="16" t="s">
        <v>1531</v>
      </c>
      <c r="H281" s="16" t="s">
        <v>56</v>
      </c>
      <c r="I281" s="16" t="s">
        <v>32</v>
      </c>
      <c r="J281" s="16" t="s">
        <v>1467</v>
      </c>
      <c r="K281" s="16" t="s">
        <v>1532</v>
      </c>
      <c r="L281" s="16" t="s">
        <v>115</v>
      </c>
      <c r="M281" s="16" t="s">
        <v>100</v>
      </c>
      <c r="N281" s="16" t="s">
        <v>1533</v>
      </c>
      <c r="O281" s="17" t="s">
        <v>92</v>
      </c>
      <c r="P281" s="18" t="s">
        <v>93</v>
      </c>
      <c r="Q281" s="18"/>
      <c r="R281" s="18"/>
    </row>
    <row r="282" customFormat="false" ht="22.35" hidden="false" customHeight="false" outlineLevel="0" collapsed="false">
      <c r="A282" s="16" t="s">
        <v>1534</v>
      </c>
      <c r="B282" s="16" t="s">
        <v>50</v>
      </c>
      <c r="C282" s="16" t="s">
        <v>1514</v>
      </c>
      <c r="D282" s="16" t="s">
        <v>1535</v>
      </c>
      <c r="E282" s="16" t="s">
        <v>1536</v>
      </c>
      <c r="F282" s="16" t="s">
        <v>1516</v>
      </c>
      <c r="G282" s="16" t="s">
        <v>1537</v>
      </c>
      <c r="H282" s="16" t="s">
        <v>56</v>
      </c>
      <c r="I282" s="16" t="s">
        <v>32</v>
      </c>
      <c r="J282" s="16" t="s">
        <v>1467</v>
      </c>
      <c r="K282" s="16" t="s">
        <v>1538</v>
      </c>
      <c r="L282" s="16" t="s">
        <v>115</v>
      </c>
      <c r="M282" s="16" t="s">
        <v>100</v>
      </c>
      <c r="N282" s="16" t="s">
        <v>1539</v>
      </c>
      <c r="O282" s="17" t="s">
        <v>92</v>
      </c>
      <c r="P282" s="18" t="s">
        <v>93</v>
      </c>
      <c r="Q282" s="18"/>
      <c r="R282" s="18"/>
    </row>
    <row r="283" customFormat="false" ht="15" hidden="false" customHeight="false" outlineLevel="0" collapsed="false">
      <c r="A283" s="16" t="s">
        <v>1540</v>
      </c>
      <c r="B283" s="16" t="s">
        <v>50</v>
      </c>
      <c r="C283" s="16" t="s">
        <v>1514</v>
      </c>
      <c r="D283" s="16" t="s">
        <v>1535</v>
      </c>
      <c r="E283" s="16" t="s">
        <v>1541</v>
      </c>
      <c r="F283" s="16" t="s">
        <v>1516</v>
      </c>
      <c r="G283" s="16" t="s">
        <v>1542</v>
      </c>
      <c r="H283" s="16" t="s">
        <v>56</v>
      </c>
      <c r="I283" s="16" t="s">
        <v>33</v>
      </c>
      <c r="J283" s="16" t="s">
        <v>1467</v>
      </c>
      <c r="K283" s="16" t="s">
        <v>1543</v>
      </c>
      <c r="L283" s="16" t="s">
        <v>1544</v>
      </c>
      <c r="M283" s="16" t="s">
        <v>100</v>
      </c>
      <c r="N283" s="16" t="s">
        <v>1545</v>
      </c>
      <c r="O283" s="17" t="s">
        <v>92</v>
      </c>
      <c r="P283" s="18" t="s">
        <v>93</v>
      </c>
      <c r="Q283" s="18"/>
      <c r="R283" s="18"/>
    </row>
    <row r="284" customFormat="false" ht="15" hidden="false" customHeight="false" outlineLevel="0" collapsed="false">
      <c r="A284" s="16" t="s">
        <v>1546</v>
      </c>
      <c r="B284" s="16" t="s">
        <v>50</v>
      </c>
      <c r="C284" s="16" t="s">
        <v>1514</v>
      </c>
      <c r="D284" s="16" t="s">
        <v>1535</v>
      </c>
      <c r="E284" s="16" t="s">
        <v>1547</v>
      </c>
      <c r="F284" s="16" t="s">
        <v>1516</v>
      </c>
      <c r="G284" s="16" t="s">
        <v>1548</v>
      </c>
      <c r="H284" s="16" t="s">
        <v>56</v>
      </c>
      <c r="I284" s="16" t="s">
        <v>33</v>
      </c>
      <c r="J284" s="16" t="s">
        <v>1467</v>
      </c>
      <c r="K284" s="16" t="s">
        <v>1538</v>
      </c>
      <c r="L284" s="16" t="s">
        <v>1549</v>
      </c>
      <c r="M284" s="16" t="s">
        <v>100</v>
      </c>
      <c r="N284" s="16" t="s">
        <v>1550</v>
      </c>
      <c r="O284" s="17" t="s">
        <v>92</v>
      </c>
      <c r="P284" s="18" t="s">
        <v>93</v>
      </c>
      <c r="Q284" s="18"/>
      <c r="R284" s="18"/>
    </row>
    <row r="285" customFormat="false" ht="22.35" hidden="false" customHeight="false" outlineLevel="0" collapsed="false">
      <c r="A285" s="16" t="s">
        <v>1551</v>
      </c>
      <c r="B285" s="16" t="s">
        <v>50</v>
      </c>
      <c r="C285" s="16" t="s">
        <v>1514</v>
      </c>
      <c r="D285" s="16" t="s">
        <v>1552</v>
      </c>
      <c r="E285" s="16" t="s">
        <v>1553</v>
      </c>
      <c r="F285" s="16" t="s">
        <v>1516</v>
      </c>
      <c r="G285" s="16" t="s">
        <v>1554</v>
      </c>
      <c r="H285" s="16" t="s">
        <v>56</v>
      </c>
      <c r="I285" s="16" t="s">
        <v>33</v>
      </c>
      <c r="J285" s="16" t="s">
        <v>1467</v>
      </c>
      <c r="K285" s="16" t="s">
        <v>520</v>
      </c>
      <c r="L285" s="16" t="s">
        <v>553</v>
      </c>
      <c r="M285" s="16" t="s">
        <v>100</v>
      </c>
      <c r="N285" s="16" t="s">
        <v>1555</v>
      </c>
      <c r="O285" s="17" t="s">
        <v>92</v>
      </c>
      <c r="P285" s="18" t="s">
        <v>93</v>
      </c>
      <c r="Q285" s="18"/>
      <c r="R285" s="18"/>
    </row>
    <row r="286" customFormat="false" ht="15" hidden="false" customHeight="false" outlineLevel="0" collapsed="false">
      <c r="A286" s="16" t="s">
        <v>1556</v>
      </c>
      <c r="B286" s="16" t="s">
        <v>50</v>
      </c>
      <c r="C286" s="16" t="s">
        <v>1514</v>
      </c>
      <c r="D286" s="16" t="s">
        <v>1552</v>
      </c>
      <c r="E286" s="16" t="s">
        <v>1557</v>
      </c>
      <c r="F286" s="16" t="s">
        <v>1516</v>
      </c>
      <c r="G286" s="16" t="s">
        <v>1558</v>
      </c>
      <c r="H286" s="16" t="s">
        <v>56</v>
      </c>
      <c r="I286" s="16" t="s">
        <v>32</v>
      </c>
      <c r="J286" s="16" t="s">
        <v>1467</v>
      </c>
      <c r="K286" s="16" t="s">
        <v>577</v>
      </c>
      <c r="L286" s="16" t="s">
        <v>1559</v>
      </c>
      <c r="M286" s="16" t="s">
        <v>100</v>
      </c>
      <c r="N286" s="16" t="s">
        <v>1560</v>
      </c>
      <c r="O286" s="17" t="s">
        <v>92</v>
      </c>
      <c r="P286" s="18" t="s">
        <v>93</v>
      </c>
      <c r="Q286" s="18"/>
      <c r="R286" s="18"/>
    </row>
    <row r="287" customFormat="false" ht="15" hidden="false" customHeight="false" outlineLevel="0" collapsed="false">
      <c r="A287" s="16" t="s">
        <v>1561</v>
      </c>
      <c r="B287" s="16" t="s">
        <v>50</v>
      </c>
      <c r="C287" s="16" t="s">
        <v>1514</v>
      </c>
      <c r="D287" s="16" t="s">
        <v>1552</v>
      </c>
      <c r="E287" s="16" t="s">
        <v>1562</v>
      </c>
      <c r="F287" s="16" t="s">
        <v>1516</v>
      </c>
      <c r="G287" s="16" t="s">
        <v>1563</v>
      </c>
      <c r="H287" s="16" t="s">
        <v>56</v>
      </c>
      <c r="I287" s="16" t="s">
        <v>32</v>
      </c>
      <c r="J287" s="16" t="s">
        <v>1467</v>
      </c>
      <c r="K287" s="16" t="s">
        <v>1564</v>
      </c>
      <c r="L287" s="16" t="s">
        <v>569</v>
      </c>
      <c r="M287" s="16" t="s">
        <v>100</v>
      </c>
      <c r="N287" s="16" t="s">
        <v>1565</v>
      </c>
      <c r="O287" s="17" t="s">
        <v>92</v>
      </c>
      <c r="P287" s="18" t="s">
        <v>93</v>
      </c>
      <c r="Q287" s="18"/>
      <c r="R287" s="18"/>
    </row>
    <row r="288" customFormat="false" ht="22.35" hidden="false" customHeight="false" outlineLevel="0" collapsed="false">
      <c r="A288" s="16" t="s">
        <v>1566</v>
      </c>
      <c r="B288" s="16" t="s">
        <v>50</v>
      </c>
      <c r="C288" s="16" t="s">
        <v>1514</v>
      </c>
      <c r="D288" s="16" t="s">
        <v>1567</v>
      </c>
      <c r="E288" s="16" t="s">
        <v>1568</v>
      </c>
      <c r="F288" s="16" t="s">
        <v>1516</v>
      </c>
      <c r="G288" s="16" t="s">
        <v>1569</v>
      </c>
      <c r="H288" s="16" t="s">
        <v>56</v>
      </c>
      <c r="I288" s="16" t="s">
        <v>32</v>
      </c>
      <c r="J288" s="16" t="s">
        <v>1467</v>
      </c>
      <c r="K288" s="16" t="s">
        <v>1570</v>
      </c>
      <c r="L288" s="16" t="s">
        <v>569</v>
      </c>
      <c r="M288" s="16" t="s">
        <v>100</v>
      </c>
      <c r="N288" s="16" t="s">
        <v>1571</v>
      </c>
      <c r="O288" s="17" t="s">
        <v>92</v>
      </c>
      <c r="P288" s="18" t="s">
        <v>93</v>
      </c>
      <c r="Q288" s="18"/>
      <c r="R288" s="18"/>
    </row>
    <row r="289" customFormat="false" ht="15" hidden="false" customHeight="false" outlineLevel="0" collapsed="false">
      <c r="A289" s="16" t="s">
        <v>1572</v>
      </c>
      <c r="B289" s="16" t="s">
        <v>50</v>
      </c>
      <c r="C289" s="16" t="s">
        <v>1573</v>
      </c>
      <c r="D289" s="16" t="s">
        <v>301</v>
      </c>
      <c r="E289" s="16" t="s">
        <v>1574</v>
      </c>
      <c r="F289" s="16" t="s">
        <v>1575</v>
      </c>
      <c r="G289" s="16" t="s">
        <v>1576</v>
      </c>
      <c r="H289" s="16" t="s">
        <v>56</v>
      </c>
      <c r="I289" s="16" t="s">
        <v>32</v>
      </c>
      <c r="J289" s="16" t="s">
        <v>1467</v>
      </c>
      <c r="K289" s="16" t="s">
        <v>330</v>
      </c>
      <c r="L289" s="16" t="s">
        <v>873</v>
      </c>
      <c r="M289" s="16" t="s">
        <v>332</v>
      </c>
      <c r="N289" s="16" t="s">
        <v>1577</v>
      </c>
      <c r="O289" s="17" t="s">
        <v>92</v>
      </c>
      <c r="P289" s="18" t="s">
        <v>93</v>
      </c>
      <c r="Q289" s="18"/>
      <c r="R289" s="18"/>
    </row>
    <row r="290" customFormat="false" ht="15" hidden="false" customHeight="false" outlineLevel="0" collapsed="false">
      <c r="A290" s="16" t="s">
        <v>1578</v>
      </c>
      <c r="B290" s="16" t="s">
        <v>50</v>
      </c>
      <c r="C290" s="16" t="s">
        <v>1573</v>
      </c>
      <c r="D290" s="16" t="s">
        <v>301</v>
      </c>
      <c r="E290" s="16" t="s">
        <v>1579</v>
      </c>
      <c r="F290" s="16" t="s">
        <v>1575</v>
      </c>
      <c r="G290" s="16" t="s">
        <v>1580</v>
      </c>
      <c r="H290" s="16" t="s">
        <v>56</v>
      </c>
      <c r="I290" s="16" t="s">
        <v>32</v>
      </c>
      <c r="J290" s="16" t="s">
        <v>1467</v>
      </c>
      <c r="K290" s="16" t="s">
        <v>330</v>
      </c>
      <c r="L290" s="16" t="s">
        <v>725</v>
      </c>
      <c r="M290" s="16" t="s">
        <v>332</v>
      </c>
      <c r="N290" s="16" t="s">
        <v>1041</v>
      </c>
      <c r="O290" s="17" t="s">
        <v>92</v>
      </c>
      <c r="P290" s="18" t="s">
        <v>93</v>
      </c>
      <c r="Q290" s="18"/>
      <c r="R290" s="18"/>
    </row>
    <row r="291" customFormat="false" ht="15" hidden="false" customHeight="false" outlineLevel="0" collapsed="false">
      <c r="A291" s="16" t="s">
        <v>1581</v>
      </c>
      <c r="B291" s="16" t="s">
        <v>50</v>
      </c>
      <c r="C291" s="16" t="s">
        <v>1573</v>
      </c>
      <c r="D291" s="16" t="s">
        <v>301</v>
      </c>
      <c r="E291" s="16" t="s">
        <v>1582</v>
      </c>
      <c r="F291" s="16" t="s">
        <v>1575</v>
      </c>
      <c r="G291" s="16" t="s">
        <v>1583</v>
      </c>
      <c r="H291" s="16" t="s">
        <v>56</v>
      </c>
      <c r="I291" s="16" t="s">
        <v>32</v>
      </c>
      <c r="J291" s="16" t="s">
        <v>1467</v>
      </c>
      <c r="K291" s="16" t="s">
        <v>305</v>
      </c>
      <c r="L291" s="16" t="s">
        <v>1584</v>
      </c>
      <c r="M291" s="16" t="s">
        <v>100</v>
      </c>
      <c r="N291" s="16" t="s">
        <v>1585</v>
      </c>
      <c r="O291" s="17" t="s">
        <v>92</v>
      </c>
      <c r="P291" s="18" t="s">
        <v>93</v>
      </c>
      <c r="Q291" s="18"/>
      <c r="R291" s="18"/>
    </row>
    <row r="292" customFormat="false" ht="15" hidden="false" customHeight="false" outlineLevel="0" collapsed="false">
      <c r="A292" s="16" t="s">
        <v>1586</v>
      </c>
      <c r="B292" s="16" t="s">
        <v>50</v>
      </c>
      <c r="C292" s="16" t="s">
        <v>1573</v>
      </c>
      <c r="D292" s="16" t="s">
        <v>301</v>
      </c>
      <c r="E292" s="16" t="s">
        <v>1587</v>
      </c>
      <c r="F292" s="16" t="s">
        <v>1575</v>
      </c>
      <c r="G292" s="16" t="s">
        <v>1588</v>
      </c>
      <c r="H292" s="16" t="s">
        <v>56</v>
      </c>
      <c r="I292" s="16" t="s">
        <v>32</v>
      </c>
      <c r="J292" s="16" t="s">
        <v>1467</v>
      </c>
      <c r="K292" s="16" t="s">
        <v>890</v>
      </c>
      <c r="L292" s="16" t="s">
        <v>1047</v>
      </c>
      <c r="M292" s="16" t="s">
        <v>332</v>
      </c>
      <c r="N292" s="16" t="s">
        <v>1589</v>
      </c>
      <c r="O292" s="17" t="s">
        <v>92</v>
      </c>
      <c r="P292" s="18" t="s">
        <v>93</v>
      </c>
      <c r="Q292" s="18"/>
      <c r="R292" s="18"/>
    </row>
    <row r="293" customFormat="false" ht="22.35" hidden="false" customHeight="false" outlineLevel="0" collapsed="false">
      <c r="A293" s="16" t="s">
        <v>1590</v>
      </c>
      <c r="B293" s="16" t="s">
        <v>50</v>
      </c>
      <c r="C293" s="16" t="s">
        <v>1573</v>
      </c>
      <c r="D293" s="16" t="s">
        <v>301</v>
      </c>
      <c r="E293" s="16" t="s">
        <v>1591</v>
      </c>
      <c r="F293" s="16" t="s">
        <v>1575</v>
      </c>
      <c r="G293" s="16" t="s">
        <v>1592</v>
      </c>
      <c r="H293" s="16" t="s">
        <v>56</v>
      </c>
      <c r="I293" s="16" t="s">
        <v>31</v>
      </c>
      <c r="J293" s="16" t="s">
        <v>1467</v>
      </c>
      <c r="K293" s="16" t="s">
        <v>1593</v>
      </c>
      <c r="L293" s="16" t="s">
        <v>1594</v>
      </c>
      <c r="M293" s="16" t="s">
        <v>332</v>
      </c>
      <c r="N293" s="16" t="s">
        <v>1595</v>
      </c>
      <c r="O293" s="17" t="s">
        <v>92</v>
      </c>
      <c r="P293" s="18" t="s">
        <v>93</v>
      </c>
      <c r="Q293" s="18"/>
      <c r="R293" s="18"/>
    </row>
    <row r="294" customFormat="false" ht="22.35" hidden="false" customHeight="false" outlineLevel="0" collapsed="false">
      <c r="A294" s="16" t="s">
        <v>1596</v>
      </c>
      <c r="B294" s="16" t="s">
        <v>50</v>
      </c>
      <c r="C294" s="16" t="s">
        <v>1573</v>
      </c>
      <c r="D294" s="16" t="s">
        <v>301</v>
      </c>
      <c r="E294" s="16" t="s">
        <v>1597</v>
      </c>
      <c r="F294" s="16" t="s">
        <v>1575</v>
      </c>
      <c r="G294" s="16" t="s">
        <v>1598</v>
      </c>
      <c r="H294" s="16" t="s">
        <v>56</v>
      </c>
      <c r="I294" s="16" t="s">
        <v>32</v>
      </c>
      <c r="J294" s="16" t="s">
        <v>1599</v>
      </c>
      <c r="K294" s="16" t="s">
        <v>1600</v>
      </c>
      <c r="L294" s="16" t="s">
        <v>1601</v>
      </c>
      <c r="M294" s="16" t="s">
        <v>332</v>
      </c>
      <c r="N294" s="16" t="s">
        <v>1602</v>
      </c>
      <c r="O294" s="17" t="s">
        <v>92</v>
      </c>
      <c r="P294" s="18" t="s">
        <v>93</v>
      </c>
      <c r="Q294" s="18"/>
      <c r="R294" s="18"/>
    </row>
    <row r="295" customFormat="false" ht="22.35" hidden="false" customHeight="false" outlineLevel="0" collapsed="false">
      <c r="A295" s="16" t="s">
        <v>1603</v>
      </c>
      <c r="B295" s="16" t="s">
        <v>50</v>
      </c>
      <c r="C295" s="16" t="s">
        <v>1573</v>
      </c>
      <c r="D295" s="16" t="s">
        <v>1604</v>
      </c>
      <c r="E295" s="16" t="s">
        <v>1605</v>
      </c>
      <c r="F295" s="16" t="s">
        <v>1575</v>
      </c>
      <c r="G295" s="16" t="s">
        <v>1606</v>
      </c>
      <c r="H295" s="16" t="s">
        <v>56</v>
      </c>
      <c r="I295" s="16" t="s">
        <v>33</v>
      </c>
      <c r="J295" s="16" t="s">
        <v>1467</v>
      </c>
      <c r="K295" s="16" t="s">
        <v>1607</v>
      </c>
      <c r="L295" s="16" t="s">
        <v>1608</v>
      </c>
      <c r="M295" s="16" t="s">
        <v>100</v>
      </c>
      <c r="N295" s="16" t="s">
        <v>1609</v>
      </c>
      <c r="O295" s="17" t="s">
        <v>92</v>
      </c>
      <c r="P295" s="18" t="s">
        <v>93</v>
      </c>
      <c r="Q295" s="18"/>
      <c r="R295" s="18"/>
    </row>
    <row r="296" customFormat="false" ht="15" hidden="false" customHeight="false" outlineLevel="0" collapsed="false">
      <c r="A296" s="16" t="s">
        <v>1610</v>
      </c>
      <c r="B296" s="16" t="s">
        <v>50</v>
      </c>
      <c r="C296" s="16" t="s">
        <v>1573</v>
      </c>
      <c r="D296" s="16" t="s">
        <v>1604</v>
      </c>
      <c r="E296" s="16" t="s">
        <v>1611</v>
      </c>
      <c r="F296" s="16" t="s">
        <v>1575</v>
      </c>
      <c r="G296" s="16" t="s">
        <v>1612</v>
      </c>
      <c r="H296" s="16" t="s">
        <v>56</v>
      </c>
      <c r="I296" s="16" t="s">
        <v>33</v>
      </c>
      <c r="J296" s="16" t="s">
        <v>1467</v>
      </c>
      <c r="K296" s="16" t="s">
        <v>1613</v>
      </c>
      <c r="L296" s="16" t="s">
        <v>1614</v>
      </c>
      <c r="M296" s="16" t="s">
        <v>100</v>
      </c>
      <c r="N296" s="16" t="s">
        <v>1615</v>
      </c>
      <c r="O296" s="17" t="s">
        <v>92</v>
      </c>
      <c r="P296" s="18" t="s">
        <v>93</v>
      </c>
      <c r="Q296" s="18"/>
      <c r="R296" s="18"/>
    </row>
    <row r="297" customFormat="false" ht="15" hidden="false" customHeight="false" outlineLevel="0" collapsed="false">
      <c r="A297" s="16" t="s">
        <v>1616</v>
      </c>
      <c r="B297" s="16" t="s">
        <v>50</v>
      </c>
      <c r="C297" s="16" t="s">
        <v>1573</v>
      </c>
      <c r="D297" s="16" t="s">
        <v>1617</v>
      </c>
      <c r="E297" s="16" t="s">
        <v>1618</v>
      </c>
      <c r="F297" s="16" t="s">
        <v>1575</v>
      </c>
      <c r="G297" s="16" t="s">
        <v>1619</v>
      </c>
      <c r="H297" s="16" t="s">
        <v>56</v>
      </c>
      <c r="I297" s="16" t="s">
        <v>33</v>
      </c>
      <c r="J297" s="16" t="s">
        <v>1467</v>
      </c>
      <c r="K297" s="16" t="s">
        <v>354</v>
      </c>
      <c r="L297" s="16" t="s">
        <v>1620</v>
      </c>
      <c r="M297" s="16" t="s">
        <v>100</v>
      </c>
      <c r="N297" s="16" t="s">
        <v>1621</v>
      </c>
      <c r="O297" s="17" t="s">
        <v>92</v>
      </c>
      <c r="P297" s="18" t="s">
        <v>93</v>
      </c>
      <c r="Q297" s="18"/>
      <c r="R297" s="18"/>
    </row>
    <row r="298" customFormat="false" ht="15" hidden="false" customHeight="false" outlineLevel="0" collapsed="false">
      <c r="A298" s="16" t="s">
        <v>1622</v>
      </c>
      <c r="B298" s="16" t="s">
        <v>50</v>
      </c>
      <c r="C298" s="16" t="s">
        <v>1573</v>
      </c>
      <c r="D298" s="16" t="s">
        <v>1617</v>
      </c>
      <c r="E298" s="16" t="s">
        <v>1623</v>
      </c>
      <c r="F298" s="16" t="s">
        <v>1575</v>
      </c>
      <c r="G298" s="16" t="s">
        <v>1624</v>
      </c>
      <c r="H298" s="16" t="s">
        <v>56</v>
      </c>
      <c r="I298" s="16" t="s">
        <v>32</v>
      </c>
      <c r="J298" s="16" t="s">
        <v>1467</v>
      </c>
      <c r="K298" s="16" t="s">
        <v>354</v>
      </c>
      <c r="L298" s="16" t="s">
        <v>1625</v>
      </c>
      <c r="M298" s="16" t="s">
        <v>100</v>
      </c>
      <c r="N298" s="16" t="s">
        <v>1626</v>
      </c>
      <c r="O298" s="17" t="s">
        <v>92</v>
      </c>
      <c r="P298" s="18" t="s">
        <v>93</v>
      </c>
      <c r="Q298" s="18"/>
      <c r="R298" s="18"/>
    </row>
    <row r="299" customFormat="false" ht="15" hidden="false" customHeight="false" outlineLevel="0" collapsed="false">
      <c r="A299" s="16" t="s">
        <v>1627</v>
      </c>
      <c r="B299" s="16" t="s">
        <v>50</v>
      </c>
      <c r="C299" s="16" t="s">
        <v>1573</v>
      </c>
      <c r="D299" s="16" t="s">
        <v>1628</v>
      </c>
      <c r="E299" s="16" t="s">
        <v>1629</v>
      </c>
      <c r="F299" s="16" t="s">
        <v>1575</v>
      </c>
      <c r="G299" s="16" t="s">
        <v>1630</v>
      </c>
      <c r="H299" s="16" t="s">
        <v>56</v>
      </c>
      <c r="I299" s="16" t="s">
        <v>31</v>
      </c>
      <c r="J299" s="16" t="s">
        <v>1467</v>
      </c>
      <c r="K299" s="16" t="s">
        <v>354</v>
      </c>
      <c r="L299" s="16" t="s">
        <v>89</v>
      </c>
      <c r="M299" s="16" t="s">
        <v>1631</v>
      </c>
      <c r="N299" s="16" t="s">
        <v>1632</v>
      </c>
      <c r="O299" s="17" t="s">
        <v>92</v>
      </c>
      <c r="P299" s="18" t="s">
        <v>93</v>
      </c>
      <c r="Q299" s="18"/>
      <c r="R299" s="18"/>
    </row>
    <row r="300" customFormat="false" ht="15" hidden="false" customHeight="false" outlineLevel="0" collapsed="false">
      <c r="A300" s="16" t="s">
        <v>1633</v>
      </c>
      <c r="B300" s="16" t="s">
        <v>50</v>
      </c>
      <c r="C300" s="16" t="s">
        <v>1573</v>
      </c>
      <c r="D300" s="16" t="s">
        <v>1628</v>
      </c>
      <c r="E300" s="16" t="s">
        <v>1634</v>
      </c>
      <c r="F300" s="16" t="s">
        <v>1575</v>
      </c>
      <c r="G300" s="16" t="s">
        <v>1635</v>
      </c>
      <c r="H300" s="16" t="s">
        <v>56</v>
      </c>
      <c r="I300" s="16" t="s">
        <v>32</v>
      </c>
      <c r="J300" s="16" t="s">
        <v>1467</v>
      </c>
      <c r="K300" s="16" t="s">
        <v>318</v>
      </c>
      <c r="L300" s="16" t="s">
        <v>1636</v>
      </c>
      <c r="M300" s="16" t="s">
        <v>100</v>
      </c>
      <c r="N300" s="16" t="s">
        <v>1637</v>
      </c>
      <c r="O300" s="17" t="s">
        <v>92</v>
      </c>
      <c r="P300" s="18" t="s">
        <v>93</v>
      </c>
      <c r="Q300" s="18"/>
      <c r="R300" s="18"/>
    </row>
    <row r="301" customFormat="false" ht="22.35" hidden="false" customHeight="false" outlineLevel="0" collapsed="false">
      <c r="A301" s="16" t="s">
        <v>1638</v>
      </c>
      <c r="B301" s="16" t="s">
        <v>50</v>
      </c>
      <c r="C301" s="16" t="s">
        <v>1573</v>
      </c>
      <c r="D301" s="16" t="s">
        <v>1628</v>
      </c>
      <c r="E301" s="16" t="s">
        <v>1639</v>
      </c>
      <c r="F301" s="16" t="s">
        <v>1575</v>
      </c>
      <c r="G301" s="16" t="s">
        <v>1640</v>
      </c>
      <c r="H301" s="16" t="s">
        <v>56</v>
      </c>
      <c r="I301" s="16" t="s">
        <v>33</v>
      </c>
      <c r="J301" s="16" t="s">
        <v>1467</v>
      </c>
      <c r="K301" s="16" t="s">
        <v>1593</v>
      </c>
      <c r="L301" s="16" t="s">
        <v>1641</v>
      </c>
      <c r="M301" s="16" t="s">
        <v>100</v>
      </c>
      <c r="N301" s="16" t="s">
        <v>1642</v>
      </c>
      <c r="O301" s="17" t="s">
        <v>92</v>
      </c>
      <c r="P301" s="18" t="s">
        <v>93</v>
      </c>
      <c r="Q301" s="18"/>
      <c r="R301" s="18"/>
    </row>
    <row r="302" customFormat="false" ht="22.35" hidden="false" customHeight="false" outlineLevel="0" collapsed="false">
      <c r="A302" s="16" t="s">
        <v>1643</v>
      </c>
      <c r="B302" s="16" t="s">
        <v>50</v>
      </c>
      <c r="C302" s="16" t="s">
        <v>1573</v>
      </c>
      <c r="D302" s="16" t="s">
        <v>1628</v>
      </c>
      <c r="E302" s="16" t="s">
        <v>1644</v>
      </c>
      <c r="F302" s="16" t="s">
        <v>1575</v>
      </c>
      <c r="G302" s="16" t="s">
        <v>1645</v>
      </c>
      <c r="H302" s="16" t="s">
        <v>56</v>
      </c>
      <c r="I302" s="16" t="s">
        <v>32</v>
      </c>
      <c r="J302" s="16" t="s">
        <v>1467</v>
      </c>
      <c r="K302" s="16" t="s">
        <v>127</v>
      </c>
      <c r="L302" s="16" t="s">
        <v>1646</v>
      </c>
      <c r="M302" s="16" t="s">
        <v>100</v>
      </c>
      <c r="N302" s="16" t="s">
        <v>1647</v>
      </c>
      <c r="O302" s="17" t="s">
        <v>92</v>
      </c>
      <c r="P302" s="18" t="s">
        <v>93</v>
      </c>
      <c r="Q302" s="18"/>
      <c r="R302" s="18"/>
    </row>
    <row r="303" customFormat="false" ht="22.35" hidden="false" customHeight="false" outlineLevel="0" collapsed="false">
      <c r="A303" s="16" t="s">
        <v>1648</v>
      </c>
      <c r="B303" s="16" t="s">
        <v>50</v>
      </c>
      <c r="C303" s="16" t="s">
        <v>1573</v>
      </c>
      <c r="D303" s="16" t="s">
        <v>1628</v>
      </c>
      <c r="E303" s="16" t="s">
        <v>1649</v>
      </c>
      <c r="F303" s="16" t="s">
        <v>1575</v>
      </c>
      <c r="G303" s="16" t="s">
        <v>1650</v>
      </c>
      <c r="H303" s="16" t="s">
        <v>56</v>
      </c>
      <c r="I303" s="16" t="s">
        <v>32</v>
      </c>
      <c r="J303" s="16" t="s">
        <v>1467</v>
      </c>
      <c r="K303" s="16" t="s">
        <v>577</v>
      </c>
      <c r="L303" s="16" t="s">
        <v>593</v>
      </c>
      <c r="M303" s="16" t="s">
        <v>100</v>
      </c>
      <c r="N303" s="16" t="s">
        <v>1651</v>
      </c>
      <c r="O303" s="17" t="s">
        <v>92</v>
      </c>
      <c r="P303" s="18" t="s">
        <v>93</v>
      </c>
      <c r="Q303" s="18"/>
      <c r="R303" s="18"/>
    </row>
    <row r="304" customFormat="false" ht="15" hidden="false" customHeight="false" outlineLevel="0" collapsed="false">
      <c r="A304" s="16" t="s">
        <v>1652</v>
      </c>
      <c r="B304" s="16" t="s">
        <v>50</v>
      </c>
      <c r="C304" s="16" t="s">
        <v>1573</v>
      </c>
      <c r="D304" s="16" t="s">
        <v>1628</v>
      </c>
      <c r="E304" s="16" t="s">
        <v>1653</v>
      </c>
      <c r="F304" s="16" t="s">
        <v>1575</v>
      </c>
      <c r="G304" s="16" t="s">
        <v>1654</v>
      </c>
      <c r="H304" s="16" t="s">
        <v>56</v>
      </c>
      <c r="I304" s="16" t="s">
        <v>32</v>
      </c>
      <c r="J304" s="16" t="s">
        <v>1467</v>
      </c>
      <c r="K304" s="16" t="s">
        <v>1655</v>
      </c>
      <c r="L304" s="16" t="s">
        <v>1656</v>
      </c>
      <c r="M304" s="16" t="s">
        <v>100</v>
      </c>
      <c r="N304" s="16" t="s">
        <v>1657</v>
      </c>
      <c r="O304" s="17" t="s">
        <v>92</v>
      </c>
      <c r="P304" s="18" t="s">
        <v>93</v>
      </c>
      <c r="Q304" s="18"/>
      <c r="R304" s="18"/>
    </row>
    <row r="305" customFormat="false" ht="22.35" hidden="false" customHeight="false" outlineLevel="0" collapsed="false">
      <c r="A305" s="16" t="s">
        <v>1658</v>
      </c>
      <c r="B305" s="16" t="s">
        <v>50</v>
      </c>
      <c r="C305" s="16" t="s">
        <v>1573</v>
      </c>
      <c r="D305" s="16" t="s">
        <v>1628</v>
      </c>
      <c r="E305" s="16" t="s">
        <v>1659</v>
      </c>
      <c r="F305" s="16" t="s">
        <v>1575</v>
      </c>
      <c r="G305" s="16" t="s">
        <v>1660</v>
      </c>
      <c r="H305" s="16" t="s">
        <v>56</v>
      </c>
      <c r="I305" s="16" t="s">
        <v>32</v>
      </c>
      <c r="J305" s="16" t="s">
        <v>1467</v>
      </c>
      <c r="K305" s="16" t="s">
        <v>1661</v>
      </c>
      <c r="L305" s="16" t="s">
        <v>1662</v>
      </c>
      <c r="M305" s="16" t="s">
        <v>100</v>
      </c>
      <c r="N305" s="16" t="s">
        <v>1663</v>
      </c>
      <c r="O305" s="17" t="s">
        <v>92</v>
      </c>
      <c r="P305" s="18" t="s">
        <v>93</v>
      </c>
      <c r="Q305" s="18"/>
      <c r="R305" s="18"/>
    </row>
    <row r="306" customFormat="false" ht="15" hidden="false" customHeight="false" outlineLevel="0" collapsed="false">
      <c r="A306" s="16" t="s">
        <v>1664</v>
      </c>
      <c r="B306" s="16" t="s">
        <v>50</v>
      </c>
      <c r="C306" s="16" t="s">
        <v>1573</v>
      </c>
      <c r="D306" s="16" t="s">
        <v>1628</v>
      </c>
      <c r="E306" s="16" t="s">
        <v>1665</v>
      </c>
      <c r="F306" s="16" t="s">
        <v>1575</v>
      </c>
      <c r="G306" s="16" t="s">
        <v>1666</v>
      </c>
      <c r="H306" s="16" t="s">
        <v>56</v>
      </c>
      <c r="I306" s="16" t="s">
        <v>32</v>
      </c>
      <c r="J306" s="16" t="s">
        <v>1467</v>
      </c>
      <c r="K306" s="16" t="s">
        <v>343</v>
      </c>
      <c r="L306" s="16" t="s">
        <v>191</v>
      </c>
      <c r="M306" s="16" t="s">
        <v>202</v>
      </c>
      <c r="N306" s="16" t="s">
        <v>1667</v>
      </c>
      <c r="O306" s="17" t="s">
        <v>92</v>
      </c>
      <c r="P306" s="18" t="s">
        <v>93</v>
      </c>
      <c r="Q306" s="18"/>
      <c r="R306" s="18"/>
    </row>
    <row r="307" customFormat="false" ht="22.35" hidden="false" customHeight="false" outlineLevel="0" collapsed="false">
      <c r="A307" s="16" t="s">
        <v>1668</v>
      </c>
      <c r="B307" s="16" t="s">
        <v>50</v>
      </c>
      <c r="C307" s="16" t="s">
        <v>1573</v>
      </c>
      <c r="D307" s="16" t="s">
        <v>1669</v>
      </c>
      <c r="E307" s="16" t="s">
        <v>1670</v>
      </c>
      <c r="F307" s="16" t="s">
        <v>1575</v>
      </c>
      <c r="G307" s="16" t="s">
        <v>1671</v>
      </c>
      <c r="H307" s="16" t="s">
        <v>56</v>
      </c>
      <c r="I307" s="16" t="s">
        <v>33</v>
      </c>
      <c r="J307" s="16" t="s">
        <v>1467</v>
      </c>
      <c r="K307" s="16" t="s">
        <v>1672</v>
      </c>
      <c r="L307" s="16" t="s">
        <v>89</v>
      </c>
      <c r="M307" s="16" t="s">
        <v>100</v>
      </c>
      <c r="N307" s="16" t="s">
        <v>1673</v>
      </c>
      <c r="O307" s="17" t="s">
        <v>92</v>
      </c>
      <c r="P307" s="18" t="s">
        <v>93</v>
      </c>
      <c r="Q307" s="18"/>
      <c r="R307" s="18"/>
    </row>
    <row r="308" customFormat="false" ht="15" hidden="false" customHeight="false" outlineLevel="0" collapsed="false">
      <c r="A308" s="16" t="s">
        <v>1674</v>
      </c>
      <c r="B308" s="16" t="s">
        <v>50</v>
      </c>
      <c r="C308" s="16" t="s">
        <v>1675</v>
      </c>
      <c r="D308" s="16" t="s">
        <v>1676</v>
      </c>
      <c r="E308" s="16" t="s">
        <v>1677</v>
      </c>
      <c r="F308" s="16" t="s">
        <v>1678</v>
      </c>
      <c r="G308" s="16" t="s">
        <v>1679</v>
      </c>
      <c r="H308" s="16" t="s">
        <v>56</v>
      </c>
      <c r="I308" s="16" t="s">
        <v>32</v>
      </c>
      <c r="J308" s="16" t="s">
        <v>1467</v>
      </c>
      <c r="K308" s="16" t="s">
        <v>1680</v>
      </c>
      <c r="L308" s="16" t="s">
        <v>186</v>
      </c>
      <c r="M308" s="16" t="s">
        <v>100</v>
      </c>
      <c r="N308" s="16" t="s">
        <v>1681</v>
      </c>
      <c r="O308" s="17" t="s">
        <v>92</v>
      </c>
      <c r="P308" s="18" t="s">
        <v>93</v>
      </c>
      <c r="Q308" s="18"/>
      <c r="R308" s="18"/>
    </row>
    <row r="309" customFormat="false" ht="15" hidden="false" customHeight="false" outlineLevel="0" collapsed="false">
      <c r="A309" s="16" t="s">
        <v>1682</v>
      </c>
      <c r="B309" s="16" t="s">
        <v>50</v>
      </c>
      <c r="C309" s="16" t="s">
        <v>1675</v>
      </c>
      <c r="D309" s="16" t="s">
        <v>1676</v>
      </c>
      <c r="E309" s="16" t="s">
        <v>1683</v>
      </c>
      <c r="F309" s="16" t="s">
        <v>1678</v>
      </c>
      <c r="G309" s="16" t="s">
        <v>1684</v>
      </c>
      <c r="H309" s="16" t="s">
        <v>56</v>
      </c>
      <c r="I309" s="16" t="s">
        <v>32</v>
      </c>
      <c r="J309" s="16" t="s">
        <v>1467</v>
      </c>
      <c r="K309" s="16" t="s">
        <v>1685</v>
      </c>
      <c r="L309" s="16" t="s">
        <v>1686</v>
      </c>
      <c r="M309" s="16" t="s">
        <v>100</v>
      </c>
      <c r="N309" s="16" t="s">
        <v>1687</v>
      </c>
      <c r="O309" s="17" t="s">
        <v>92</v>
      </c>
      <c r="P309" s="18" t="s">
        <v>93</v>
      </c>
      <c r="Q309" s="18"/>
      <c r="R309" s="18"/>
    </row>
    <row r="310" customFormat="false" ht="15" hidden="false" customHeight="false" outlineLevel="0" collapsed="false">
      <c r="A310" s="16" t="s">
        <v>1688</v>
      </c>
      <c r="B310" s="16" t="s">
        <v>50</v>
      </c>
      <c r="C310" s="16" t="s">
        <v>1675</v>
      </c>
      <c r="D310" s="16" t="s">
        <v>1689</v>
      </c>
      <c r="E310" s="16" t="s">
        <v>1690</v>
      </c>
      <c r="F310" s="16" t="s">
        <v>1678</v>
      </c>
      <c r="G310" s="16" t="s">
        <v>1691</v>
      </c>
      <c r="H310" s="16" t="s">
        <v>56</v>
      </c>
      <c r="I310" s="16" t="s">
        <v>32</v>
      </c>
      <c r="J310" s="16" t="s">
        <v>1467</v>
      </c>
      <c r="K310" s="16" t="s">
        <v>171</v>
      </c>
      <c r="L310" s="16" t="s">
        <v>553</v>
      </c>
      <c r="M310" s="16" t="s">
        <v>752</v>
      </c>
      <c r="N310" s="16" t="s">
        <v>1692</v>
      </c>
      <c r="O310" s="17" t="s">
        <v>92</v>
      </c>
      <c r="P310" s="18" t="s">
        <v>93</v>
      </c>
      <c r="Q310" s="18"/>
      <c r="R310" s="18"/>
    </row>
    <row r="311" customFormat="false" ht="15" hidden="false" customHeight="false" outlineLevel="0" collapsed="false">
      <c r="A311" s="16" t="s">
        <v>1693</v>
      </c>
      <c r="B311" s="16" t="s">
        <v>50</v>
      </c>
      <c r="C311" s="16" t="s">
        <v>1675</v>
      </c>
      <c r="D311" s="16" t="s">
        <v>1689</v>
      </c>
      <c r="E311" s="16" t="s">
        <v>1694</v>
      </c>
      <c r="F311" s="16" t="s">
        <v>1678</v>
      </c>
      <c r="G311" s="16" t="s">
        <v>1695</v>
      </c>
      <c r="H311" s="16" t="s">
        <v>56</v>
      </c>
      <c r="I311" s="16" t="s">
        <v>32</v>
      </c>
      <c r="J311" s="16" t="s">
        <v>1467</v>
      </c>
      <c r="K311" s="16" t="s">
        <v>751</v>
      </c>
      <c r="L311" s="16" t="s">
        <v>569</v>
      </c>
      <c r="M311" s="16" t="s">
        <v>752</v>
      </c>
      <c r="N311" s="16" t="s">
        <v>1696</v>
      </c>
      <c r="O311" s="17" t="s">
        <v>92</v>
      </c>
      <c r="P311" s="18" t="s">
        <v>93</v>
      </c>
      <c r="Q311" s="18"/>
      <c r="R311" s="18"/>
    </row>
    <row r="312" customFormat="false" ht="15" hidden="false" customHeight="false" outlineLevel="0" collapsed="false">
      <c r="A312" s="16" t="s">
        <v>1697</v>
      </c>
      <c r="B312" s="16" t="s">
        <v>50</v>
      </c>
      <c r="C312" s="16" t="s">
        <v>1675</v>
      </c>
      <c r="D312" s="16" t="s">
        <v>1698</v>
      </c>
      <c r="E312" s="16" t="s">
        <v>1699</v>
      </c>
      <c r="F312" s="16" t="s">
        <v>1678</v>
      </c>
      <c r="G312" s="16" t="s">
        <v>1700</v>
      </c>
      <c r="H312" s="16" t="s">
        <v>56</v>
      </c>
      <c r="I312" s="16" t="s">
        <v>33</v>
      </c>
      <c r="J312" s="16" t="s">
        <v>1467</v>
      </c>
      <c r="K312" s="16" t="s">
        <v>568</v>
      </c>
      <c r="L312" s="16" t="s">
        <v>1701</v>
      </c>
      <c r="M312" s="16" t="s">
        <v>100</v>
      </c>
      <c r="N312" s="16" t="s">
        <v>1702</v>
      </c>
      <c r="O312" s="17" t="s">
        <v>92</v>
      </c>
      <c r="P312" s="18" t="s">
        <v>93</v>
      </c>
      <c r="Q312" s="18"/>
      <c r="R312" s="18"/>
    </row>
    <row r="313" customFormat="false" ht="15" hidden="false" customHeight="false" outlineLevel="0" collapsed="false">
      <c r="A313" s="16" t="s">
        <v>1703</v>
      </c>
      <c r="B313" s="16" t="s">
        <v>50</v>
      </c>
      <c r="C313" s="16" t="s">
        <v>1675</v>
      </c>
      <c r="D313" s="16" t="s">
        <v>1698</v>
      </c>
      <c r="E313" s="16" t="s">
        <v>1704</v>
      </c>
      <c r="F313" s="16" t="s">
        <v>1678</v>
      </c>
      <c r="G313" s="16" t="s">
        <v>1705</v>
      </c>
      <c r="H313" s="16" t="s">
        <v>56</v>
      </c>
      <c r="I313" s="16" t="s">
        <v>32</v>
      </c>
      <c r="J313" s="16" t="s">
        <v>1467</v>
      </c>
      <c r="K313" s="16" t="s">
        <v>568</v>
      </c>
      <c r="L313" s="16" t="s">
        <v>569</v>
      </c>
      <c r="M313" s="16" t="s">
        <v>100</v>
      </c>
      <c r="N313" s="16" t="s">
        <v>1706</v>
      </c>
      <c r="O313" s="17" t="s">
        <v>92</v>
      </c>
      <c r="P313" s="18" t="s">
        <v>93</v>
      </c>
      <c r="Q313" s="18"/>
      <c r="R313" s="18"/>
    </row>
    <row r="314" customFormat="false" ht="22.35" hidden="false" customHeight="false" outlineLevel="0" collapsed="false">
      <c r="A314" s="16" t="s">
        <v>1707</v>
      </c>
      <c r="B314" s="16" t="s">
        <v>50</v>
      </c>
      <c r="C314" s="16" t="s">
        <v>1708</v>
      </c>
      <c r="D314" s="16" t="s">
        <v>368</v>
      </c>
      <c r="E314" s="16" t="s">
        <v>1709</v>
      </c>
      <c r="F314" s="16" t="s">
        <v>1710</v>
      </c>
      <c r="G314" s="16" t="s">
        <v>1711</v>
      </c>
      <c r="H314" s="16" t="s">
        <v>56</v>
      </c>
      <c r="I314" s="16" t="s">
        <v>32</v>
      </c>
      <c r="J314" s="16" t="s">
        <v>1467</v>
      </c>
      <c r="K314" s="16" t="s">
        <v>371</v>
      </c>
      <c r="L314" s="16" t="s">
        <v>761</v>
      </c>
      <c r="M314" s="16" t="s">
        <v>373</v>
      </c>
      <c r="N314" s="16" t="s">
        <v>1399</v>
      </c>
      <c r="O314" s="17" t="s">
        <v>92</v>
      </c>
      <c r="P314" s="18" t="s">
        <v>93</v>
      </c>
      <c r="Q314" s="18"/>
      <c r="R314" s="18"/>
    </row>
    <row r="315" customFormat="false" ht="15" hidden="false" customHeight="false" outlineLevel="0" collapsed="false">
      <c r="A315" s="16" t="s">
        <v>1712</v>
      </c>
      <c r="B315" s="16" t="s">
        <v>50</v>
      </c>
      <c r="C315" s="16" t="s">
        <v>1708</v>
      </c>
      <c r="D315" s="16" t="s">
        <v>368</v>
      </c>
      <c r="E315" s="16" t="s">
        <v>1713</v>
      </c>
      <c r="F315" s="16" t="s">
        <v>1710</v>
      </c>
      <c r="G315" s="16" t="s">
        <v>1714</v>
      </c>
      <c r="H315" s="16" t="s">
        <v>56</v>
      </c>
      <c r="I315" s="16" t="s">
        <v>32</v>
      </c>
      <c r="J315" s="16" t="s">
        <v>1467</v>
      </c>
      <c r="K315" s="16" t="s">
        <v>1715</v>
      </c>
      <c r="L315" s="16" t="s">
        <v>372</v>
      </c>
      <c r="M315" s="16" t="s">
        <v>373</v>
      </c>
      <c r="N315" s="16" t="s">
        <v>1716</v>
      </c>
      <c r="O315" s="17" t="s">
        <v>92</v>
      </c>
      <c r="P315" s="18" t="s">
        <v>93</v>
      </c>
      <c r="Q315" s="18"/>
      <c r="R315" s="18"/>
    </row>
    <row r="316" customFormat="false" ht="15" hidden="false" customHeight="false" outlineLevel="0" collapsed="false">
      <c r="A316" s="16" t="s">
        <v>1717</v>
      </c>
      <c r="B316" s="16" t="s">
        <v>50</v>
      </c>
      <c r="C316" s="16" t="s">
        <v>1708</v>
      </c>
      <c r="D316" s="16" t="s">
        <v>368</v>
      </c>
      <c r="E316" s="16" t="s">
        <v>1718</v>
      </c>
      <c r="F316" s="16" t="s">
        <v>1710</v>
      </c>
      <c r="G316" s="16" t="s">
        <v>1719</v>
      </c>
      <c r="H316" s="16" t="s">
        <v>56</v>
      </c>
      <c r="I316" s="16" t="s">
        <v>33</v>
      </c>
      <c r="J316" s="16" t="s">
        <v>1467</v>
      </c>
      <c r="K316" s="16" t="s">
        <v>1720</v>
      </c>
      <c r="L316" s="16" t="s">
        <v>1721</v>
      </c>
      <c r="M316" s="16" t="s">
        <v>100</v>
      </c>
      <c r="N316" s="16" t="s">
        <v>1722</v>
      </c>
      <c r="O316" s="17" t="s">
        <v>92</v>
      </c>
      <c r="P316" s="18" t="s">
        <v>93</v>
      </c>
      <c r="Q316" s="18"/>
      <c r="R316" s="18"/>
    </row>
    <row r="317" customFormat="false" ht="15" hidden="false" customHeight="false" outlineLevel="0" collapsed="false">
      <c r="A317" s="16" t="s">
        <v>1723</v>
      </c>
      <c r="B317" s="16" t="s">
        <v>50</v>
      </c>
      <c r="C317" s="16" t="s">
        <v>1724</v>
      </c>
      <c r="D317" s="16" t="s">
        <v>1725</v>
      </c>
      <c r="E317" s="16" t="s">
        <v>1726</v>
      </c>
      <c r="F317" s="16" t="s">
        <v>1727</v>
      </c>
      <c r="G317" s="16" t="s">
        <v>1728</v>
      </c>
      <c r="H317" s="16" t="s">
        <v>56</v>
      </c>
      <c r="I317" s="16" t="s">
        <v>32</v>
      </c>
      <c r="J317" s="16" t="s">
        <v>1467</v>
      </c>
      <c r="K317" s="16" t="s">
        <v>822</v>
      </c>
      <c r="L317" s="16" t="s">
        <v>1729</v>
      </c>
      <c r="M317" s="16" t="s">
        <v>100</v>
      </c>
      <c r="N317" s="16" t="s">
        <v>1730</v>
      </c>
      <c r="O317" s="17" t="s">
        <v>92</v>
      </c>
      <c r="P317" s="18" t="s">
        <v>93</v>
      </c>
      <c r="Q317" s="18"/>
      <c r="R317" s="18"/>
    </row>
    <row r="318" customFormat="false" ht="15" hidden="false" customHeight="false" outlineLevel="0" collapsed="false">
      <c r="A318" s="16" t="s">
        <v>1731</v>
      </c>
      <c r="B318" s="16" t="s">
        <v>50</v>
      </c>
      <c r="C318" s="16" t="s">
        <v>1724</v>
      </c>
      <c r="D318" s="16" t="s">
        <v>819</v>
      </c>
      <c r="E318" s="16" t="s">
        <v>1732</v>
      </c>
      <c r="F318" s="16" t="s">
        <v>1727</v>
      </c>
      <c r="G318" s="16" t="s">
        <v>1733</v>
      </c>
      <c r="H318" s="16" t="s">
        <v>56</v>
      </c>
      <c r="I318" s="16" t="s">
        <v>32</v>
      </c>
      <c r="J318" s="16" t="s">
        <v>1467</v>
      </c>
      <c r="K318" s="16" t="s">
        <v>822</v>
      </c>
      <c r="L318" s="16" t="s">
        <v>1734</v>
      </c>
      <c r="M318" s="16" t="s">
        <v>100</v>
      </c>
      <c r="N318" s="16" t="s">
        <v>1735</v>
      </c>
      <c r="O318" s="17" t="s">
        <v>92</v>
      </c>
      <c r="P318" s="18" t="s">
        <v>93</v>
      </c>
      <c r="Q318" s="18"/>
      <c r="R318" s="18"/>
    </row>
    <row r="319" customFormat="false" ht="15" hidden="false" customHeight="false" outlineLevel="0" collapsed="false">
      <c r="A319" s="16" t="s">
        <v>1736</v>
      </c>
      <c r="B319" s="16" t="s">
        <v>50</v>
      </c>
      <c r="C319" s="16" t="s">
        <v>1724</v>
      </c>
      <c r="D319" s="16" t="s">
        <v>1737</v>
      </c>
      <c r="E319" s="16" t="s">
        <v>1738</v>
      </c>
      <c r="F319" s="16" t="s">
        <v>1727</v>
      </c>
      <c r="G319" s="16" t="s">
        <v>1739</v>
      </c>
      <c r="H319" s="16" t="s">
        <v>56</v>
      </c>
      <c r="I319" s="16" t="s">
        <v>32</v>
      </c>
      <c r="J319" s="16" t="s">
        <v>1467</v>
      </c>
      <c r="K319" s="16" t="s">
        <v>1740</v>
      </c>
      <c r="L319" s="16" t="s">
        <v>253</v>
      </c>
      <c r="M319" s="16" t="s">
        <v>100</v>
      </c>
      <c r="N319" s="16" t="s">
        <v>1741</v>
      </c>
      <c r="O319" s="17" t="s">
        <v>92</v>
      </c>
      <c r="P319" s="18" t="s">
        <v>93</v>
      </c>
      <c r="Q319" s="18"/>
      <c r="R319" s="18"/>
    </row>
    <row r="320" customFormat="false" ht="22.35" hidden="false" customHeight="false" outlineLevel="0" collapsed="false">
      <c r="A320" s="16" t="s">
        <v>1742</v>
      </c>
      <c r="B320" s="16" t="s">
        <v>50</v>
      </c>
      <c r="C320" s="16" t="s">
        <v>1743</v>
      </c>
      <c r="D320" s="16" t="s">
        <v>1744</v>
      </c>
      <c r="E320" s="16" t="s">
        <v>1745</v>
      </c>
      <c r="F320" s="16" t="s">
        <v>1746</v>
      </c>
      <c r="G320" s="16" t="s">
        <v>1747</v>
      </c>
      <c r="H320" s="16" t="s">
        <v>56</v>
      </c>
      <c r="I320" s="16" t="s">
        <v>32</v>
      </c>
      <c r="J320" s="16" t="s">
        <v>1467</v>
      </c>
      <c r="K320" s="16" t="s">
        <v>159</v>
      </c>
      <c r="L320" s="16" t="s">
        <v>388</v>
      </c>
      <c r="M320" s="16" t="s">
        <v>100</v>
      </c>
      <c r="N320" s="16" t="s">
        <v>1748</v>
      </c>
      <c r="O320" s="17" t="s">
        <v>92</v>
      </c>
      <c r="P320" s="18" t="s">
        <v>93</v>
      </c>
      <c r="Q320" s="18"/>
      <c r="R320" s="18"/>
    </row>
    <row r="321" customFormat="false" ht="15" hidden="false" customHeight="false" outlineLevel="0" collapsed="false">
      <c r="A321" s="16" t="s">
        <v>1749</v>
      </c>
      <c r="B321" s="16" t="s">
        <v>50</v>
      </c>
      <c r="C321" s="16" t="s">
        <v>1743</v>
      </c>
      <c r="D321" s="16" t="s">
        <v>1750</v>
      </c>
      <c r="E321" s="16" t="s">
        <v>1751</v>
      </c>
      <c r="F321" s="16" t="s">
        <v>1746</v>
      </c>
      <c r="G321" s="16" t="s">
        <v>1752</v>
      </c>
      <c r="H321" s="16" t="s">
        <v>56</v>
      </c>
      <c r="I321" s="16" t="s">
        <v>33</v>
      </c>
      <c r="J321" s="16" t="s">
        <v>1467</v>
      </c>
      <c r="K321" s="16" t="s">
        <v>1753</v>
      </c>
      <c r="L321" s="16" t="s">
        <v>388</v>
      </c>
      <c r="M321" s="16" t="s">
        <v>100</v>
      </c>
      <c r="N321" s="16" t="s">
        <v>1754</v>
      </c>
      <c r="O321" s="17" t="s">
        <v>92</v>
      </c>
      <c r="P321" s="18" t="s">
        <v>93</v>
      </c>
      <c r="Q321" s="18"/>
      <c r="R321" s="18"/>
    </row>
    <row r="322" customFormat="false" ht="15" hidden="false" customHeight="false" outlineLevel="0" collapsed="false">
      <c r="A322" s="16" t="s">
        <v>1755</v>
      </c>
      <c r="B322" s="16" t="s">
        <v>50</v>
      </c>
      <c r="C322" s="16" t="s">
        <v>1743</v>
      </c>
      <c r="D322" s="16" t="s">
        <v>1750</v>
      </c>
      <c r="E322" s="16" t="s">
        <v>1756</v>
      </c>
      <c r="F322" s="16" t="s">
        <v>1746</v>
      </c>
      <c r="G322" s="16" t="s">
        <v>1757</v>
      </c>
      <c r="H322" s="16" t="s">
        <v>56</v>
      </c>
      <c r="I322" s="16" t="s">
        <v>33</v>
      </c>
      <c r="J322" s="16" t="s">
        <v>1467</v>
      </c>
      <c r="K322" s="16" t="s">
        <v>98</v>
      </c>
      <c r="L322" s="16" t="s">
        <v>388</v>
      </c>
      <c r="M322" s="16" t="s">
        <v>100</v>
      </c>
      <c r="N322" s="16" t="s">
        <v>1758</v>
      </c>
      <c r="O322" s="17" t="s">
        <v>92</v>
      </c>
      <c r="P322" s="18" t="s">
        <v>93</v>
      </c>
      <c r="Q322" s="18"/>
      <c r="R322" s="18"/>
    </row>
    <row r="323" customFormat="false" ht="15" hidden="false" customHeight="false" outlineLevel="0" collapsed="false">
      <c r="A323" s="16" t="s">
        <v>1759</v>
      </c>
      <c r="B323" s="16" t="s">
        <v>50</v>
      </c>
      <c r="C323" s="16" t="s">
        <v>1743</v>
      </c>
      <c r="D323" s="16" t="s">
        <v>1750</v>
      </c>
      <c r="E323" s="16" t="s">
        <v>1760</v>
      </c>
      <c r="F323" s="16" t="s">
        <v>1746</v>
      </c>
      <c r="G323" s="16" t="s">
        <v>1761</v>
      </c>
      <c r="H323" s="16" t="s">
        <v>56</v>
      </c>
      <c r="I323" s="16" t="s">
        <v>33</v>
      </c>
      <c r="J323" s="16" t="s">
        <v>1467</v>
      </c>
      <c r="K323" s="16" t="s">
        <v>98</v>
      </c>
      <c r="L323" s="16" t="s">
        <v>388</v>
      </c>
      <c r="M323" s="16" t="s">
        <v>100</v>
      </c>
      <c r="N323" s="16" t="s">
        <v>1762</v>
      </c>
      <c r="O323" s="17" t="s">
        <v>92</v>
      </c>
      <c r="P323" s="18" t="s">
        <v>93</v>
      </c>
      <c r="Q323" s="18"/>
      <c r="R323" s="18"/>
    </row>
    <row r="324" customFormat="false" ht="15" hidden="false" customHeight="false" outlineLevel="0" collapsed="false">
      <c r="A324" s="16" t="s">
        <v>1763</v>
      </c>
      <c r="B324" s="16" t="s">
        <v>50</v>
      </c>
      <c r="C324" s="16" t="s">
        <v>1743</v>
      </c>
      <c r="D324" s="16" t="s">
        <v>1750</v>
      </c>
      <c r="E324" s="16" t="s">
        <v>1764</v>
      </c>
      <c r="F324" s="16" t="s">
        <v>1746</v>
      </c>
      <c r="G324" s="16" t="s">
        <v>1765</v>
      </c>
      <c r="H324" s="16" t="s">
        <v>56</v>
      </c>
      <c r="I324" s="16" t="s">
        <v>33</v>
      </c>
      <c r="J324" s="16" t="s">
        <v>1467</v>
      </c>
      <c r="K324" s="16" t="s">
        <v>98</v>
      </c>
      <c r="L324" s="16" t="s">
        <v>388</v>
      </c>
      <c r="M324" s="16" t="s">
        <v>100</v>
      </c>
      <c r="N324" s="16" t="s">
        <v>1766</v>
      </c>
      <c r="O324" s="17" t="s">
        <v>92</v>
      </c>
      <c r="P324" s="18" t="s">
        <v>93</v>
      </c>
      <c r="Q324" s="18"/>
      <c r="R324" s="18"/>
    </row>
    <row r="325" customFormat="false" ht="15" hidden="false" customHeight="false" outlineLevel="0" collapsed="false">
      <c r="A325" s="16" t="s">
        <v>1767</v>
      </c>
      <c r="B325" s="16" t="s">
        <v>50</v>
      </c>
      <c r="C325" s="16" t="s">
        <v>1743</v>
      </c>
      <c r="D325" s="16" t="s">
        <v>1750</v>
      </c>
      <c r="E325" s="16" t="s">
        <v>1768</v>
      </c>
      <c r="F325" s="16" t="s">
        <v>1746</v>
      </c>
      <c r="G325" s="16" t="s">
        <v>1769</v>
      </c>
      <c r="H325" s="16" t="s">
        <v>56</v>
      </c>
      <c r="I325" s="16" t="s">
        <v>33</v>
      </c>
      <c r="J325" s="16" t="s">
        <v>1467</v>
      </c>
      <c r="K325" s="16" t="s">
        <v>387</v>
      </c>
      <c r="L325" s="16" t="s">
        <v>388</v>
      </c>
      <c r="M325" s="16" t="s">
        <v>100</v>
      </c>
      <c r="N325" s="16" t="s">
        <v>1770</v>
      </c>
      <c r="O325" s="17" t="s">
        <v>92</v>
      </c>
      <c r="P325" s="18" t="s">
        <v>93</v>
      </c>
      <c r="Q325" s="18"/>
      <c r="R325" s="18"/>
    </row>
    <row r="326" customFormat="false" ht="22.35" hidden="false" customHeight="false" outlineLevel="0" collapsed="false">
      <c r="A326" s="16" t="s">
        <v>1771</v>
      </c>
      <c r="B326" s="16" t="s">
        <v>50</v>
      </c>
      <c r="C326" s="16" t="s">
        <v>1743</v>
      </c>
      <c r="D326" s="16" t="s">
        <v>1750</v>
      </c>
      <c r="E326" s="16" t="s">
        <v>1772</v>
      </c>
      <c r="F326" s="16" t="s">
        <v>1746</v>
      </c>
      <c r="G326" s="16" t="s">
        <v>1773</v>
      </c>
      <c r="H326" s="16" t="s">
        <v>56</v>
      </c>
      <c r="I326" s="16" t="s">
        <v>32</v>
      </c>
      <c r="J326" s="16" t="s">
        <v>1467</v>
      </c>
      <c r="K326" s="16" t="s">
        <v>354</v>
      </c>
      <c r="L326" s="16" t="s">
        <v>1774</v>
      </c>
      <c r="M326" s="16" t="s">
        <v>100</v>
      </c>
      <c r="N326" s="16" t="s">
        <v>1775</v>
      </c>
      <c r="O326" s="17" t="s">
        <v>92</v>
      </c>
      <c r="P326" s="18" t="s">
        <v>93</v>
      </c>
      <c r="Q326" s="18"/>
      <c r="R326" s="18"/>
    </row>
  </sheetData>
  <autoFilter ref="A1:R326"/>
  <conditionalFormatting sqref="I2:I326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dataValidations count="2">
    <dataValidation allowBlank="true" errorStyle="stop" operator="between" showDropDown="false" showErrorMessage="false" showInputMessage="false" sqref="P2:P326" type="list">
      <formula1>"Not started,In progress,Implemented,Partially implemented,Not applicable,Risk accepted"</formula1>
      <formula2>0</formula2>
    </dataValidation>
    <dataValidation allowBlank="false" errorStyle="stop" operator="between" showDropDown="false" showErrorMessage="false" showInputMessage="false" sqref="I2:I326" type="list">
      <formula1>"Critical,High,Medium,Low"</formula1>
      <formula2>0</formula2>
    </dataValidation>
  </dataValidations>
  <hyperlinks>
    <hyperlink ref="O2" r:id="rId1" location="req-manage-key-security" display="Open spec"/>
    <hyperlink ref="O3" r:id="rId2" location="req-implement-basic-security" display="Open spec"/>
    <hyperlink ref="O4" r:id="rId3" location="req-document-protocol-analysis" display="Open spec"/>
    <hyperlink ref="O5" r:id="rId4" location="req-monitor-protocol-changes" display="Open spec"/>
    <hyperlink ref="O6" r:id="rId5" location="req-document-supply-chains" display="Open spec"/>
    <hyperlink ref="O7" r:id="rId6" location="req-use-official-software" display="Open spec"/>
    <hyperlink ref="O8" r:id="rId7" location="req-document-protocol-software-security" display="Open spec"/>
    <hyperlink ref="O9" r:id="rId8" location="req-document-protocol-responsibilities" display="Open spec"/>
    <hyperlink ref="O10" r:id="rId9" location="req-document-protocol-operation" display="Open spec"/>
    <hyperlink ref="O11" r:id="rId10" location="req-use-testnet" display="Open spec"/>
    <hyperlink ref="O12" r:id="rId11" location="req-follow-relevant-regulation" display="Open spec"/>
    <hyperlink ref="O13" r:id="rId12" location="req-document-protocol-crypto" display="Open spec"/>
    <hyperlink ref="O14" r:id="rId13" location="req-evaluate-protocol-pqc-plan" display="Open spec"/>
    <hyperlink ref="O15" r:id="rId14" location="req-follow-protocol-conventions" display="Open spec"/>
    <hyperlink ref="O16" r:id="rId15" location="req-follow-protocol-consensus" display="Open spec"/>
    <hyperlink ref="O17" r:id="rId16" location="req-follow-protocol-consensus" display="Open spec"/>
    <hyperlink ref="O18" r:id="rId17" location="req-follow-reward-conventions" display="Open spec"/>
    <hyperlink ref="O19" r:id="rId18" location="req-log-rewards" display="Open spec"/>
    <hyperlink ref="O20" r:id="rId19" location="req-document-doublesign-controls" display="Open spec"/>
    <hyperlink ref="O21" r:id="rId20" location="req-document-anti-slashing-controls" display="Open spec"/>
    <hyperlink ref="O22" r:id="rId21" location="req-maintain-boot-peers" display="Open spec"/>
    <hyperlink ref="O23" r:id="rId22" location="req-configure-discovery" display="Open spec"/>
    <hyperlink ref="O24" r:id="rId23" location="req-verify-discovery-configuration" display="Open spec"/>
    <hyperlink ref="O25" r:id="rId24" location="req-limit-consensus-power" display="Open spec"/>
    <hyperlink ref="O26" r:id="rId25" location="req-use-multiple-clients" display="Open spec"/>
    <hyperlink ref="O27" r:id="rId26" location="req-no-client-supermajority" display="Open spec"/>
    <hyperlink ref="O28" r:id="rId27" location="req-document-failover" display="Open spec"/>
    <hyperlink ref="O29" r:id="rId28" location="req-document-uptime" display="Open spec"/>
    <hyperlink ref="O30" r:id="rId29" location="req-document-fault-tolerance" display="Open spec"/>
    <hyperlink ref="O31" r:id="rId30" location="req-distribute-nodes" display="Open spec"/>
    <hyperlink ref="O32" r:id="rId31" location="req-document-recovery" display="Open spec"/>
    <hyperlink ref="O33" r:id="rId32" location="req-document-procedural-deviation" display="Open spec"/>
    <hyperlink ref="O34" r:id="rId33" location="req-document-crypto-migration" display="Open spec"/>
    <hyperlink ref="O35" r:id="rId34" location="req-prepare-crypto-migration" display="Open spec"/>
    <hyperlink ref="O36" r:id="rId35" location="req-provision-nodes" display="Open spec"/>
    <hyperlink ref="O37" r:id="rId36" location="req-resilient-nodes" display="Open spec"/>
    <hyperlink ref="O38" r:id="rId37" location="req-use-remote-signers" display="Open spec"/>
    <hyperlink ref="O39" r:id="rId38" location="req-remote-signer-alternatives" display="Open spec"/>
    <hyperlink ref="O40" r:id="rId39" location="req-secure-node-communication" display="Open spec"/>
    <hyperlink ref="O41" r:id="rId40" location="req-document-plaintext-communication" display="Open spec"/>
    <hyperlink ref="O42" r:id="rId41" location="req-restrict-control-access" display="Open spec"/>
    <hyperlink ref="O43" r:id="rId42" location="req-minimize-network-exposure" display="Open spec"/>
    <hyperlink ref="O44" r:id="rId43" location="req-retain-logs" display="Open spec"/>
    <hyperlink ref="O45" r:id="rId44" location="req-aggregate-logs" display="Open spec"/>
    <hyperlink ref="O46" r:id="rId45" location="req-dont-log-pii" display="Open spec"/>
    <hyperlink ref="O47" r:id="rId46" location="req-restrict-log-access" display="Open spec"/>
    <hyperlink ref="O48" r:id="rId47" location="req-log-access" display="Open spec"/>
    <hyperlink ref="O49" r:id="rId48" location="req-document-irp" display="Open spec"/>
    <hyperlink ref="O50" r:id="rId49" location="req-follow-irp" display="Open spec"/>
    <hyperlink ref="O51" r:id="rId50" location="req-document-insurance" display="Open spec"/>
    <hyperlink ref="O52" r:id="rId51" location="req-deliver-exit-transactions-securely" display="Open spec"/>
    <hyperlink ref="O53" r:id="rId52" location="req-document-exit-procedures" display="Open spec"/>
    <hyperlink ref="O54" r:id="rId53" location="req-communicate-securely" display="Open spec"/>
    <hyperlink ref="O55" r:id="rId54" location="req-document-governance-positions" display="Open spec"/>
    <hyperlink ref="O56" r:id="rId55" location="sec-general-information" display="Open spec"/>
    <hyperlink ref="O57" r:id="rId56" location="sec-general-information" display="Open spec"/>
    <hyperlink ref="O58" r:id="rId57" location="sec-general-information" display="Open spec"/>
    <hyperlink ref="O59" r:id="rId58" location="sec-general-information" display="Open spec"/>
    <hyperlink ref="O60" r:id="rId59" location="sec-general-information" display="Open spec"/>
    <hyperlink ref="O61" r:id="rId60" location="sec-general-information" display="Open spec"/>
    <hyperlink ref="O62" r:id="rId61" location="sec-general-information" display="Open spec"/>
    <hyperlink ref="O63" r:id="rId62" location="sec-general-information" display="Open spec"/>
    <hyperlink ref="O64" r:id="rId63" location="sec-general-information" display="Open spec"/>
    <hyperlink ref="O65" r:id="rId64" location="sec-general-information" display="Open spec"/>
    <hyperlink ref="O66" r:id="rId65" location="sec-general-information" display="Open spec"/>
    <hyperlink ref="O67" r:id="rId66" location="sec-general-information" display="Open spec"/>
    <hyperlink ref="O68" r:id="rId67" location="sec-governance" display="Open spec"/>
    <hyperlink ref="O69" r:id="rId68" location="sec-governance" display="Open spec"/>
    <hyperlink ref="O70" r:id="rId69" location="sec-governance" display="Open spec"/>
    <hyperlink ref="O71" r:id="rId70" location="sec-governance" display="Open spec"/>
    <hyperlink ref="O72" r:id="rId71" location="sec-governance" display="Open spec"/>
    <hyperlink ref="O73" r:id="rId72" location="sec-upgradability" display="Open spec"/>
    <hyperlink ref="O74" r:id="rId73" location="sec-upgradability" display="Open spec"/>
    <hyperlink ref="O75" r:id="rId74" location="sec-upgradability" display="Open spec"/>
    <hyperlink ref="O76" r:id="rId75" location="sec-upgradability" display="Open spec"/>
    <hyperlink ref="O77" r:id="rId76" location="sec-upgradability" display="Open spec"/>
    <hyperlink ref="O78" r:id="rId77" location="sec-upgradability" display="Open spec"/>
    <hyperlink ref="O79" r:id="rId78" location="sec-upgradability" display="Open spec"/>
    <hyperlink ref="O80" r:id="rId79" location="sec-upgradability" display="Open spec"/>
    <hyperlink ref="O81" r:id="rId80" location="sec-upgradability" display="Open spec"/>
    <hyperlink ref="O82" r:id="rId81" location="sec-security-posture" display="Open spec"/>
    <hyperlink ref="O83" r:id="rId82" location="sec-security-posture" display="Open spec"/>
    <hyperlink ref="O84" r:id="rId83" location="sec-security-posture" display="Open spec"/>
    <hyperlink ref="O85" r:id="rId84" location="sec-security-posture" display="Open spec"/>
    <hyperlink ref="O86" r:id="rId85" location="sec-security-posture" display="Open spec"/>
    <hyperlink ref="O87" r:id="rId86" location="sec-token-behaviors" display="Open spec"/>
    <hyperlink ref="O88" r:id="rId87" location="req-balance-changes-create-transfer-events" display="Open spec"/>
    <hyperlink ref="O89" r:id="rId88" location="sec-token-behaviors" display="Open spec"/>
    <hyperlink ref="O90" r:id="rId89" location="sec-token-behaviors" display="Open spec"/>
    <hyperlink ref="O91" r:id="rId90" location="sec-token-behaviors" display="Open spec"/>
    <hyperlink ref="O92" r:id="rId91" location="sec-token-behaviors" display="Open spec"/>
    <hyperlink ref="O93" r:id="rId92" location="sec-token-behaviors" display="Open spec"/>
    <hyperlink ref="O94" r:id="rId93" location="sec-token-behaviors" display="Open spec"/>
    <hyperlink ref="O95" r:id="rId94" location="sec-token-behaviors" display="Open spec"/>
    <hyperlink ref="O96" r:id="rId95" location="sec-token-behaviors" display="Open spec"/>
    <hyperlink ref="O97" r:id="rId96" location="sec-token-behaviors" display="Open spec"/>
    <hyperlink ref="O98" r:id="rId97" location="sec-token-behaviors" display="Open spec"/>
    <hyperlink ref="O99" r:id="rId98" location="sec-token-behaviors" display="Open spec"/>
    <hyperlink ref="O100" r:id="rId99" location="sec-token-behaviors" display="Open spec"/>
    <hyperlink ref="O101" r:id="rId100" location="sec-token-behaviors" display="Open spec"/>
    <hyperlink ref="O102" r:id="rId101" location="sec-token-behaviors" display="Open spec"/>
    <hyperlink ref="O103" r:id="rId102" location="sec-token-behaviors" display="Open spec"/>
    <hyperlink ref="O104" r:id="rId103" location="sec-token-behaviors" display="Open spec"/>
    <hyperlink ref="O105" r:id="rId104" location="sec-token-behaviors" display="Open spec"/>
    <hyperlink ref="O106" r:id="rId105" display="Open spec"/>
    <hyperlink ref="O107" r:id="rId106" display="Open spec"/>
    <hyperlink ref="O108" r:id="rId107" display="Open spec"/>
    <hyperlink ref="O109" r:id="rId108" display="Open spec"/>
    <hyperlink ref="O110" r:id="rId109" display="Open spec"/>
    <hyperlink ref="O111" r:id="rId110" display="Open spec"/>
    <hyperlink ref="O112" r:id="rId111" display="Open spec"/>
    <hyperlink ref="O113" r:id="rId112" display="Open spec"/>
    <hyperlink ref="O114" r:id="rId113" display="Open spec"/>
    <hyperlink ref="O115" r:id="rId114" display="Open spec"/>
    <hyperlink ref="O116" r:id="rId115" display="Open spec"/>
    <hyperlink ref="O117" r:id="rId116" display="Open spec"/>
    <hyperlink ref="O118" r:id="rId117" display="Open spec"/>
    <hyperlink ref="O119" r:id="rId118" display="Open spec"/>
    <hyperlink ref="O120" r:id="rId119" display="Open spec"/>
    <hyperlink ref="O121" r:id="rId120" display="Open spec"/>
    <hyperlink ref="O122" r:id="rId121" display="Open spec"/>
    <hyperlink ref="O123" r:id="rId122" display="Open spec"/>
    <hyperlink ref="O124" r:id="rId123" display="Open spec"/>
    <hyperlink ref="O125" r:id="rId124" display="Open spec"/>
    <hyperlink ref="O126" r:id="rId125" display="Open spec"/>
    <hyperlink ref="O127" r:id="rId126" display="Open spec"/>
    <hyperlink ref="O128" r:id="rId127" display="Open spec"/>
    <hyperlink ref="O129" r:id="rId128" display="Open spec"/>
    <hyperlink ref="O130" r:id="rId129" display="Open spec"/>
    <hyperlink ref="O131" r:id="rId130" display="Open spec"/>
    <hyperlink ref="O132" r:id="rId131" display="Open spec"/>
    <hyperlink ref="O133" r:id="rId132" display="Open spec"/>
    <hyperlink ref="O134" r:id="rId133" display="Open spec"/>
    <hyperlink ref="O135" r:id="rId134" display="Open spec"/>
    <hyperlink ref="O136" r:id="rId135" display="Open spec"/>
    <hyperlink ref="O137" r:id="rId136" display="Open spec"/>
    <hyperlink ref="O138" r:id="rId137" display="Open spec"/>
    <hyperlink ref="O139" r:id="rId138" display="Open spec"/>
    <hyperlink ref="O140" r:id="rId139" display="Open spec"/>
    <hyperlink ref="O141" r:id="rId140" display="Open spec"/>
    <hyperlink ref="O142" r:id="rId141" display="Open spec"/>
    <hyperlink ref="O143" r:id="rId142" display="Open spec"/>
    <hyperlink ref="O144" r:id="rId143" display="Open spec"/>
    <hyperlink ref="O145" r:id="rId144" display="Open spec"/>
    <hyperlink ref="O146" r:id="rId145" display="Open spec"/>
    <hyperlink ref="O147" r:id="rId146" display="Open spec"/>
    <hyperlink ref="O148" r:id="rId147" display="Open spec"/>
    <hyperlink ref="O149" r:id="rId148" display="Open spec"/>
    <hyperlink ref="O150" r:id="rId149" display="Open spec"/>
    <hyperlink ref="O151" r:id="rId150" display="Open spec"/>
    <hyperlink ref="O152" r:id="rId151" display="Open spec"/>
    <hyperlink ref="O153" r:id="rId152" display="Open spec"/>
    <hyperlink ref="O154" r:id="rId153" display="Open spec"/>
    <hyperlink ref="O155" r:id="rId154" display="Open spec"/>
    <hyperlink ref="O156" r:id="rId155" display="Open spec"/>
    <hyperlink ref="O157" r:id="rId156" display="Open spec"/>
    <hyperlink ref="O158" r:id="rId157" display="Open spec"/>
    <hyperlink ref="O159" r:id="rId158" display="Open spec"/>
    <hyperlink ref="O160" r:id="rId159" display="Open spec"/>
    <hyperlink ref="O161" r:id="rId160" display="Open spec"/>
    <hyperlink ref="O162" r:id="rId161" display="Open spec"/>
    <hyperlink ref="O163" r:id="rId162" display="Open spec"/>
    <hyperlink ref="O164" r:id="rId163" display="Open spec"/>
    <hyperlink ref="O165" r:id="rId164" display="Open spec"/>
    <hyperlink ref="O166" r:id="rId165" display="Open spec"/>
    <hyperlink ref="O167" r:id="rId166" display="Open spec"/>
    <hyperlink ref="O168" r:id="rId167" display="Open spec"/>
    <hyperlink ref="O169" r:id="rId168" display="Open spec"/>
    <hyperlink ref="O170" r:id="rId169" display="Open spec"/>
    <hyperlink ref="O171" r:id="rId170" display="Open spec"/>
    <hyperlink ref="O172" r:id="rId171" display="Open spec"/>
    <hyperlink ref="O173" r:id="rId172" display="Open spec"/>
    <hyperlink ref="O174" r:id="rId173" display="Open spec"/>
    <hyperlink ref="O175" r:id="rId174" display="Open spec"/>
    <hyperlink ref="O176" r:id="rId175" display="Open spec"/>
    <hyperlink ref="O177" r:id="rId176" display="Open spec"/>
    <hyperlink ref="O178" r:id="rId177" display="Open spec"/>
    <hyperlink ref="O179" r:id="rId178" display="Open spec"/>
    <hyperlink ref="O180" r:id="rId179" display="Open spec"/>
    <hyperlink ref="O181" r:id="rId180" display="Open spec"/>
    <hyperlink ref="O182" r:id="rId181" display="Open spec"/>
    <hyperlink ref="O183" r:id="rId182" display="Open spec"/>
    <hyperlink ref="O184" r:id="rId183" display="Open spec"/>
    <hyperlink ref="O185" r:id="rId184" display="Open spec"/>
    <hyperlink ref="O186" r:id="rId185" display="Open spec"/>
    <hyperlink ref="O187" r:id="rId186" display="Open spec"/>
    <hyperlink ref="O188" r:id="rId187" display="Open spec"/>
    <hyperlink ref="O189" r:id="rId188" display="Open spec"/>
    <hyperlink ref="O190" r:id="rId189" display="Open spec"/>
    <hyperlink ref="O191" r:id="rId190" display="Open spec"/>
    <hyperlink ref="O192" r:id="rId191" display="Open spec"/>
    <hyperlink ref="O193" r:id="rId192" display="Open spec"/>
    <hyperlink ref="O194" r:id="rId193" display="Open spec"/>
    <hyperlink ref="O195" r:id="rId194" display="Open spec"/>
    <hyperlink ref="O196" r:id="rId195" display="Open spec"/>
    <hyperlink ref="O197" r:id="rId196" display="Open spec"/>
    <hyperlink ref="O198" r:id="rId197" display="Open spec"/>
    <hyperlink ref="O199" r:id="rId198" display="Open spec"/>
    <hyperlink ref="O200" r:id="rId199" display="Open spec"/>
    <hyperlink ref="O201" r:id="rId200" display="Open spec"/>
    <hyperlink ref="O202" r:id="rId201" location="req-use-clear-names" display="Open spec"/>
    <hyperlink ref="O203" r:id="rId202" location="req-use-glossary" display="Open spec"/>
    <hyperlink ref="O204" r:id="rId203" location="req-use-language-styleguide" display="Open spec"/>
    <hyperlink ref="O205" r:id="rId204" location="req-use-styleguide" display="Open spec"/>
    <hyperlink ref="O206" r:id="rId205" location="req-use-modular-code" display="Open spec"/>
    <hyperlink ref="O207" r:id="rId206" location="req-use-concise-methods" display="Open spec"/>
    <hyperlink ref="O208" r:id="rId207" location="req-document-dependencies" display="Open spec"/>
    <hyperlink ref="O209" r:id="rId208" location="req-use-open-source" display="Open spec"/>
    <hyperlink ref="O210" r:id="rId209" location="req-use-consistent-steps" display="Open spec"/>
    <hyperlink ref="O211" r:id="rId210" location="req-document-external-dependencies" display="Open spec"/>
    <hyperlink ref="O212" r:id="rId211" location="req-manage-dependencies-externally" display="Open spec"/>
    <hyperlink ref="O213" r:id="rId212" location="req-use-oracles-carefully" display="Open spec"/>
    <hyperlink ref="O214" r:id="rId213" location="req-use-version-control" display="Open spec"/>
    <hyperlink ref="O215" r:id="rId214" location="req-make-atomic-commits" display="Open spec"/>
    <hyperlink ref="O216" r:id="rId215" location="req-tag-releases" display="Open spec"/>
    <hyperlink ref="O217" r:id="rId216" location="req-tag-verifiable-source" display="Open spec"/>
    <hyperlink ref="O218" r:id="rId217" location="req-log-automation" display="Open spec"/>
    <hyperlink ref="O219" r:id="rId218" location="req-document-public-api" display="Open spec"/>
    <hyperlink ref="O220" r:id="rId219" location="req-document-sensitive-functions" display="Open spec"/>
    <hyperlink ref="O221" r:id="rId220" location="req-explain-functions-inline" display="Open spec"/>
    <hyperlink ref="O222" r:id="rId221" location="req-document-cryptography" display="Open spec"/>
    <hyperlink ref="O223" r:id="rId222" location="req-allow-cryptography-upgrades" display="Open spec"/>
    <hyperlink ref="O224" r:id="rId223" location="req-assess-cryptography-risk" display="Open spec"/>
    <hyperlink ref="O225" r:id="rId224" location="req-provide-tests" display="Open spec"/>
    <hyperlink ref="O226" r:id="rId225" location="req-independent-tests" display="Open spec"/>
    <hyperlink ref="O227" r:id="rId226" location="req-define-invariants" display="Open spec"/>
    <hyperlink ref="O228" r:id="rId227" location="req-updated-test-suite" display="Open spec"/>
    <hyperlink ref="O229" r:id="rId228" location="req-test-edge-cases" display="Open spec"/>
    <hyperlink ref="O230" r:id="rId229" location="req-run-tests-locally" display="Open spec"/>
    <hyperlink ref="O231" r:id="rId230" location="req-use-test-helpers" display="Open spec"/>
    <hyperlink ref="O232" r:id="rId231" location="req-use-testing-standards" display="Open spec"/>
    <hyperlink ref="O233" r:id="rId232" location="req-security-audit" display="Open spec"/>
    <hyperlink ref="O234" r:id="rId233" location="req-independent-auditors" display="Open spec"/>
    <hyperlink ref="O235" r:id="rId234" location="req-scope-audit-sufficiently" display="Open spec"/>
    <hyperlink ref="O236" r:id="rId235" location="req-publish-code-audits" display="Open spec"/>
    <hyperlink ref="O237" r:id="rId236" location="req-reaudit-changes" display="Open spec"/>
    <hyperlink ref="O238" r:id="rId237" location="req-use-testnets" display="Open spec"/>
    <hyperlink ref="O239" r:id="rId238" location="req-document-networks" display="Open spec"/>
    <hyperlink ref="O240" r:id="rId239" location="req-deterministic-compilation" display="Open spec"/>
    <hyperlink ref="O241" r:id="rId240" location="req-provide-compilation-metadata" display="Open spec"/>
    <hyperlink ref="O242" r:id="rId241" location="req-pub-verification" display="Open spec"/>
    <hyperlink ref="O243" r:id="rId242" location="req-publish-source" display="Open spec"/>
    <hyperlink ref="O244" r:id="rId243" location="req-document-overall-system" display="Open spec"/>
    <hyperlink ref="O245" r:id="rId244" location="req-identify-contracts-used" display="Open spec"/>
    <hyperlink ref="O246" r:id="rId245" location="req-identify-security-contact" display="Open spec"/>
    <hyperlink ref="O247" r:id="rId246" location="req-document-security-contact" display="Open spec"/>
    <hyperlink ref="O248" r:id="rId247" location="req-24-7-security-response" display="Open spec"/>
    <hyperlink ref="O249" r:id="rId248" location="req-assess-risk-regularly" display="Open spec"/>
    <hyperlink ref="O250" r:id="rId249" location="req-use-monitoring" display="Open spec"/>
    <hyperlink ref="O251" r:id="rId250" location="req-monitoring-triggers-response" display="Open spec"/>
    <hyperlink ref="O252" r:id="rId251" location="req-use-transaction-screening" display="Open spec"/>
    <hyperlink ref="O253" r:id="rId252" location="req-update-security-process" display="Open spec"/>
    <hyperlink ref="O254" r:id="rId253" location="req-vulnerability-disclosure" display="Open spec"/>
    <hyperlink ref="O255" r:id="rId254" location="req-bug-bounty" display="Open spec"/>
    <hyperlink ref="O256" r:id="rId255" location="req-plan-incident-response" display="Open spec"/>
    <hyperlink ref="O257" r:id="rId256" location="req-maintain-incident-response" display="Open spec"/>
    <hyperlink ref="O258" r:id="rId257" location="req-document-governance" display="Open spec"/>
    <hyperlink ref="O259" r:id="rId258" location="req-update-documentation" display="Open spec"/>
    <hyperlink ref="O260" r:id="rId259" location="req-identify-governance-participants" display="Open spec"/>
    <hyperlink ref="O261" r:id="rId260" location="req-use-safeguards" display="Open spec"/>
    <hyperlink ref="O262" r:id="rId261" location="req-document-upgradability" display="Open spec"/>
    <hyperlink ref="O263" r:id="rId262" location="req-document-upgradable-components" display="Open spec"/>
    <hyperlink ref="O264" r:id="rId263" location="req-document-upgrade-safeguards" display="Open spec"/>
    <hyperlink ref="O265" r:id="rId264" location="req-document-upgrade-logic" display="Open spec"/>
    <hyperlink ref="O266" r:id="rId265" location="req-document-upgrade-process" display="Open spec"/>
    <hyperlink ref="O267" r:id="rId266" location="req-document-upgrade-comms" display="Open spec"/>
    <hyperlink ref="O268" r:id="rId267" location="req-limit-privileged-roles" display="Open spec"/>
    <hyperlink ref="O269" r:id="rId268" location="req-decentralize-privileged-roles" display="Open spec"/>
    <hyperlink ref="O270" r:id="rId269" location="req-secure-privileged-roles" display="Open spec"/>
    <hyperlink ref="O271" r:id="rId270" location="req-treat-blockchain-risk" display="Open spec"/>
    <hyperlink ref="O272" r:id="rId271" location="req-risk-register" display="Open spec"/>
    <hyperlink ref="O273" r:id="rId272" location="req-assign-governance" display="Open spec"/>
    <hyperlink ref="O274" r:id="rId273" location="req-define-data-risk" display="Open spec"/>
    <hyperlink ref="O275" r:id="rId274" location="req-publish-trust-info" display="Open spec"/>
    <hyperlink ref="O276" r:id="rId275" location="req-monitor-regulation" display="Open spec"/>
    <hyperlink ref="O277" r:id="rId276" location="req-manage-vendors" display="Open spec"/>
    <hyperlink ref="O278" r:id="rId277" location="req-monitor-crypto" display="Open spec"/>
    <hyperlink ref="O279" r:id="rId278" location="req-assess-risks" display="Open spec"/>
    <hyperlink ref="O280" r:id="rId279" location="req-document-funds-risks" display="Open spec"/>
    <hyperlink ref="O281" r:id="rId280" location="req-assess-ecosystem-risk" display="Open spec"/>
    <hyperlink ref="O282" r:id="rId281" location="req-monitor-threat-intel" display="Open spec"/>
    <hyperlink ref="O283" r:id="rId282" location="req-hunt-threats" display="Open spec"/>
    <hyperlink ref="O284" r:id="rId283" location="req-share-threat-intel" display="Open spec"/>
    <hyperlink ref="O285" r:id="rId284" location="req-monitor-code" display="Open spec"/>
    <hyperlink ref="O286" r:id="rId285" location="req-analyze-code" display="Open spec"/>
    <hyperlink ref="O287" r:id="rId286" location="req-monitor-dependencies" display="Open spec"/>
    <hyperlink ref="O288" r:id="rId287" location="req-manage-vulnerabilities" display="Open spec"/>
    <hyperlink ref="O289" r:id="rId288" location="req-least-privilege" display="Open spec"/>
    <hyperlink ref="O290" r:id="rId289" location="req-review-access" display="Open spec"/>
    <hyperlink ref="O291" r:id="rId290" location="req-restrict-pii" display="Open spec"/>
    <hyperlink ref="O292" r:id="rId291" location="req-review-individual-access" display="Open spec"/>
    <hyperlink ref="O293" r:id="rId292" location="req-verify-privileged-access" display="Open spec"/>
    <hyperlink ref="O294" r:id="rId293" location="req-background-checks" display="Open spec"/>
    <hyperlink ref="O295" r:id="rId294" location="req-train-everyone" display="Open spec"/>
    <hyperlink ref="O296" r:id="rId295" location="req-security-training" display="Open spec"/>
    <hyperlink ref="O297" r:id="rId296" location="req-prevent-exfiltration" display="Open spec"/>
    <hyperlink ref="O298" r:id="rId297" location="req-protect-customer-data" display="Open spec"/>
    <hyperlink ref="O299" r:id="rId298" location="req-protect-keys" display="Open spec"/>
    <hyperlink ref="O300" r:id="rId299" location="req-use-seecure-comms" display="Open spec"/>
    <hyperlink ref="O301" r:id="rId300" location="req-password-standards" display="Open spec"/>
    <hyperlink ref="O302" r:id="rId301" location="req-secure-software" display="Open spec"/>
    <hyperlink ref="O303" r:id="rId302" location="req-error-handling" display="Open spec"/>
    <hyperlink ref="O304" r:id="rId303" location="req-managed-devices" display="Open spec"/>
    <hyperlink ref="O305" r:id="rId304" location="req-anti-virus" display="Open spec"/>
    <hyperlink ref="O306" r:id="rId305" location="req-event-logs" display="Open spec"/>
    <hyperlink ref="O307" r:id="rId306" location="req-crypto-agility" display="Open spec"/>
    <hyperlink ref="O308" r:id="rId307" location="req-monitor-realtime" display="Open spec"/>
    <hyperlink ref="O309" r:id="rId308" location="req-intrusion-detection" display="Open spec"/>
    <hyperlink ref="O310" r:id="rId309" location="req-review-software" display="Open spec"/>
    <hyperlink ref="O311" r:id="rId310" location="req-test-penetration" display="Open spec"/>
    <hyperlink ref="O312" r:id="rId311" location="req-responsible-reporting" display="Open spec"/>
    <hyperlink ref="O313" r:id="rId312" location="req-process-reports" display="Open spec"/>
    <hyperlink ref="O314" r:id="rId313" location="req-implement-irp" display="Open spec"/>
    <hyperlink ref="O315" r:id="rId314" location="req-maintain-irp" display="Open spec"/>
    <hyperlink ref="O316" r:id="rId315" location="req-analyze-incidents" display="Open spec"/>
    <hyperlink ref="O317" r:id="rId316" location="req-document-continuity-plan" display="Open spec"/>
    <hyperlink ref="O318" r:id="rId317" location="req-document-disaster-recovery" display="Open spec"/>
    <hyperlink ref="O319" r:id="rId318" location="req-test-recovery-plans" display="Open spec"/>
    <hyperlink ref="O320" r:id="rId319" location="req-comply-privacy-regulation" display="Open spec"/>
    <hyperlink ref="O321" r:id="rId320" location="req-manage-pii" display="Open spec"/>
    <hyperlink ref="O322" r:id="rId321" location="req-define-pii-use" display="Open spec"/>
    <hyperlink ref="O323" r:id="rId322" location="req-follow-usage-policy" display="Open spec"/>
    <hyperlink ref="O324" r:id="rId323" location="req-renew-consent" display="Open spec"/>
    <hyperlink ref="O325" r:id="rId324" location="req-pii-use-transparency" display="Open spec"/>
    <hyperlink ref="O326" r:id="rId325" location="req-minimize-pii-stored" display="Open sp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4" min="14" style="0" width="44"/>
    <col collapsed="false" customWidth="true" hidden="fals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24"/>
  </cols>
  <sheetData>
    <row r="1" customFormat="false" ht="31.5" hidden="false" customHeight="true" outlineLevel="0" collapsed="false">
      <c r="A1" s="8" t="s">
        <v>64</v>
      </c>
      <c r="B1" s="8" t="s">
        <v>28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</row>
    <row r="2" customFormat="false" ht="32.8" hidden="false" customHeight="false" outlineLevel="0" collapsed="false">
      <c r="A2" s="16" t="s">
        <v>81</v>
      </c>
      <c r="B2" s="16" t="s">
        <v>39</v>
      </c>
      <c r="C2" s="16" t="s">
        <v>82</v>
      </c>
      <c r="D2" s="16" t="s">
        <v>83</v>
      </c>
      <c r="E2" s="16" t="s">
        <v>84</v>
      </c>
      <c r="F2" s="16" t="s">
        <v>85</v>
      </c>
      <c r="G2" s="16" t="s">
        <v>86</v>
      </c>
      <c r="H2" s="16" t="s">
        <v>54</v>
      </c>
      <c r="I2" s="16" t="s">
        <v>31</v>
      </c>
      <c r="J2" s="16" t="s">
        <v>87</v>
      </c>
      <c r="K2" s="16" t="s">
        <v>88</v>
      </c>
      <c r="L2" s="16" t="s">
        <v>89</v>
      </c>
      <c r="M2" s="16" t="s">
        <v>90</v>
      </c>
      <c r="N2" s="16" t="s">
        <v>91</v>
      </c>
      <c r="O2" s="17" t="s">
        <v>92</v>
      </c>
      <c r="P2" s="18" t="s">
        <v>93</v>
      </c>
      <c r="Q2" s="18"/>
      <c r="R2" s="18"/>
    </row>
    <row r="3" customFormat="false" ht="22.35" hidden="false" customHeight="false" outlineLevel="0" collapsed="false">
      <c r="A3" s="16" t="s">
        <v>94</v>
      </c>
      <c r="B3" s="16" t="s">
        <v>39</v>
      </c>
      <c r="C3" s="16" t="s">
        <v>82</v>
      </c>
      <c r="D3" s="16" t="s">
        <v>95</v>
      </c>
      <c r="E3" s="16" t="s">
        <v>96</v>
      </c>
      <c r="F3" s="16" t="s">
        <v>85</v>
      </c>
      <c r="G3" s="16" t="s">
        <v>97</v>
      </c>
      <c r="H3" s="16" t="s">
        <v>54</v>
      </c>
      <c r="I3" s="16" t="s">
        <v>32</v>
      </c>
      <c r="J3" s="16" t="s">
        <v>87</v>
      </c>
      <c r="K3" s="16" t="s">
        <v>98</v>
      </c>
      <c r="L3" s="16" t="s">
        <v>99</v>
      </c>
      <c r="M3" s="16" t="s">
        <v>100</v>
      </c>
      <c r="N3" s="16" t="s">
        <v>101</v>
      </c>
      <c r="O3" s="17" t="s">
        <v>92</v>
      </c>
      <c r="P3" s="18" t="s">
        <v>93</v>
      </c>
      <c r="Q3" s="18"/>
      <c r="R3" s="18"/>
    </row>
    <row r="4" customFormat="false" ht="22.35" hidden="false" customHeight="false" outlineLevel="0" collapsed="false">
      <c r="A4" s="16" t="s">
        <v>102</v>
      </c>
      <c r="B4" s="16" t="s">
        <v>39</v>
      </c>
      <c r="C4" s="16" t="s">
        <v>103</v>
      </c>
      <c r="D4" s="16" t="s">
        <v>104</v>
      </c>
      <c r="E4" s="16" t="s">
        <v>105</v>
      </c>
      <c r="F4" s="16" t="s">
        <v>106</v>
      </c>
      <c r="G4" s="16" t="s">
        <v>107</v>
      </c>
      <c r="H4" s="16" t="s">
        <v>54</v>
      </c>
      <c r="I4" s="16" t="s">
        <v>32</v>
      </c>
      <c r="J4" s="16" t="s">
        <v>87</v>
      </c>
      <c r="K4" s="16" t="s">
        <v>108</v>
      </c>
      <c r="L4" s="16" t="s">
        <v>109</v>
      </c>
      <c r="M4" s="16" t="s">
        <v>100</v>
      </c>
      <c r="N4" s="16" t="s">
        <v>110</v>
      </c>
      <c r="O4" s="17" t="s">
        <v>92</v>
      </c>
      <c r="P4" s="18" t="s">
        <v>93</v>
      </c>
      <c r="Q4" s="18"/>
      <c r="R4" s="18"/>
    </row>
    <row r="5" customFormat="false" ht="32.8" hidden="false" customHeight="false" outlineLevel="0" collapsed="false">
      <c r="A5" s="16" t="s">
        <v>111</v>
      </c>
      <c r="B5" s="16" t="s">
        <v>39</v>
      </c>
      <c r="C5" s="16" t="s">
        <v>103</v>
      </c>
      <c r="D5" s="16" t="s">
        <v>104</v>
      </c>
      <c r="E5" s="16" t="s">
        <v>112</v>
      </c>
      <c r="F5" s="16" t="s">
        <v>106</v>
      </c>
      <c r="G5" s="16" t="s">
        <v>113</v>
      </c>
      <c r="H5" s="16" t="s">
        <v>54</v>
      </c>
      <c r="I5" s="16" t="s">
        <v>32</v>
      </c>
      <c r="J5" s="16" t="s">
        <v>87</v>
      </c>
      <c r="K5" s="16" t="s">
        <v>114</v>
      </c>
      <c r="L5" s="16" t="s">
        <v>115</v>
      </c>
      <c r="M5" s="16" t="s">
        <v>100</v>
      </c>
      <c r="N5" s="16" t="s">
        <v>116</v>
      </c>
      <c r="O5" s="17" t="s">
        <v>92</v>
      </c>
      <c r="P5" s="18" t="s">
        <v>93</v>
      </c>
      <c r="Q5" s="18"/>
      <c r="R5" s="18"/>
    </row>
    <row r="6" customFormat="false" ht="22.35" hidden="false" customHeight="false" outlineLevel="0" collapsed="false">
      <c r="A6" s="16" t="s">
        <v>117</v>
      </c>
      <c r="B6" s="16" t="s">
        <v>39</v>
      </c>
      <c r="C6" s="16" t="s">
        <v>103</v>
      </c>
      <c r="D6" s="16" t="s">
        <v>118</v>
      </c>
      <c r="E6" s="16" t="s">
        <v>119</v>
      </c>
      <c r="F6" s="16" t="s">
        <v>106</v>
      </c>
      <c r="G6" s="16" t="s">
        <v>120</v>
      </c>
      <c r="H6" s="16" t="s">
        <v>54</v>
      </c>
      <c r="I6" s="16" t="s">
        <v>32</v>
      </c>
      <c r="J6" s="16" t="s">
        <v>87</v>
      </c>
      <c r="K6" s="16" t="s">
        <v>121</v>
      </c>
      <c r="L6" s="16" t="s">
        <v>122</v>
      </c>
      <c r="M6" s="16" t="s">
        <v>100</v>
      </c>
      <c r="N6" s="16" t="s">
        <v>123</v>
      </c>
      <c r="O6" s="17" t="s">
        <v>92</v>
      </c>
      <c r="P6" s="18" t="s">
        <v>93</v>
      </c>
      <c r="Q6" s="18"/>
      <c r="R6" s="18"/>
    </row>
    <row r="7" customFormat="false" ht="22.35" hidden="false" customHeight="false" outlineLevel="0" collapsed="false">
      <c r="A7" s="16" t="s">
        <v>124</v>
      </c>
      <c r="B7" s="16" t="s">
        <v>39</v>
      </c>
      <c r="C7" s="16" t="s">
        <v>103</v>
      </c>
      <c r="D7" s="16" t="s">
        <v>118</v>
      </c>
      <c r="E7" s="16" t="s">
        <v>125</v>
      </c>
      <c r="F7" s="16" t="s">
        <v>106</v>
      </c>
      <c r="G7" s="16" t="s">
        <v>126</v>
      </c>
      <c r="H7" s="16" t="s">
        <v>54</v>
      </c>
      <c r="I7" s="16" t="s">
        <v>31</v>
      </c>
      <c r="J7" s="16" t="s">
        <v>87</v>
      </c>
      <c r="K7" s="16" t="s">
        <v>127</v>
      </c>
      <c r="L7" s="16" t="s">
        <v>128</v>
      </c>
      <c r="M7" s="16" t="s">
        <v>100</v>
      </c>
      <c r="N7" s="16" t="s">
        <v>129</v>
      </c>
      <c r="O7" s="17" t="s">
        <v>92</v>
      </c>
      <c r="P7" s="18" t="s">
        <v>93</v>
      </c>
      <c r="Q7" s="18"/>
      <c r="R7" s="18"/>
    </row>
    <row r="8" customFormat="false" ht="22.35" hidden="false" customHeight="false" outlineLevel="0" collapsed="false">
      <c r="A8" s="16" t="s">
        <v>130</v>
      </c>
      <c r="B8" s="16" t="s">
        <v>39</v>
      </c>
      <c r="C8" s="16" t="s">
        <v>103</v>
      </c>
      <c r="D8" s="16" t="s">
        <v>118</v>
      </c>
      <c r="E8" s="16" t="s">
        <v>131</v>
      </c>
      <c r="F8" s="16" t="s">
        <v>106</v>
      </c>
      <c r="G8" s="16" t="s">
        <v>132</v>
      </c>
      <c r="H8" s="16" t="s">
        <v>54</v>
      </c>
      <c r="I8" s="16" t="s">
        <v>32</v>
      </c>
      <c r="J8" s="16" t="s">
        <v>87</v>
      </c>
      <c r="K8" s="16" t="s">
        <v>133</v>
      </c>
      <c r="L8" s="16" t="s">
        <v>134</v>
      </c>
      <c r="M8" s="16" t="s">
        <v>100</v>
      </c>
      <c r="N8" s="16" t="s">
        <v>135</v>
      </c>
      <c r="O8" s="17" t="s">
        <v>92</v>
      </c>
      <c r="P8" s="18" t="s">
        <v>93</v>
      </c>
      <c r="Q8" s="18"/>
      <c r="R8" s="18"/>
    </row>
    <row r="9" customFormat="false" ht="22.35" hidden="false" customHeight="false" outlineLevel="0" collapsed="false">
      <c r="A9" s="16" t="s">
        <v>136</v>
      </c>
      <c r="B9" s="16" t="s">
        <v>39</v>
      </c>
      <c r="C9" s="16" t="s">
        <v>103</v>
      </c>
      <c r="D9" s="16" t="s">
        <v>137</v>
      </c>
      <c r="E9" s="16" t="s">
        <v>138</v>
      </c>
      <c r="F9" s="16" t="s">
        <v>106</v>
      </c>
      <c r="G9" s="16" t="s">
        <v>139</v>
      </c>
      <c r="H9" s="16" t="s">
        <v>54</v>
      </c>
      <c r="I9" s="16" t="s">
        <v>33</v>
      </c>
      <c r="J9" s="16" t="s">
        <v>87</v>
      </c>
      <c r="K9" s="16" t="s">
        <v>140</v>
      </c>
      <c r="L9" s="16" t="s">
        <v>141</v>
      </c>
      <c r="M9" s="16" t="s">
        <v>100</v>
      </c>
      <c r="N9" s="16" t="s">
        <v>142</v>
      </c>
      <c r="O9" s="17" t="s">
        <v>92</v>
      </c>
      <c r="P9" s="18" t="s">
        <v>93</v>
      </c>
      <c r="Q9" s="18"/>
      <c r="R9" s="18"/>
    </row>
    <row r="10" customFormat="false" ht="22.35" hidden="false" customHeight="false" outlineLevel="0" collapsed="false">
      <c r="A10" s="16" t="s">
        <v>143</v>
      </c>
      <c r="B10" s="16" t="s">
        <v>39</v>
      </c>
      <c r="C10" s="16" t="s">
        <v>103</v>
      </c>
      <c r="D10" s="16" t="s">
        <v>137</v>
      </c>
      <c r="E10" s="16" t="s">
        <v>144</v>
      </c>
      <c r="F10" s="16" t="s">
        <v>106</v>
      </c>
      <c r="G10" s="16" t="s">
        <v>145</v>
      </c>
      <c r="H10" s="16" t="s">
        <v>54</v>
      </c>
      <c r="I10" s="16" t="s">
        <v>32</v>
      </c>
      <c r="J10" s="16" t="s">
        <v>87</v>
      </c>
      <c r="K10" s="16" t="s">
        <v>146</v>
      </c>
      <c r="L10" s="16" t="s">
        <v>147</v>
      </c>
      <c r="M10" s="16" t="s">
        <v>100</v>
      </c>
      <c r="N10" s="16" t="s">
        <v>148</v>
      </c>
      <c r="O10" s="17" t="s">
        <v>92</v>
      </c>
      <c r="P10" s="18" t="s">
        <v>93</v>
      </c>
      <c r="Q10" s="18"/>
      <c r="R10" s="18"/>
    </row>
    <row r="11" customFormat="false" ht="22.35" hidden="false" customHeight="false" outlineLevel="0" collapsed="false">
      <c r="A11" s="16" t="s">
        <v>149</v>
      </c>
      <c r="B11" s="16" t="s">
        <v>39</v>
      </c>
      <c r="C11" s="16" t="s">
        <v>103</v>
      </c>
      <c r="D11" s="16" t="s">
        <v>137</v>
      </c>
      <c r="E11" s="16" t="s">
        <v>150</v>
      </c>
      <c r="F11" s="16" t="s">
        <v>106</v>
      </c>
      <c r="G11" s="16" t="s">
        <v>151</v>
      </c>
      <c r="H11" s="16" t="s">
        <v>54</v>
      </c>
      <c r="I11" s="16" t="s">
        <v>32</v>
      </c>
      <c r="J11" s="16" t="s">
        <v>87</v>
      </c>
      <c r="K11" s="16" t="s">
        <v>152</v>
      </c>
      <c r="L11" s="16" t="s">
        <v>153</v>
      </c>
      <c r="M11" s="16" t="s">
        <v>100</v>
      </c>
      <c r="N11" s="16" t="s">
        <v>154</v>
      </c>
      <c r="O11" s="17" t="s">
        <v>92</v>
      </c>
      <c r="P11" s="18" t="s">
        <v>93</v>
      </c>
      <c r="Q11" s="18"/>
      <c r="R11" s="18"/>
    </row>
    <row r="12" customFormat="false" ht="22.35" hidden="false" customHeight="false" outlineLevel="0" collapsed="false">
      <c r="A12" s="16" t="s">
        <v>155</v>
      </c>
      <c r="B12" s="16" t="s">
        <v>39</v>
      </c>
      <c r="C12" s="16" t="s">
        <v>103</v>
      </c>
      <c r="D12" s="16" t="s">
        <v>156</v>
      </c>
      <c r="E12" s="16" t="s">
        <v>157</v>
      </c>
      <c r="F12" s="16" t="s">
        <v>106</v>
      </c>
      <c r="G12" s="16" t="s">
        <v>158</v>
      </c>
      <c r="H12" s="16" t="s">
        <v>54</v>
      </c>
      <c r="I12" s="16" t="s">
        <v>31</v>
      </c>
      <c r="J12" s="16" t="s">
        <v>87</v>
      </c>
      <c r="K12" s="16" t="s">
        <v>159</v>
      </c>
      <c r="L12" s="16" t="s">
        <v>160</v>
      </c>
      <c r="M12" s="16" t="s">
        <v>100</v>
      </c>
      <c r="N12" s="16" t="s">
        <v>161</v>
      </c>
      <c r="O12" s="17" t="s">
        <v>92</v>
      </c>
      <c r="P12" s="18" t="s">
        <v>93</v>
      </c>
      <c r="Q12" s="18"/>
      <c r="R12" s="18"/>
    </row>
    <row r="13" customFormat="false" ht="22.35" hidden="false" customHeight="false" outlineLevel="0" collapsed="false">
      <c r="A13" s="16" t="s">
        <v>162</v>
      </c>
      <c r="B13" s="16" t="s">
        <v>39</v>
      </c>
      <c r="C13" s="16" t="s">
        <v>103</v>
      </c>
      <c r="D13" s="16" t="s">
        <v>163</v>
      </c>
      <c r="E13" s="16" t="s">
        <v>164</v>
      </c>
      <c r="F13" s="16" t="s">
        <v>106</v>
      </c>
      <c r="G13" s="16" t="s">
        <v>165</v>
      </c>
      <c r="H13" s="16" t="s">
        <v>54</v>
      </c>
      <c r="I13" s="16" t="s">
        <v>33</v>
      </c>
      <c r="J13" s="16" t="s">
        <v>87</v>
      </c>
      <c r="K13" s="16" t="s">
        <v>166</v>
      </c>
      <c r="L13" s="16" t="s">
        <v>89</v>
      </c>
      <c r="M13" s="16" t="s">
        <v>100</v>
      </c>
      <c r="N13" s="16" t="s">
        <v>167</v>
      </c>
      <c r="O13" s="17" t="s">
        <v>92</v>
      </c>
      <c r="P13" s="18" t="s">
        <v>93</v>
      </c>
      <c r="Q13" s="18"/>
      <c r="R13" s="18"/>
    </row>
    <row r="14" customFormat="false" ht="22.35" hidden="false" customHeight="false" outlineLevel="0" collapsed="false">
      <c r="A14" s="16" t="s">
        <v>168</v>
      </c>
      <c r="B14" s="16" t="s">
        <v>39</v>
      </c>
      <c r="C14" s="16" t="s">
        <v>103</v>
      </c>
      <c r="D14" s="16" t="s">
        <v>163</v>
      </c>
      <c r="E14" s="16" t="s">
        <v>169</v>
      </c>
      <c r="F14" s="16" t="s">
        <v>106</v>
      </c>
      <c r="G14" s="16" t="s">
        <v>170</v>
      </c>
      <c r="H14" s="16" t="s">
        <v>56</v>
      </c>
      <c r="I14" s="16" t="s">
        <v>33</v>
      </c>
      <c r="J14" s="16" t="s">
        <v>87</v>
      </c>
      <c r="K14" s="16" t="s">
        <v>171</v>
      </c>
      <c r="L14" s="16" t="s">
        <v>89</v>
      </c>
      <c r="M14" s="16" t="s">
        <v>100</v>
      </c>
      <c r="N14" s="16" t="s">
        <v>172</v>
      </c>
      <c r="O14" s="17" t="s">
        <v>92</v>
      </c>
      <c r="P14" s="18" t="s">
        <v>93</v>
      </c>
      <c r="Q14" s="18"/>
      <c r="R14" s="18"/>
    </row>
    <row r="15" customFormat="false" ht="22.35" hidden="false" customHeight="false" outlineLevel="0" collapsed="false">
      <c r="A15" s="16" t="s">
        <v>173</v>
      </c>
      <c r="B15" s="16" t="s">
        <v>39</v>
      </c>
      <c r="C15" s="16" t="s">
        <v>174</v>
      </c>
      <c r="D15" s="16" t="s">
        <v>175</v>
      </c>
      <c r="E15" s="16" t="s">
        <v>176</v>
      </c>
      <c r="F15" s="16" t="s">
        <v>177</v>
      </c>
      <c r="G15" s="16" t="s">
        <v>178</v>
      </c>
      <c r="H15" s="16" t="s">
        <v>54</v>
      </c>
      <c r="I15" s="16" t="s">
        <v>32</v>
      </c>
      <c r="J15" s="16" t="s">
        <v>87</v>
      </c>
      <c r="K15" s="16" t="s">
        <v>179</v>
      </c>
      <c r="L15" s="16" t="s">
        <v>180</v>
      </c>
      <c r="M15" s="16" t="s">
        <v>100</v>
      </c>
      <c r="N15" s="16" t="s">
        <v>181</v>
      </c>
      <c r="O15" s="17" t="s">
        <v>92</v>
      </c>
      <c r="P15" s="18" t="s">
        <v>93</v>
      </c>
      <c r="Q15" s="18"/>
      <c r="R15" s="18"/>
    </row>
    <row r="16" customFormat="false" ht="22.35" hidden="false" customHeight="false" outlineLevel="0" collapsed="false">
      <c r="A16" s="16" t="s">
        <v>182</v>
      </c>
      <c r="B16" s="16" t="s">
        <v>39</v>
      </c>
      <c r="C16" s="16" t="s">
        <v>174</v>
      </c>
      <c r="D16" s="16" t="s">
        <v>175</v>
      </c>
      <c r="E16" s="16" t="s">
        <v>183</v>
      </c>
      <c r="F16" s="16" t="s">
        <v>177</v>
      </c>
      <c r="G16" s="16" t="s">
        <v>184</v>
      </c>
      <c r="H16" s="16" t="s">
        <v>54</v>
      </c>
      <c r="I16" s="16" t="s">
        <v>32</v>
      </c>
      <c r="J16" s="16" t="s">
        <v>87</v>
      </c>
      <c r="K16" s="16" t="s">
        <v>185</v>
      </c>
      <c r="L16" s="16" t="s">
        <v>186</v>
      </c>
      <c r="M16" s="16" t="s">
        <v>100</v>
      </c>
      <c r="N16" s="16" t="s">
        <v>187</v>
      </c>
      <c r="O16" s="17" t="s">
        <v>92</v>
      </c>
      <c r="P16" s="18" t="s">
        <v>93</v>
      </c>
      <c r="Q16" s="18"/>
      <c r="R16" s="18"/>
    </row>
    <row r="17" customFormat="false" ht="22.35" hidden="false" customHeight="false" outlineLevel="0" collapsed="false">
      <c r="A17" s="16" t="s">
        <v>188</v>
      </c>
      <c r="B17" s="16" t="s">
        <v>39</v>
      </c>
      <c r="C17" s="16" t="s">
        <v>174</v>
      </c>
      <c r="D17" s="16" t="s">
        <v>175</v>
      </c>
      <c r="E17" s="16" t="s">
        <v>189</v>
      </c>
      <c r="F17" s="16" t="s">
        <v>177</v>
      </c>
      <c r="G17" s="16" t="s">
        <v>190</v>
      </c>
      <c r="H17" s="16" t="s">
        <v>56</v>
      </c>
      <c r="I17" s="16" t="s">
        <v>33</v>
      </c>
      <c r="J17" s="16" t="s">
        <v>87</v>
      </c>
      <c r="K17" s="16" t="s">
        <v>185</v>
      </c>
      <c r="L17" s="16" t="s">
        <v>191</v>
      </c>
      <c r="M17" s="16" t="s">
        <v>100</v>
      </c>
      <c r="N17" s="16" t="s">
        <v>192</v>
      </c>
      <c r="O17" s="17" t="s">
        <v>92</v>
      </c>
      <c r="P17" s="18" t="s">
        <v>93</v>
      </c>
      <c r="Q17" s="18"/>
      <c r="R17" s="18"/>
    </row>
    <row r="18" customFormat="false" ht="22.35" hidden="false" customHeight="false" outlineLevel="0" collapsed="false">
      <c r="A18" s="16" t="s">
        <v>193</v>
      </c>
      <c r="B18" s="16" t="s">
        <v>39</v>
      </c>
      <c r="C18" s="16" t="s">
        <v>174</v>
      </c>
      <c r="D18" s="16" t="s">
        <v>194</v>
      </c>
      <c r="E18" s="16" t="s">
        <v>195</v>
      </c>
      <c r="F18" s="16" t="s">
        <v>177</v>
      </c>
      <c r="G18" s="16" t="s">
        <v>196</v>
      </c>
      <c r="H18" s="16" t="s">
        <v>54</v>
      </c>
      <c r="I18" s="16" t="s">
        <v>32</v>
      </c>
      <c r="J18" s="16" t="s">
        <v>87</v>
      </c>
      <c r="K18" s="16" t="s">
        <v>179</v>
      </c>
      <c r="L18" s="16" t="s">
        <v>180</v>
      </c>
      <c r="M18" s="16" t="s">
        <v>100</v>
      </c>
      <c r="N18" s="16" t="s">
        <v>197</v>
      </c>
      <c r="O18" s="17" t="s">
        <v>92</v>
      </c>
      <c r="P18" s="18" t="s">
        <v>93</v>
      </c>
      <c r="Q18" s="18"/>
      <c r="R18" s="18"/>
    </row>
    <row r="19" customFormat="false" ht="22.35" hidden="false" customHeight="false" outlineLevel="0" collapsed="false">
      <c r="A19" s="16" t="s">
        <v>198</v>
      </c>
      <c r="B19" s="16" t="s">
        <v>39</v>
      </c>
      <c r="C19" s="16" t="s">
        <v>174</v>
      </c>
      <c r="D19" s="16" t="s">
        <v>194</v>
      </c>
      <c r="E19" s="16" t="s">
        <v>199</v>
      </c>
      <c r="F19" s="16" t="s">
        <v>177</v>
      </c>
      <c r="G19" s="16" t="s">
        <v>200</v>
      </c>
      <c r="H19" s="16" t="s">
        <v>54</v>
      </c>
      <c r="I19" s="16" t="s">
        <v>32</v>
      </c>
      <c r="J19" s="16" t="s">
        <v>87</v>
      </c>
      <c r="K19" s="16" t="s">
        <v>201</v>
      </c>
      <c r="L19" s="16" t="s">
        <v>191</v>
      </c>
      <c r="M19" s="16" t="s">
        <v>202</v>
      </c>
      <c r="N19" s="16" t="s">
        <v>203</v>
      </c>
      <c r="O19" s="17" t="s">
        <v>92</v>
      </c>
      <c r="P19" s="18" t="s">
        <v>93</v>
      </c>
      <c r="Q19" s="18"/>
      <c r="R19" s="18"/>
    </row>
    <row r="20" customFormat="false" ht="22.35" hidden="false" customHeight="false" outlineLevel="0" collapsed="false">
      <c r="A20" s="16" t="s">
        <v>204</v>
      </c>
      <c r="B20" s="16" t="s">
        <v>39</v>
      </c>
      <c r="C20" s="16" t="s">
        <v>174</v>
      </c>
      <c r="D20" s="16" t="s">
        <v>194</v>
      </c>
      <c r="E20" s="16" t="s">
        <v>205</v>
      </c>
      <c r="F20" s="16" t="s">
        <v>177</v>
      </c>
      <c r="G20" s="16" t="s">
        <v>206</v>
      </c>
      <c r="H20" s="16" t="s">
        <v>54</v>
      </c>
      <c r="I20" s="16" t="s">
        <v>31</v>
      </c>
      <c r="J20" s="16" t="s">
        <v>87</v>
      </c>
      <c r="K20" s="16" t="s">
        <v>207</v>
      </c>
      <c r="L20" s="16" t="s">
        <v>208</v>
      </c>
      <c r="M20" s="16" t="s">
        <v>100</v>
      </c>
      <c r="N20" s="16" t="s">
        <v>209</v>
      </c>
      <c r="O20" s="17" t="s">
        <v>92</v>
      </c>
      <c r="P20" s="18" t="s">
        <v>93</v>
      </c>
      <c r="Q20" s="18"/>
      <c r="R20" s="18"/>
    </row>
    <row r="21" customFormat="false" ht="22.35" hidden="false" customHeight="false" outlineLevel="0" collapsed="false">
      <c r="A21" s="16" t="s">
        <v>210</v>
      </c>
      <c r="B21" s="16" t="s">
        <v>39</v>
      </c>
      <c r="C21" s="16" t="s">
        <v>174</v>
      </c>
      <c r="D21" s="16" t="s">
        <v>194</v>
      </c>
      <c r="E21" s="16" t="s">
        <v>211</v>
      </c>
      <c r="F21" s="16" t="s">
        <v>177</v>
      </c>
      <c r="G21" s="16" t="s">
        <v>212</v>
      </c>
      <c r="H21" s="16" t="s">
        <v>54</v>
      </c>
      <c r="I21" s="16" t="s">
        <v>32</v>
      </c>
      <c r="J21" s="16" t="s">
        <v>87</v>
      </c>
      <c r="K21" s="16" t="s">
        <v>213</v>
      </c>
      <c r="L21" s="16" t="s">
        <v>208</v>
      </c>
      <c r="M21" s="16" t="s">
        <v>100</v>
      </c>
      <c r="N21" s="16" t="s">
        <v>214</v>
      </c>
      <c r="O21" s="17" t="s">
        <v>92</v>
      </c>
      <c r="P21" s="18" t="s">
        <v>93</v>
      </c>
      <c r="Q21" s="18"/>
      <c r="R21" s="18"/>
    </row>
    <row r="22" customFormat="false" ht="22.35" hidden="false" customHeight="false" outlineLevel="0" collapsed="false">
      <c r="A22" s="16" t="s">
        <v>215</v>
      </c>
      <c r="B22" s="16" t="s">
        <v>39</v>
      </c>
      <c r="C22" s="16" t="s">
        <v>174</v>
      </c>
      <c r="D22" s="16" t="s">
        <v>216</v>
      </c>
      <c r="E22" s="16" t="s">
        <v>217</v>
      </c>
      <c r="F22" s="16" t="s">
        <v>177</v>
      </c>
      <c r="G22" s="16" t="s">
        <v>218</v>
      </c>
      <c r="H22" s="16" t="s">
        <v>54</v>
      </c>
      <c r="I22" s="16" t="s">
        <v>33</v>
      </c>
      <c r="J22" s="16" t="s">
        <v>87</v>
      </c>
      <c r="K22" s="16" t="s">
        <v>219</v>
      </c>
      <c r="L22" s="16" t="s">
        <v>220</v>
      </c>
      <c r="M22" s="16" t="s">
        <v>100</v>
      </c>
      <c r="N22" s="16" t="s">
        <v>221</v>
      </c>
      <c r="O22" s="17" t="s">
        <v>92</v>
      </c>
      <c r="P22" s="18" t="s">
        <v>93</v>
      </c>
      <c r="Q22" s="18"/>
      <c r="R22" s="18"/>
    </row>
    <row r="23" customFormat="false" ht="22.35" hidden="false" customHeight="false" outlineLevel="0" collapsed="false">
      <c r="A23" s="16" t="s">
        <v>222</v>
      </c>
      <c r="B23" s="16" t="s">
        <v>39</v>
      </c>
      <c r="C23" s="16" t="s">
        <v>174</v>
      </c>
      <c r="D23" s="16" t="s">
        <v>216</v>
      </c>
      <c r="E23" s="16" t="s">
        <v>223</v>
      </c>
      <c r="F23" s="16" t="s">
        <v>177</v>
      </c>
      <c r="G23" s="16" t="s">
        <v>224</v>
      </c>
      <c r="H23" s="16" t="s">
        <v>56</v>
      </c>
      <c r="I23" s="16" t="s">
        <v>33</v>
      </c>
      <c r="J23" s="16" t="s">
        <v>87</v>
      </c>
      <c r="K23" s="16" t="s">
        <v>179</v>
      </c>
      <c r="L23" s="16" t="s">
        <v>220</v>
      </c>
      <c r="M23" s="16" t="s">
        <v>100</v>
      </c>
      <c r="N23" s="16" t="s">
        <v>225</v>
      </c>
      <c r="O23" s="17" t="s">
        <v>92</v>
      </c>
      <c r="P23" s="18" t="s">
        <v>93</v>
      </c>
      <c r="Q23" s="18"/>
      <c r="R23" s="18"/>
    </row>
    <row r="24" customFormat="false" ht="22.35" hidden="false" customHeight="false" outlineLevel="0" collapsed="false">
      <c r="A24" s="16" t="s">
        <v>226</v>
      </c>
      <c r="B24" s="16" t="s">
        <v>39</v>
      </c>
      <c r="C24" s="16" t="s">
        <v>174</v>
      </c>
      <c r="D24" s="16" t="s">
        <v>216</v>
      </c>
      <c r="E24" s="16" t="s">
        <v>227</v>
      </c>
      <c r="F24" s="16" t="s">
        <v>177</v>
      </c>
      <c r="G24" s="16" t="s">
        <v>228</v>
      </c>
      <c r="H24" s="16" t="s">
        <v>56</v>
      </c>
      <c r="I24" s="16" t="s">
        <v>34</v>
      </c>
      <c r="J24" s="16" t="s">
        <v>87</v>
      </c>
      <c r="K24" s="16" t="s">
        <v>229</v>
      </c>
      <c r="L24" s="16" t="s">
        <v>220</v>
      </c>
      <c r="M24" s="16" t="s">
        <v>100</v>
      </c>
      <c r="N24" s="16" t="s">
        <v>230</v>
      </c>
      <c r="O24" s="17" t="s">
        <v>92</v>
      </c>
      <c r="P24" s="18" t="s">
        <v>93</v>
      </c>
      <c r="Q24" s="18"/>
      <c r="R24" s="18"/>
    </row>
    <row r="25" customFormat="false" ht="32.8" hidden="false" customHeight="false" outlineLevel="0" collapsed="false">
      <c r="A25" s="16" t="s">
        <v>231</v>
      </c>
      <c r="B25" s="16" t="s">
        <v>39</v>
      </c>
      <c r="C25" s="16" t="s">
        <v>174</v>
      </c>
      <c r="D25" s="16" t="s">
        <v>232</v>
      </c>
      <c r="E25" s="16" t="s">
        <v>233</v>
      </c>
      <c r="F25" s="16" t="s">
        <v>177</v>
      </c>
      <c r="G25" s="16" t="s">
        <v>234</v>
      </c>
      <c r="H25" s="16" t="s">
        <v>62</v>
      </c>
      <c r="I25" s="16" t="s">
        <v>31</v>
      </c>
      <c r="J25" s="16" t="s">
        <v>87</v>
      </c>
      <c r="K25" s="16" t="s">
        <v>235</v>
      </c>
      <c r="L25" s="16" t="s">
        <v>99</v>
      </c>
      <c r="M25" s="16" t="s">
        <v>100</v>
      </c>
      <c r="N25" s="16" t="s">
        <v>236</v>
      </c>
      <c r="O25" s="17" t="s">
        <v>92</v>
      </c>
      <c r="P25" s="18" t="s">
        <v>93</v>
      </c>
      <c r="Q25" s="18"/>
      <c r="R25" s="18"/>
    </row>
    <row r="26" customFormat="false" ht="22.35" hidden="false" customHeight="false" outlineLevel="0" collapsed="false">
      <c r="A26" s="16" t="s">
        <v>237</v>
      </c>
      <c r="B26" s="16" t="s">
        <v>39</v>
      </c>
      <c r="C26" s="16" t="s">
        <v>238</v>
      </c>
      <c r="D26" s="16" t="s">
        <v>239</v>
      </c>
      <c r="E26" s="16" t="s">
        <v>240</v>
      </c>
      <c r="F26" s="16" t="s">
        <v>241</v>
      </c>
      <c r="G26" s="16" t="s">
        <v>242</v>
      </c>
      <c r="H26" s="16" t="s">
        <v>56</v>
      </c>
      <c r="I26" s="16" t="s">
        <v>33</v>
      </c>
      <c r="J26" s="16" t="s">
        <v>87</v>
      </c>
      <c r="K26" s="16" t="s">
        <v>207</v>
      </c>
      <c r="L26" s="16" t="s">
        <v>208</v>
      </c>
      <c r="M26" s="16" t="s">
        <v>100</v>
      </c>
      <c r="N26" s="16" t="s">
        <v>243</v>
      </c>
      <c r="O26" s="17" t="s">
        <v>92</v>
      </c>
      <c r="P26" s="18" t="s">
        <v>93</v>
      </c>
      <c r="Q26" s="18"/>
      <c r="R26" s="18"/>
    </row>
    <row r="27" customFormat="false" ht="22.35" hidden="false" customHeight="false" outlineLevel="0" collapsed="false">
      <c r="A27" s="16" t="s">
        <v>244</v>
      </c>
      <c r="B27" s="16" t="s">
        <v>39</v>
      </c>
      <c r="C27" s="16" t="s">
        <v>238</v>
      </c>
      <c r="D27" s="16" t="s">
        <v>239</v>
      </c>
      <c r="E27" s="16" t="s">
        <v>245</v>
      </c>
      <c r="F27" s="16" t="s">
        <v>241</v>
      </c>
      <c r="G27" s="16" t="s">
        <v>246</v>
      </c>
      <c r="H27" s="16" t="s">
        <v>57</v>
      </c>
      <c r="I27" s="16" t="s">
        <v>32</v>
      </c>
      <c r="J27" s="16" t="s">
        <v>87</v>
      </c>
      <c r="K27" s="16" t="s">
        <v>207</v>
      </c>
      <c r="L27" s="16" t="s">
        <v>208</v>
      </c>
      <c r="M27" s="16" t="s">
        <v>100</v>
      </c>
      <c r="N27" s="16" t="s">
        <v>247</v>
      </c>
      <c r="O27" s="17" t="s">
        <v>92</v>
      </c>
      <c r="P27" s="18" t="s">
        <v>93</v>
      </c>
      <c r="Q27" s="18"/>
      <c r="R27" s="18"/>
    </row>
    <row r="28" customFormat="false" ht="22.35" hidden="false" customHeight="false" outlineLevel="0" collapsed="false">
      <c r="A28" s="16" t="s">
        <v>248</v>
      </c>
      <c r="B28" s="16" t="s">
        <v>39</v>
      </c>
      <c r="C28" s="16" t="s">
        <v>238</v>
      </c>
      <c r="D28" s="16" t="s">
        <v>249</v>
      </c>
      <c r="E28" s="16" t="s">
        <v>250</v>
      </c>
      <c r="F28" s="16" t="s">
        <v>241</v>
      </c>
      <c r="G28" s="16" t="s">
        <v>251</v>
      </c>
      <c r="H28" s="16" t="s">
        <v>54</v>
      </c>
      <c r="I28" s="16" t="s">
        <v>32</v>
      </c>
      <c r="J28" s="16" t="s">
        <v>87</v>
      </c>
      <c r="K28" s="16" t="s">
        <v>252</v>
      </c>
      <c r="L28" s="16" t="s">
        <v>253</v>
      </c>
      <c r="M28" s="16" t="s">
        <v>100</v>
      </c>
      <c r="N28" s="16" t="s">
        <v>254</v>
      </c>
      <c r="O28" s="17" t="s">
        <v>92</v>
      </c>
      <c r="P28" s="18" t="s">
        <v>93</v>
      </c>
      <c r="Q28" s="18"/>
      <c r="R28" s="18"/>
    </row>
    <row r="29" customFormat="false" ht="22.35" hidden="false" customHeight="false" outlineLevel="0" collapsed="false">
      <c r="A29" s="16" t="s">
        <v>255</v>
      </c>
      <c r="B29" s="16" t="s">
        <v>39</v>
      </c>
      <c r="C29" s="16" t="s">
        <v>238</v>
      </c>
      <c r="D29" s="16" t="s">
        <v>249</v>
      </c>
      <c r="E29" s="16" t="s">
        <v>256</v>
      </c>
      <c r="F29" s="16" t="s">
        <v>241</v>
      </c>
      <c r="G29" s="16" t="s">
        <v>257</v>
      </c>
      <c r="H29" s="16" t="s">
        <v>54</v>
      </c>
      <c r="I29" s="16" t="s">
        <v>32</v>
      </c>
      <c r="J29" s="16" t="s">
        <v>87</v>
      </c>
      <c r="K29" s="16" t="s">
        <v>229</v>
      </c>
      <c r="L29" s="16" t="s">
        <v>186</v>
      </c>
      <c r="M29" s="16" t="s">
        <v>100</v>
      </c>
      <c r="N29" s="16" t="s">
        <v>258</v>
      </c>
      <c r="O29" s="17" t="s">
        <v>92</v>
      </c>
      <c r="P29" s="18" t="s">
        <v>93</v>
      </c>
      <c r="Q29" s="18"/>
      <c r="R29" s="18"/>
    </row>
    <row r="30" customFormat="false" ht="22.35" hidden="false" customHeight="false" outlineLevel="0" collapsed="false">
      <c r="A30" s="16" t="s">
        <v>259</v>
      </c>
      <c r="B30" s="16" t="s">
        <v>39</v>
      </c>
      <c r="C30" s="16" t="s">
        <v>238</v>
      </c>
      <c r="D30" s="16" t="s">
        <v>249</v>
      </c>
      <c r="E30" s="16" t="s">
        <v>260</v>
      </c>
      <c r="F30" s="16" t="s">
        <v>241</v>
      </c>
      <c r="G30" s="16" t="s">
        <v>261</v>
      </c>
      <c r="H30" s="16" t="s">
        <v>54</v>
      </c>
      <c r="I30" s="16" t="s">
        <v>33</v>
      </c>
      <c r="J30" s="16" t="s">
        <v>87</v>
      </c>
      <c r="K30" s="16" t="s">
        <v>207</v>
      </c>
      <c r="L30" s="16" t="s">
        <v>208</v>
      </c>
      <c r="M30" s="16" t="s">
        <v>100</v>
      </c>
      <c r="N30" s="16" t="s">
        <v>262</v>
      </c>
      <c r="O30" s="17" t="s">
        <v>92</v>
      </c>
      <c r="P30" s="18" t="s">
        <v>93</v>
      </c>
      <c r="Q30" s="18"/>
      <c r="R30" s="18"/>
    </row>
    <row r="31" customFormat="false" ht="22.35" hidden="false" customHeight="false" outlineLevel="0" collapsed="false">
      <c r="A31" s="16" t="s">
        <v>263</v>
      </c>
      <c r="B31" s="16" t="s">
        <v>39</v>
      </c>
      <c r="C31" s="16" t="s">
        <v>238</v>
      </c>
      <c r="D31" s="16" t="s">
        <v>249</v>
      </c>
      <c r="E31" s="16" t="s">
        <v>264</v>
      </c>
      <c r="F31" s="16" t="s">
        <v>241</v>
      </c>
      <c r="G31" s="16" t="s">
        <v>265</v>
      </c>
      <c r="H31" s="16" t="s">
        <v>56</v>
      </c>
      <c r="I31" s="16" t="s">
        <v>33</v>
      </c>
      <c r="J31" s="16" t="s">
        <v>87</v>
      </c>
      <c r="K31" s="16" t="s">
        <v>207</v>
      </c>
      <c r="L31" s="16" t="s">
        <v>208</v>
      </c>
      <c r="M31" s="16" t="s">
        <v>100</v>
      </c>
      <c r="N31" s="16" t="s">
        <v>266</v>
      </c>
      <c r="O31" s="17" t="s">
        <v>92</v>
      </c>
      <c r="P31" s="18" t="s">
        <v>93</v>
      </c>
      <c r="Q31" s="18"/>
      <c r="R31" s="18"/>
    </row>
    <row r="32" customFormat="false" ht="22.35" hidden="false" customHeight="false" outlineLevel="0" collapsed="false">
      <c r="A32" s="16" t="s">
        <v>267</v>
      </c>
      <c r="B32" s="16" t="s">
        <v>39</v>
      </c>
      <c r="C32" s="16" t="s">
        <v>238</v>
      </c>
      <c r="D32" s="16" t="s">
        <v>268</v>
      </c>
      <c r="E32" s="16" t="s">
        <v>269</v>
      </c>
      <c r="F32" s="16" t="s">
        <v>241</v>
      </c>
      <c r="G32" s="16" t="s">
        <v>270</v>
      </c>
      <c r="H32" s="16" t="s">
        <v>54</v>
      </c>
      <c r="I32" s="16" t="s">
        <v>32</v>
      </c>
      <c r="J32" s="16" t="s">
        <v>87</v>
      </c>
      <c r="K32" s="16" t="s">
        <v>271</v>
      </c>
      <c r="L32" s="16" t="s">
        <v>272</v>
      </c>
      <c r="M32" s="16" t="s">
        <v>100</v>
      </c>
      <c r="N32" s="16" t="s">
        <v>273</v>
      </c>
      <c r="O32" s="17" t="s">
        <v>92</v>
      </c>
      <c r="P32" s="18" t="s">
        <v>93</v>
      </c>
      <c r="Q32" s="18"/>
      <c r="R32" s="18"/>
    </row>
    <row r="33" customFormat="false" ht="22.35" hidden="false" customHeight="false" outlineLevel="0" collapsed="false">
      <c r="A33" s="16" t="s">
        <v>274</v>
      </c>
      <c r="B33" s="16" t="s">
        <v>39</v>
      </c>
      <c r="C33" s="16" t="s">
        <v>238</v>
      </c>
      <c r="D33" s="16" t="s">
        <v>268</v>
      </c>
      <c r="E33" s="16" t="s">
        <v>275</v>
      </c>
      <c r="F33" s="16" t="s">
        <v>241</v>
      </c>
      <c r="G33" s="16" t="s">
        <v>276</v>
      </c>
      <c r="H33" s="16" t="s">
        <v>54</v>
      </c>
      <c r="I33" s="16" t="s">
        <v>33</v>
      </c>
      <c r="J33" s="16" t="s">
        <v>87</v>
      </c>
      <c r="K33" s="16" t="s">
        <v>277</v>
      </c>
      <c r="L33" s="16" t="s">
        <v>272</v>
      </c>
      <c r="M33" s="16" t="s">
        <v>100</v>
      </c>
      <c r="N33" s="16" t="s">
        <v>278</v>
      </c>
      <c r="O33" s="17" t="s">
        <v>92</v>
      </c>
      <c r="P33" s="18" t="s">
        <v>93</v>
      </c>
      <c r="Q33" s="18"/>
      <c r="R33" s="18"/>
    </row>
    <row r="34" customFormat="false" ht="22.35" hidden="false" customHeight="false" outlineLevel="0" collapsed="false">
      <c r="A34" s="16" t="s">
        <v>279</v>
      </c>
      <c r="B34" s="16" t="s">
        <v>39</v>
      </c>
      <c r="C34" s="16" t="s">
        <v>238</v>
      </c>
      <c r="D34" s="16" t="s">
        <v>268</v>
      </c>
      <c r="E34" s="16" t="s">
        <v>280</v>
      </c>
      <c r="F34" s="16" t="s">
        <v>241</v>
      </c>
      <c r="G34" s="16" t="s">
        <v>281</v>
      </c>
      <c r="H34" s="16" t="s">
        <v>56</v>
      </c>
      <c r="I34" s="16" t="s">
        <v>33</v>
      </c>
      <c r="J34" s="16" t="s">
        <v>87</v>
      </c>
      <c r="K34" s="16" t="s">
        <v>282</v>
      </c>
      <c r="L34" s="16" t="s">
        <v>89</v>
      </c>
      <c r="M34" s="16" t="s">
        <v>100</v>
      </c>
      <c r="N34" s="16" t="s">
        <v>283</v>
      </c>
      <c r="O34" s="17" t="s">
        <v>92</v>
      </c>
      <c r="P34" s="18" t="s">
        <v>93</v>
      </c>
      <c r="Q34" s="18"/>
      <c r="R34" s="18"/>
    </row>
    <row r="35" customFormat="false" ht="22.35" hidden="false" customHeight="false" outlineLevel="0" collapsed="false">
      <c r="A35" s="16" t="s">
        <v>284</v>
      </c>
      <c r="B35" s="16" t="s">
        <v>39</v>
      </c>
      <c r="C35" s="16" t="s">
        <v>238</v>
      </c>
      <c r="D35" s="16" t="s">
        <v>268</v>
      </c>
      <c r="E35" s="16" t="s">
        <v>285</v>
      </c>
      <c r="F35" s="16" t="s">
        <v>241</v>
      </c>
      <c r="G35" s="16" t="s">
        <v>286</v>
      </c>
      <c r="H35" s="16" t="s">
        <v>56</v>
      </c>
      <c r="I35" s="16" t="s">
        <v>34</v>
      </c>
      <c r="J35" s="16" t="s">
        <v>87</v>
      </c>
      <c r="K35" s="16" t="s">
        <v>282</v>
      </c>
      <c r="L35" s="16" t="s">
        <v>89</v>
      </c>
      <c r="M35" s="16" t="s">
        <v>100</v>
      </c>
      <c r="N35" s="16" t="s">
        <v>287</v>
      </c>
      <c r="O35" s="17" t="s">
        <v>92</v>
      </c>
      <c r="P35" s="18" t="s">
        <v>93</v>
      </c>
      <c r="Q35" s="18"/>
      <c r="R35" s="18"/>
    </row>
    <row r="36" customFormat="false" ht="22.35" hidden="false" customHeight="false" outlineLevel="0" collapsed="false">
      <c r="A36" s="16" t="s">
        <v>288</v>
      </c>
      <c r="B36" s="16" t="s">
        <v>39</v>
      </c>
      <c r="C36" s="16" t="s">
        <v>238</v>
      </c>
      <c r="D36" s="16" t="s">
        <v>289</v>
      </c>
      <c r="E36" s="16" t="s">
        <v>290</v>
      </c>
      <c r="F36" s="16" t="s">
        <v>241</v>
      </c>
      <c r="G36" s="16" t="s">
        <v>291</v>
      </c>
      <c r="H36" s="16" t="s">
        <v>54</v>
      </c>
      <c r="I36" s="16" t="s">
        <v>32</v>
      </c>
      <c r="J36" s="16" t="s">
        <v>87</v>
      </c>
      <c r="K36" s="16" t="s">
        <v>292</v>
      </c>
      <c r="L36" s="16" t="s">
        <v>293</v>
      </c>
      <c r="M36" s="16" t="s">
        <v>100</v>
      </c>
      <c r="N36" s="16" t="s">
        <v>294</v>
      </c>
      <c r="O36" s="17" t="s">
        <v>92</v>
      </c>
      <c r="P36" s="18" t="s">
        <v>93</v>
      </c>
      <c r="Q36" s="18"/>
      <c r="R36" s="18"/>
    </row>
    <row r="37" customFormat="false" ht="22.35" hidden="false" customHeight="false" outlineLevel="0" collapsed="false">
      <c r="A37" s="16" t="s">
        <v>295</v>
      </c>
      <c r="B37" s="16" t="s">
        <v>39</v>
      </c>
      <c r="C37" s="16" t="s">
        <v>238</v>
      </c>
      <c r="D37" s="16" t="s">
        <v>289</v>
      </c>
      <c r="E37" s="16" t="s">
        <v>296</v>
      </c>
      <c r="F37" s="16" t="s">
        <v>241</v>
      </c>
      <c r="G37" s="16" t="s">
        <v>297</v>
      </c>
      <c r="H37" s="16" t="s">
        <v>54</v>
      </c>
      <c r="I37" s="16" t="s">
        <v>33</v>
      </c>
      <c r="J37" s="16" t="s">
        <v>87</v>
      </c>
      <c r="K37" s="16" t="s">
        <v>292</v>
      </c>
      <c r="L37" s="16" t="s">
        <v>293</v>
      </c>
      <c r="M37" s="16" t="s">
        <v>100</v>
      </c>
      <c r="N37" s="16" t="s">
        <v>298</v>
      </c>
      <c r="O37" s="17" t="s">
        <v>92</v>
      </c>
      <c r="P37" s="18" t="s">
        <v>93</v>
      </c>
      <c r="Q37" s="18"/>
      <c r="R37" s="18"/>
    </row>
    <row r="38" customFormat="false" ht="22.35" hidden="false" customHeight="false" outlineLevel="0" collapsed="false">
      <c r="A38" s="16" t="s">
        <v>299</v>
      </c>
      <c r="B38" s="16" t="s">
        <v>39</v>
      </c>
      <c r="C38" s="16" t="s">
        <v>300</v>
      </c>
      <c r="D38" s="16" t="s">
        <v>301</v>
      </c>
      <c r="E38" s="16" t="s">
        <v>302</v>
      </c>
      <c r="F38" s="16" t="s">
        <v>303</v>
      </c>
      <c r="G38" s="16" t="s">
        <v>304</v>
      </c>
      <c r="H38" s="16" t="s">
        <v>56</v>
      </c>
      <c r="I38" s="16" t="s">
        <v>31</v>
      </c>
      <c r="J38" s="16" t="s">
        <v>87</v>
      </c>
      <c r="K38" s="16" t="s">
        <v>305</v>
      </c>
      <c r="L38" s="16" t="s">
        <v>306</v>
      </c>
      <c r="M38" s="16" t="s">
        <v>307</v>
      </c>
      <c r="N38" s="16" t="s">
        <v>308</v>
      </c>
      <c r="O38" s="17" t="s">
        <v>92</v>
      </c>
      <c r="P38" s="18" t="s">
        <v>93</v>
      </c>
      <c r="Q38" s="18"/>
      <c r="R38" s="18"/>
    </row>
    <row r="39" customFormat="false" ht="22.35" hidden="false" customHeight="false" outlineLevel="0" collapsed="false">
      <c r="A39" s="16" t="s">
        <v>309</v>
      </c>
      <c r="B39" s="16" t="s">
        <v>39</v>
      </c>
      <c r="C39" s="16" t="s">
        <v>300</v>
      </c>
      <c r="D39" s="16" t="s">
        <v>301</v>
      </c>
      <c r="E39" s="16" t="s">
        <v>310</v>
      </c>
      <c r="F39" s="16" t="s">
        <v>303</v>
      </c>
      <c r="G39" s="16" t="s">
        <v>311</v>
      </c>
      <c r="H39" s="16" t="s">
        <v>54</v>
      </c>
      <c r="I39" s="16" t="s">
        <v>31</v>
      </c>
      <c r="J39" s="16" t="s">
        <v>87</v>
      </c>
      <c r="K39" s="16" t="s">
        <v>312</v>
      </c>
      <c r="L39" s="16" t="s">
        <v>89</v>
      </c>
      <c r="M39" s="16" t="s">
        <v>313</v>
      </c>
      <c r="N39" s="16" t="s">
        <v>314</v>
      </c>
      <c r="O39" s="17" t="s">
        <v>92</v>
      </c>
      <c r="P39" s="18" t="s">
        <v>93</v>
      </c>
      <c r="Q39" s="18"/>
      <c r="R39" s="18"/>
    </row>
    <row r="40" customFormat="false" ht="22.35" hidden="false" customHeight="false" outlineLevel="0" collapsed="false">
      <c r="A40" s="16" t="s">
        <v>315</v>
      </c>
      <c r="B40" s="16" t="s">
        <v>39</v>
      </c>
      <c r="C40" s="16" t="s">
        <v>300</v>
      </c>
      <c r="D40" s="16" t="s">
        <v>301</v>
      </c>
      <c r="E40" s="16" t="s">
        <v>316</v>
      </c>
      <c r="F40" s="16" t="s">
        <v>303</v>
      </c>
      <c r="G40" s="16" t="s">
        <v>317</v>
      </c>
      <c r="H40" s="16" t="s">
        <v>56</v>
      </c>
      <c r="I40" s="16" t="s">
        <v>32</v>
      </c>
      <c r="J40" s="16" t="s">
        <v>87</v>
      </c>
      <c r="K40" s="16" t="s">
        <v>318</v>
      </c>
      <c r="L40" s="16" t="s">
        <v>319</v>
      </c>
      <c r="M40" s="16" t="s">
        <v>100</v>
      </c>
      <c r="N40" s="16" t="s">
        <v>320</v>
      </c>
      <c r="O40" s="17" t="s">
        <v>92</v>
      </c>
      <c r="P40" s="18" t="s">
        <v>93</v>
      </c>
      <c r="Q40" s="18"/>
      <c r="R40" s="18"/>
    </row>
    <row r="41" customFormat="false" ht="22.35" hidden="false" customHeight="false" outlineLevel="0" collapsed="false">
      <c r="A41" s="16" t="s">
        <v>321</v>
      </c>
      <c r="B41" s="16" t="s">
        <v>39</v>
      </c>
      <c r="C41" s="16" t="s">
        <v>300</v>
      </c>
      <c r="D41" s="16" t="s">
        <v>301</v>
      </c>
      <c r="E41" s="16" t="s">
        <v>322</v>
      </c>
      <c r="F41" s="16" t="s">
        <v>303</v>
      </c>
      <c r="G41" s="16" t="s">
        <v>323</v>
      </c>
      <c r="H41" s="16" t="s">
        <v>54</v>
      </c>
      <c r="I41" s="16" t="s">
        <v>33</v>
      </c>
      <c r="J41" s="16" t="s">
        <v>87</v>
      </c>
      <c r="K41" s="16" t="s">
        <v>324</v>
      </c>
      <c r="L41" s="16" t="s">
        <v>325</v>
      </c>
      <c r="M41" s="16" t="s">
        <v>100</v>
      </c>
      <c r="N41" s="16" t="s">
        <v>326</v>
      </c>
      <c r="O41" s="17" t="s">
        <v>92</v>
      </c>
      <c r="P41" s="18" t="s">
        <v>93</v>
      </c>
      <c r="Q41" s="18"/>
      <c r="R41" s="18"/>
    </row>
    <row r="42" customFormat="false" ht="22.35" hidden="false" customHeight="false" outlineLevel="0" collapsed="false">
      <c r="A42" s="16" t="s">
        <v>327</v>
      </c>
      <c r="B42" s="16" t="s">
        <v>39</v>
      </c>
      <c r="C42" s="16" t="s">
        <v>300</v>
      </c>
      <c r="D42" s="16" t="s">
        <v>301</v>
      </c>
      <c r="E42" s="16" t="s">
        <v>328</v>
      </c>
      <c r="F42" s="16" t="s">
        <v>303</v>
      </c>
      <c r="G42" s="16" t="s">
        <v>329</v>
      </c>
      <c r="H42" s="16" t="s">
        <v>54</v>
      </c>
      <c r="I42" s="16" t="s">
        <v>31</v>
      </c>
      <c r="J42" s="16" t="s">
        <v>87</v>
      </c>
      <c r="K42" s="16" t="s">
        <v>330</v>
      </c>
      <c r="L42" s="16" t="s">
        <v>331</v>
      </c>
      <c r="M42" s="16" t="s">
        <v>332</v>
      </c>
      <c r="N42" s="16" t="s">
        <v>333</v>
      </c>
      <c r="O42" s="17" t="s">
        <v>92</v>
      </c>
      <c r="P42" s="18" t="s">
        <v>93</v>
      </c>
      <c r="Q42" s="18"/>
      <c r="R42" s="18"/>
    </row>
    <row r="43" customFormat="false" ht="22.35" hidden="false" customHeight="false" outlineLevel="0" collapsed="false">
      <c r="A43" s="16" t="s">
        <v>334</v>
      </c>
      <c r="B43" s="16" t="s">
        <v>39</v>
      </c>
      <c r="C43" s="16" t="s">
        <v>300</v>
      </c>
      <c r="D43" s="16" t="s">
        <v>301</v>
      </c>
      <c r="E43" s="16" t="s">
        <v>335</v>
      </c>
      <c r="F43" s="16" t="s">
        <v>303</v>
      </c>
      <c r="G43" s="16" t="s">
        <v>336</v>
      </c>
      <c r="H43" s="16" t="s">
        <v>54</v>
      </c>
      <c r="I43" s="16" t="s">
        <v>31</v>
      </c>
      <c r="J43" s="16" t="s">
        <v>87</v>
      </c>
      <c r="K43" s="16" t="s">
        <v>219</v>
      </c>
      <c r="L43" s="16" t="s">
        <v>337</v>
      </c>
      <c r="M43" s="16" t="s">
        <v>100</v>
      </c>
      <c r="N43" s="16" t="s">
        <v>338</v>
      </c>
      <c r="O43" s="17" t="s">
        <v>92</v>
      </c>
      <c r="P43" s="18" t="s">
        <v>93</v>
      </c>
      <c r="Q43" s="18"/>
      <c r="R43" s="18"/>
    </row>
    <row r="44" customFormat="false" ht="22.35" hidden="false" customHeight="false" outlineLevel="0" collapsed="false">
      <c r="A44" s="16" t="s">
        <v>339</v>
      </c>
      <c r="B44" s="16" t="s">
        <v>39</v>
      </c>
      <c r="C44" s="16" t="s">
        <v>300</v>
      </c>
      <c r="D44" s="16" t="s">
        <v>340</v>
      </c>
      <c r="E44" s="16" t="s">
        <v>341</v>
      </c>
      <c r="F44" s="16" t="s">
        <v>303</v>
      </c>
      <c r="G44" s="16" t="s">
        <v>342</v>
      </c>
      <c r="H44" s="16" t="s">
        <v>59</v>
      </c>
      <c r="I44" s="16" t="s">
        <v>32</v>
      </c>
      <c r="J44" s="16" t="s">
        <v>87</v>
      </c>
      <c r="K44" s="16" t="s">
        <v>343</v>
      </c>
      <c r="L44" s="16" t="s">
        <v>191</v>
      </c>
      <c r="M44" s="16" t="s">
        <v>202</v>
      </c>
      <c r="N44" s="16" t="s">
        <v>344</v>
      </c>
      <c r="O44" s="17" t="s">
        <v>92</v>
      </c>
      <c r="P44" s="18" t="s">
        <v>93</v>
      </c>
      <c r="Q44" s="18"/>
      <c r="R44" s="18"/>
    </row>
    <row r="45" customFormat="false" ht="22.35" hidden="false" customHeight="false" outlineLevel="0" collapsed="false">
      <c r="A45" s="16" t="s">
        <v>345</v>
      </c>
      <c r="B45" s="16" t="s">
        <v>39</v>
      </c>
      <c r="C45" s="16" t="s">
        <v>300</v>
      </c>
      <c r="D45" s="16" t="s">
        <v>340</v>
      </c>
      <c r="E45" s="16" t="s">
        <v>346</v>
      </c>
      <c r="F45" s="16" t="s">
        <v>303</v>
      </c>
      <c r="G45" s="16" t="s">
        <v>347</v>
      </c>
      <c r="H45" s="16" t="s">
        <v>56</v>
      </c>
      <c r="I45" s="16" t="s">
        <v>33</v>
      </c>
      <c r="J45" s="16" t="s">
        <v>87</v>
      </c>
      <c r="K45" s="16" t="s">
        <v>348</v>
      </c>
      <c r="L45" s="16" t="s">
        <v>349</v>
      </c>
      <c r="M45" s="16" t="s">
        <v>202</v>
      </c>
      <c r="N45" s="16" t="s">
        <v>350</v>
      </c>
      <c r="O45" s="17" t="s">
        <v>92</v>
      </c>
      <c r="P45" s="18" t="s">
        <v>93</v>
      </c>
      <c r="Q45" s="18"/>
      <c r="R45" s="18"/>
    </row>
    <row r="46" customFormat="false" ht="22.35" hidden="false" customHeight="false" outlineLevel="0" collapsed="false">
      <c r="A46" s="16" t="s">
        <v>351</v>
      </c>
      <c r="B46" s="16" t="s">
        <v>39</v>
      </c>
      <c r="C46" s="16" t="s">
        <v>300</v>
      </c>
      <c r="D46" s="16" t="s">
        <v>340</v>
      </c>
      <c r="E46" s="16" t="s">
        <v>352</v>
      </c>
      <c r="F46" s="16" t="s">
        <v>303</v>
      </c>
      <c r="G46" s="16" t="s">
        <v>353</v>
      </c>
      <c r="H46" s="16" t="s">
        <v>54</v>
      </c>
      <c r="I46" s="16" t="s">
        <v>31</v>
      </c>
      <c r="J46" s="16" t="s">
        <v>87</v>
      </c>
      <c r="K46" s="16" t="s">
        <v>354</v>
      </c>
      <c r="L46" s="16" t="s">
        <v>355</v>
      </c>
      <c r="M46" s="16" t="s">
        <v>202</v>
      </c>
      <c r="N46" s="16" t="s">
        <v>356</v>
      </c>
      <c r="O46" s="17" t="s">
        <v>92</v>
      </c>
      <c r="P46" s="18" t="s">
        <v>93</v>
      </c>
      <c r="Q46" s="18"/>
      <c r="R46" s="18"/>
    </row>
    <row r="47" customFormat="false" ht="22.35" hidden="false" customHeight="false" outlineLevel="0" collapsed="false">
      <c r="A47" s="16" t="s">
        <v>357</v>
      </c>
      <c r="B47" s="16" t="s">
        <v>39</v>
      </c>
      <c r="C47" s="16" t="s">
        <v>300</v>
      </c>
      <c r="D47" s="16" t="s">
        <v>340</v>
      </c>
      <c r="E47" s="16" t="s">
        <v>358</v>
      </c>
      <c r="F47" s="16" t="s">
        <v>303</v>
      </c>
      <c r="G47" s="16" t="s">
        <v>359</v>
      </c>
      <c r="H47" s="16" t="s">
        <v>54</v>
      </c>
      <c r="I47" s="16" t="s">
        <v>32</v>
      </c>
      <c r="J47" s="16" t="s">
        <v>87</v>
      </c>
      <c r="K47" s="16" t="s">
        <v>360</v>
      </c>
      <c r="L47" s="16" t="s">
        <v>191</v>
      </c>
      <c r="M47" s="16" t="s">
        <v>202</v>
      </c>
      <c r="N47" s="16" t="s">
        <v>361</v>
      </c>
      <c r="O47" s="17" t="s">
        <v>92</v>
      </c>
      <c r="P47" s="18" t="s">
        <v>93</v>
      </c>
      <c r="Q47" s="18"/>
      <c r="R47" s="18"/>
    </row>
    <row r="48" customFormat="false" ht="22.35" hidden="false" customHeight="false" outlineLevel="0" collapsed="false">
      <c r="A48" s="16" t="s">
        <v>362</v>
      </c>
      <c r="B48" s="16" t="s">
        <v>39</v>
      </c>
      <c r="C48" s="16" t="s">
        <v>300</v>
      </c>
      <c r="D48" s="16" t="s">
        <v>340</v>
      </c>
      <c r="E48" s="16" t="s">
        <v>363</v>
      </c>
      <c r="F48" s="16" t="s">
        <v>303</v>
      </c>
      <c r="G48" s="16" t="s">
        <v>364</v>
      </c>
      <c r="H48" s="16" t="s">
        <v>54</v>
      </c>
      <c r="I48" s="16" t="s">
        <v>32</v>
      </c>
      <c r="J48" s="16" t="s">
        <v>87</v>
      </c>
      <c r="K48" s="16" t="s">
        <v>365</v>
      </c>
      <c r="L48" s="16" t="s">
        <v>349</v>
      </c>
      <c r="M48" s="16" t="s">
        <v>202</v>
      </c>
      <c r="N48" s="16" t="s">
        <v>366</v>
      </c>
      <c r="O48" s="17" t="s">
        <v>92</v>
      </c>
      <c r="P48" s="18" t="s">
        <v>93</v>
      </c>
      <c r="Q48" s="18"/>
      <c r="R48" s="18"/>
    </row>
    <row r="49" customFormat="false" ht="22.35" hidden="false" customHeight="false" outlineLevel="0" collapsed="false">
      <c r="A49" s="16" t="s">
        <v>367</v>
      </c>
      <c r="B49" s="16" t="s">
        <v>39</v>
      </c>
      <c r="C49" s="16" t="s">
        <v>300</v>
      </c>
      <c r="D49" s="16" t="s">
        <v>368</v>
      </c>
      <c r="E49" s="16" t="s">
        <v>369</v>
      </c>
      <c r="F49" s="16" t="s">
        <v>303</v>
      </c>
      <c r="G49" s="16" t="s">
        <v>370</v>
      </c>
      <c r="H49" s="16" t="s">
        <v>54</v>
      </c>
      <c r="I49" s="16" t="s">
        <v>32</v>
      </c>
      <c r="J49" s="16" t="s">
        <v>87</v>
      </c>
      <c r="K49" s="16" t="s">
        <v>371</v>
      </c>
      <c r="L49" s="16" t="s">
        <v>372</v>
      </c>
      <c r="M49" s="16" t="s">
        <v>373</v>
      </c>
      <c r="N49" s="16" t="s">
        <v>374</v>
      </c>
      <c r="O49" s="17" t="s">
        <v>92</v>
      </c>
      <c r="P49" s="18" t="s">
        <v>93</v>
      </c>
      <c r="Q49" s="18"/>
      <c r="R49" s="18"/>
    </row>
    <row r="50" customFormat="false" ht="22.35" hidden="false" customHeight="false" outlineLevel="0" collapsed="false">
      <c r="A50" s="16" t="s">
        <v>375</v>
      </c>
      <c r="B50" s="16" t="s">
        <v>39</v>
      </c>
      <c r="C50" s="16" t="s">
        <v>300</v>
      </c>
      <c r="D50" s="16" t="s">
        <v>368</v>
      </c>
      <c r="E50" s="16" t="s">
        <v>376</v>
      </c>
      <c r="F50" s="16" t="s">
        <v>303</v>
      </c>
      <c r="G50" s="16" t="s">
        <v>377</v>
      </c>
      <c r="H50" s="16" t="s">
        <v>54</v>
      </c>
      <c r="I50" s="16" t="s">
        <v>32</v>
      </c>
      <c r="J50" s="16" t="s">
        <v>87</v>
      </c>
      <c r="K50" s="16" t="s">
        <v>378</v>
      </c>
      <c r="L50" s="16" t="s">
        <v>379</v>
      </c>
      <c r="M50" s="16" t="s">
        <v>373</v>
      </c>
      <c r="N50" s="16" t="s">
        <v>380</v>
      </c>
      <c r="O50" s="17" t="s">
        <v>92</v>
      </c>
      <c r="P50" s="18" t="s">
        <v>93</v>
      </c>
      <c r="Q50" s="18"/>
      <c r="R50" s="18"/>
    </row>
    <row r="51" customFormat="false" ht="22.35" hidden="false" customHeight="false" outlineLevel="0" collapsed="false">
      <c r="A51" s="16" t="s">
        <v>381</v>
      </c>
      <c r="B51" s="16" t="s">
        <v>39</v>
      </c>
      <c r="C51" s="16" t="s">
        <v>382</v>
      </c>
      <c r="D51" s="16" t="s">
        <v>383</v>
      </c>
      <c r="E51" s="16" t="s">
        <v>384</v>
      </c>
      <c r="F51" s="16" t="s">
        <v>385</v>
      </c>
      <c r="G51" s="16" t="s">
        <v>386</v>
      </c>
      <c r="H51" s="16" t="s">
        <v>54</v>
      </c>
      <c r="I51" s="16" t="s">
        <v>33</v>
      </c>
      <c r="J51" s="16" t="s">
        <v>87</v>
      </c>
      <c r="K51" s="16" t="s">
        <v>387</v>
      </c>
      <c r="L51" s="16" t="s">
        <v>388</v>
      </c>
      <c r="M51" s="16" t="s">
        <v>100</v>
      </c>
      <c r="N51" s="16" t="s">
        <v>389</v>
      </c>
      <c r="O51" s="17" t="s">
        <v>92</v>
      </c>
      <c r="P51" s="18" t="s">
        <v>93</v>
      </c>
      <c r="Q51" s="18"/>
      <c r="R51" s="18"/>
    </row>
    <row r="52" customFormat="false" ht="22.35" hidden="false" customHeight="false" outlineLevel="0" collapsed="false">
      <c r="A52" s="16" t="s">
        <v>390</v>
      </c>
      <c r="B52" s="16" t="s">
        <v>39</v>
      </c>
      <c r="C52" s="16" t="s">
        <v>382</v>
      </c>
      <c r="D52" s="16" t="s">
        <v>383</v>
      </c>
      <c r="E52" s="16" t="s">
        <v>391</v>
      </c>
      <c r="F52" s="16" t="s">
        <v>385</v>
      </c>
      <c r="G52" s="16" t="s">
        <v>392</v>
      </c>
      <c r="H52" s="16" t="s">
        <v>54</v>
      </c>
      <c r="I52" s="16" t="s">
        <v>31</v>
      </c>
      <c r="J52" s="16" t="s">
        <v>87</v>
      </c>
      <c r="K52" s="16" t="s">
        <v>318</v>
      </c>
      <c r="L52" s="16" t="s">
        <v>393</v>
      </c>
      <c r="M52" s="16" t="s">
        <v>394</v>
      </c>
      <c r="N52" s="16" t="s">
        <v>395</v>
      </c>
      <c r="O52" s="17" t="s">
        <v>92</v>
      </c>
      <c r="P52" s="18" t="s">
        <v>93</v>
      </c>
      <c r="Q52" s="18"/>
      <c r="R52" s="18"/>
    </row>
    <row r="53" customFormat="false" ht="22.35" hidden="false" customHeight="false" outlineLevel="0" collapsed="false">
      <c r="A53" s="16" t="s">
        <v>396</v>
      </c>
      <c r="B53" s="16" t="s">
        <v>39</v>
      </c>
      <c r="C53" s="16" t="s">
        <v>382</v>
      </c>
      <c r="D53" s="16" t="s">
        <v>383</v>
      </c>
      <c r="E53" s="16" t="s">
        <v>397</v>
      </c>
      <c r="F53" s="16" t="s">
        <v>385</v>
      </c>
      <c r="G53" s="16" t="s">
        <v>398</v>
      </c>
      <c r="H53" s="16" t="s">
        <v>54</v>
      </c>
      <c r="I53" s="16" t="s">
        <v>33</v>
      </c>
      <c r="J53" s="16" t="s">
        <v>87</v>
      </c>
      <c r="K53" s="16" t="s">
        <v>387</v>
      </c>
      <c r="L53" s="16" t="s">
        <v>147</v>
      </c>
      <c r="M53" s="16" t="s">
        <v>100</v>
      </c>
      <c r="N53" s="16" t="s">
        <v>399</v>
      </c>
      <c r="O53" s="17" t="s">
        <v>92</v>
      </c>
      <c r="P53" s="18" t="s">
        <v>93</v>
      </c>
      <c r="Q53" s="18"/>
      <c r="R53" s="18"/>
    </row>
    <row r="54" customFormat="false" ht="22.35" hidden="false" customHeight="false" outlineLevel="0" collapsed="false">
      <c r="A54" s="16" t="s">
        <v>400</v>
      </c>
      <c r="B54" s="16" t="s">
        <v>39</v>
      </c>
      <c r="C54" s="16" t="s">
        <v>382</v>
      </c>
      <c r="D54" s="16" t="s">
        <v>383</v>
      </c>
      <c r="E54" s="16" t="s">
        <v>401</v>
      </c>
      <c r="F54" s="16" t="s">
        <v>385</v>
      </c>
      <c r="G54" s="16" t="s">
        <v>402</v>
      </c>
      <c r="H54" s="16" t="s">
        <v>54</v>
      </c>
      <c r="I54" s="16" t="s">
        <v>32</v>
      </c>
      <c r="J54" s="16" t="s">
        <v>87</v>
      </c>
      <c r="K54" s="16" t="s">
        <v>318</v>
      </c>
      <c r="L54" s="16" t="s">
        <v>393</v>
      </c>
      <c r="M54" s="16" t="s">
        <v>100</v>
      </c>
      <c r="N54" s="16" t="s">
        <v>403</v>
      </c>
      <c r="O54" s="17" t="s">
        <v>92</v>
      </c>
      <c r="P54" s="18" t="s">
        <v>93</v>
      </c>
      <c r="Q54" s="18"/>
      <c r="R54" s="18"/>
    </row>
    <row r="55" customFormat="false" ht="22.35" hidden="false" customHeight="false" outlineLevel="0" collapsed="false">
      <c r="A55" s="16" t="s">
        <v>404</v>
      </c>
      <c r="B55" s="16" t="s">
        <v>39</v>
      </c>
      <c r="C55" s="16" t="s">
        <v>382</v>
      </c>
      <c r="D55" s="16" t="s">
        <v>383</v>
      </c>
      <c r="E55" s="16" t="s">
        <v>405</v>
      </c>
      <c r="F55" s="16" t="s">
        <v>385</v>
      </c>
      <c r="G55" s="16" t="s">
        <v>406</v>
      </c>
      <c r="H55" s="16" t="s">
        <v>54</v>
      </c>
      <c r="I55" s="16" t="s">
        <v>34</v>
      </c>
      <c r="J55" s="16" t="s">
        <v>87</v>
      </c>
      <c r="K55" s="16" t="s">
        <v>387</v>
      </c>
      <c r="L55" s="16" t="s">
        <v>99</v>
      </c>
      <c r="M55" s="16" t="s">
        <v>100</v>
      </c>
      <c r="N55" s="16" t="s">
        <v>407</v>
      </c>
      <c r="O55" s="17" t="s">
        <v>92</v>
      </c>
      <c r="P55" s="18" t="s">
        <v>93</v>
      </c>
      <c r="Q55" s="18"/>
      <c r="R55" s="18"/>
    </row>
  </sheetData>
  <autoFilter ref="A1:R55"/>
  <conditionalFormatting sqref="I2:I55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dataValidations count="2">
    <dataValidation allowBlank="true" errorStyle="stop" operator="between" showDropDown="false" showErrorMessage="false" showInputMessage="false" sqref="P2:P55" type="list">
      <formula1>"Not started,In progress,Implemented,Partially implemented,Not applicable,Risk accepted"</formula1>
      <formula2>0</formula2>
    </dataValidation>
    <dataValidation allowBlank="false" errorStyle="stop" operator="between" showDropDown="false" showErrorMessage="false" showInputMessage="false" sqref="I2:I55" type="list">
      <formula1>"Critical,High,Medium,Low"</formula1>
      <formula2>0</formula2>
    </dataValidation>
  </dataValidations>
  <hyperlinks>
    <hyperlink ref="O2" r:id="rId1" location="req-manage-key-security" display="Open spec"/>
    <hyperlink ref="O3" r:id="rId2" location="req-implement-basic-security" display="Open spec"/>
    <hyperlink ref="O4" r:id="rId3" location="req-document-protocol-analysis" display="Open spec"/>
    <hyperlink ref="O5" r:id="rId4" location="req-monitor-protocol-changes" display="Open spec"/>
    <hyperlink ref="O6" r:id="rId5" location="req-document-supply-chains" display="Open spec"/>
    <hyperlink ref="O7" r:id="rId6" location="req-use-official-software" display="Open spec"/>
    <hyperlink ref="O8" r:id="rId7" location="req-document-protocol-software-security" display="Open spec"/>
    <hyperlink ref="O9" r:id="rId8" location="req-document-protocol-responsibilities" display="Open spec"/>
    <hyperlink ref="O10" r:id="rId9" location="req-document-protocol-operation" display="Open spec"/>
    <hyperlink ref="O11" r:id="rId10" location="req-use-testnet" display="Open spec"/>
    <hyperlink ref="O12" r:id="rId11" location="req-follow-relevant-regulation" display="Open spec"/>
    <hyperlink ref="O13" r:id="rId12" location="req-document-protocol-crypto" display="Open spec"/>
    <hyperlink ref="O14" r:id="rId13" location="req-evaluate-protocol-pqc-plan" display="Open spec"/>
    <hyperlink ref="O15" r:id="rId14" location="req-follow-protocol-conventions" display="Open spec"/>
    <hyperlink ref="O16" r:id="rId15" location="req-follow-protocol-consensus" display="Open spec"/>
    <hyperlink ref="O17" r:id="rId16" location="req-follow-protocol-consensus" display="Open spec"/>
    <hyperlink ref="O18" r:id="rId17" location="req-follow-reward-conventions" display="Open spec"/>
    <hyperlink ref="O19" r:id="rId18" location="req-log-rewards" display="Open spec"/>
    <hyperlink ref="O20" r:id="rId19" location="req-document-doublesign-controls" display="Open spec"/>
    <hyperlink ref="O21" r:id="rId20" location="req-document-anti-slashing-controls" display="Open spec"/>
    <hyperlink ref="O22" r:id="rId21" location="req-maintain-boot-peers" display="Open spec"/>
    <hyperlink ref="O23" r:id="rId22" location="req-configure-discovery" display="Open spec"/>
    <hyperlink ref="O24" r:id="rId23" location="req-verify-discovery-configuration" display="Open spec"/>
    <hyperlink ref="O25" r:id="rId24" location="req-limit-consensus-power" display="Open spec"/>
    <hyperlink ref="O26" r:id="rId25" location="req-use-multiple-clients" display="Open spec"/>
    <hyperlink ref="O27" r:id="rId26" location="req-no-client-supermajority" display="Open spec"/>
    <hyperlink ref="O28" r:id="rId27" location="req-document-failover" display="Open spec"/>
    <hyperlink ref="O29" r:id="rId28" location="req-document-uptime" display="Open spec"/>
    <hyperlink ref="O30" r:id="rId29" location="req-document-fault-tolerance" display="Open spec"/>
    <hyperlink ref="O31" r:id="rId30" location="req-distribute-nodes" display="Open spec"/>
    <hyperlink ref="O32" r:id="rId31" location="req-document-recovery" display="Open spec"/>
    <hyperlink ref="O33" r:id="rId32" location="req-document-procedural-deviation" display="Open spec"/>
    <hyperlink ref="O34" r:id="rId33" location="req-document-crypto-migration" display="Open spec"/>
    <hyperlink ref="O35" r:id="rId34" location="req-prepare-crypto-migration" display="Open spec"/>
    <hyperlink ref="O36" r:id="rId35" location="req-provision-nodes" display="Open spec"/>
    <hyperlink ref="O37" r:id="rId36" location="req-resilient-nodes" display="Open spec"/>
    <hyperlink ref="O38" r:id="rId37" location="req-use-remote-signers" display="Open spec"/>
    <hyperlink ref="O39" r:id="rId38" location="req-remote-signer-alternatives" display="Open spec"/>
    <hyperlink ref="O40" r:id="rId39" location="req-secure-node-communication" display="Open spec"/>
    <hyperlink ref="O41" r:id="rId40" location="req-document-plaintext-communication" display="Open spec"/>
    <hyperlink ref="O42" r:id="rId41" location="req-restrict-control-access" display="Open spec"/>
    <hyperlink ref="O43" r:id="rId42" location="req-minimize-network-exposure" display="Open spec"/>
    <hyperlink ref="O44" r:id="rId43" location="req-retain-logs" display="Open spec"/>
    <hyperlink ref="O45" r:id="rId44" location="req-aggregate-logs" display="Open spec"/>
    <hyperlink ref="O46" r:id="rId45" location="req-dont-log-pii" display="Open spec"/>
    <hyperlink ref="O47" r:id="rId46" location="req-restrict-log-access" display="Open spec"/>
    <hyperlink ref="O48" r:id="rId47" location="req-log-access" display="Open spec"/>
    <hyperlink ref="O49" r:id="rId48" location="req-document-irp" display="Open spec"/>
    <hyperlink ref="O50" r:id="rId49" location="req-follow-irp" display="Open spec"/>
    <hyperlink ref="O51" r:id="rId50" location="req-document-insurance" display="Open spec"/>
    <hyperlink ref="O52" r:id="rId51" location="req-deliver-exit-transactions-securely" display="Open spec"/>
    <hyperlink ref="O53" r:id="rId52" location="req-document-exit-procedures" display="Open spec"/>
    <hyperlink ref="O54" r:id="rId53" location="req-communicate-securely" display="Open spec"/>
    <hyperlink ref="O55" r:id="rId54" location="req-document-governance-positions" display="Open sp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4" min="14" style="0" width="44"/>
    <col collapsed="false" customWidth="true" hidden="fals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24"/>
  </cols>
  <sheetData>
    <row r="1" customFormat="false" ht="31.5" hidden="false" customHeight="true" outlineLevel="0" collapsed="false">
      <c r="A1" s="8" t="s">
        <v>64</v>
      </c>
      <c r="B1" s="8" t="s">
        <v>28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</row>
    <row r="2" customFormat="false" ht="32.8" hidden="false" customHeight="false" outlineLevel="0" collapsed="false">
      <c r="A2" s="16" t="s">
        <v>408</v>
      </c>
      <c r="B2" s="16" t="s">
        <v>42</v>
      </c>
      <c r="C2" s="16" t="s">
        <v>409</v>
      </c>
      <c r="D2" s="16" t="s">
        <v>410</v>
      </c>
      <c r="E2" s="16" t="s">
        <v>411</v>
      </c>
      <c r="F2" s="16" t="s">
        <v>412</v>
      </c>
      <c r="G2" s="16" t="s">
        <v>413</v>
      </c>
      <c r="H2" s="16" t="s">
        <v>54</v>
      </c>
      <c r="I2" s="16" t="s">
        <v>32</v>
      </c>
      <c r="J2" s="16" t="s">
        <v>414</v>
      </c>
      <c r="K2" s="16" t="s">
        <v>415</v>
      </c>
      <c r="L2" s="16" t="s">
        <v>416</v>
      </c>
      <c r="M2" s="16" t="s">
        <v>100</v>
      </c>
      <c r="N2" s="16" t="s">
        <v>417</v>
      </c>
      <c r="O2" s="17" t="s">
        <v>92</v>
      </c>
      <c r="P2" s="18" t="s">
        <v>93</v>
      </c>
      <c r="Q2" s="18"/>
      <c r="R2" s="18"/>
    </row>
    <row r="3" customFormat="false" ht="32.8" hidden="false" customHeight="false" outlineLevel="0" collapsed="false">
      <c r="A3" s="16" t="s">
        <v>418</v>
      </c>
      <c r="B3" s="16" t="s">
        <v>42</v>
      </c>
      <c r="C3" s="16" t="s">
        <v>409</v>
      </c>
      <c r="D3" s="16" t="s">
        <v>410</v>
      </c>
      <c r="E3" s="16" t="s">
        <v>419</v>
      </c>
      <c r="F3" s="16" t="s">
        <v>412</v>
      </c>
      <c r="G3" s="16" t="s">
        <v>420</v>
      </c>
      <c r="H3" s="16" t="s">
        <v>54</v>
      </c>
      <c r="I3" s="16" t="s">
        <v>33</v>
      </c>
      <c r="J3" s="16" t="s">
        <v>414</v>
      </c>
      <c r="K3" s="16" t="s">
        <v>415</v>
      </c>
      <c r="L3" s="16" t="s">
        <v>416</v>
      </c>
      <c r="M3" s="16" t="s">
        <v>100</v>
      </c>
      <c r="N3" s="16" t="s">
        <v>421</v>
      </c>
      <c r="O3" s="17" t="s">
        <v>92</v>
      </c>
      <c r="P3" s="18" t="s">
        <v>93</v>
      </c>
      <c r="Q3" s="18"/>
      <c r="R3" s="18"/>
    </row>
    <row r="4" customFormat="false" ht="32.8" hidden="false" customHeight="false" outlineLevel="0" collapsed="false">
      <c r="A4" s="16" t="s">
        <v>422</v>
      </c>
      <c r="B4" s="16" t="s">
        <v>42</v>
      </c>
      <c r="C4" s="16" t="s">
        <v>409</v>
      </c>
      <c r="D4" s="16" t="s">
        <v>423</v>
      </c>
      <c r="E4" s="16" t="s">
        <v>424</v>
      </c>
      <c r="F4" s="16" t="s">
        <v>412</v>
      </c>
      <c r="G4" s="16" t="s">
        <v>425</v>
      </c>
      <c r="H4" s="16" t="s">
        <v>54</v>
      </c>
      <c r="I4" s="16" t="s">
        <v>32</v>
      </c>
      <c r="J4" s="16" t="s">
        <v>414</v>
      </c>
      <c r="K4" s="16" t="s">
        <v>426</v>
      </c>
      <c r="L4" s="16" t="s">
        <v>427</v>
      </c>
      <c r="M4" s="16" t="s">
        <v>100</v>
      </c>
      <c r="N4" s="16" t="s">
        <v>428</v>
      </c>
      <c r="O4" s="17" t="s">
        <v>92</v>
      </c>
      <c r="P4" s="18" t="s">
        <v>93</v>
      </c>
      <c r="Q4" s="18"/>
      <c r="R4" s="18"/>
    </row>
    <row r="5" customFormat="false" ht="32.8" hidden="false" customHeight="false" outlineLevel="0" collapsed="false">
      <c r="A5" s="16" t="s">
        <v>429</v>
      </c>
      <c r="B5" s="16" t="s">
        <v>42</v>
      </c>
      <c r="C5" s="16" t="s">
        <v>409</v>
      </c>
      <c r="D5" s="16" t="s">
        <v>410</v>
      </c>
      <c r="E5" s="16" t="s">
        <v>430</v>
      </c>
      <c r="F5" s="16" t="s">
        <v>412</v>
      </c>
      <c r="G5" s="16" t="s">
        <v>431</v>
      </c>
      <c r="H5" s="16" t="s">
        <v>54</v>
      </c>
      <c r="I5" s="16" t="s">
        <v>34</v>
      </c>
      <c r="J5" s="16" t="s">
        <v>414</v>
      </c>
      <c r="K5" s="16" t="s">
        <v>415</v>
      </c>
      <c r="L5" s="16" t="s">
        <v>416</v>
      </c>
      <c r="M5" s="16" t="s">
        <v>100</v>
      </c>
      <c r="N5" s="16" t="s">
        <v>432</v>
      </c>
      <c r="O5" s="17" t="s">
        <v>92</v>
      </c>
      <c r="P5" s="18" t="s">
        <v>93</v>
      </c>
      <c r="Q5" s="18"/>
      <c r="R5" s="18"/>
    </row>
    <row r="6" customFormat="false" ht="32.8" hidden="false" customHeight="false" outlineLevel="0" collapsed="false">
      <c r="A6" s="16" t="s">
        <v>433</v>
      </c>
      <c r="B6" s="16" t="s">
        <v>42</v>
      </c>
      <c r="C6" s="16" t="s">
        <v>409</v>
      </c>
      <c r="D6" s="16" t="s">
        <v>410</v>
      </c>
      <c r="E6" s="16" t="s">
        <v>434</v>
      </c>
      <c r="F6" s="16" t="s">
        <v>412</v>
      </c>
      <c r="G6" s="16" t="s">
        <v>435</v>
      </c>
      <c r="H6" s="16" t="s">
        <v>54</v>
      </c>
      <c r="I6" s="16" t="s">
        <v>33</v>
      </c>
      <c r="J6" s="16" t="s">
        <v>414</v>
      </c>
      <c r="K6" s="16" t="s">
        <v>415</v>
      </c>
      <c r="L6" s="16" t="s">
        <v>436</v>
      </c>
      <c r="M6" s="16" t="s">
        <v>100</v>
      </c>
      <c r="N6" s="16" t="s">
        <v>437</v>
      </c>
      <c r="O6" s="17" t="s">
        <v>92</v>
      </c>
      <c r="P6" s="18" t="s">
        <v>93</v>
      </c>
      <c r="Q6" s="18"/>
      <c r="R6" s="18"/>
    </row>
    <row r="7" customFormat="false" ht="32.8" hidden="false" customHeight="false" outlineLevel="0" collapsed="false">
      <c r="A7" s="16" t="s">
        <v>438</v>
      </c>
      <c r="B7" s="16" t="s">
        <v>42</v>
      </c>
      <c r="C7" s="16" t="s">
        <v>409</v>
      </c>
      <c r="D7" s="16" t="s">
        <v>423</v>
      </c>
      <c r="E7" s="16" t="s">
        <v>439</v>
      </c>
      <c r="F7" s="16" t="s">
        <v>412</v>
      </c>
      <c r="G7" s="16" t="s">
        <v>440</v>
      </c>
      <c r="H7" s="16" t="s">
        <v>54</v>
      </c>
      <c r="I7" s="16" t="s">
        <v>31</v>
      </c>
      <c r="J7" s="16" t="s">
        <v>414</v>
      </c>
      <c r="K7" s="16" t="s">
        <v>426</v>
      </c>
      <c r="L7" s="16" t="s">
        <v>427</v>
      </c>
      <c r="M7" s="16" t="s">
        <v>100</v>
      </c>
      <c r="N7" s="16" t="s">
        <v>441</v>
      </c>
      <c r="O7" s="17" t="s">
        <v>92</v>
      </c>
      <c r="P7" s="18" t="s">
        <v>93</v>
      </c>
      <c r="Q7" s="18"/>
      <c r="R7" s="18"/>
    </row>
    <row r="8" customFormat="false" ht="32.8" hidden="false" customHeight="false" outlineLevel="0" collapsed="false">
      <c r="A8" s="16" t="s">
        <v>442</v>
      </c>
      <c r="B8" s="16" t="s">
        <v>42</v>
      </c>
      <c r="C8" s="16" t="s">
        <v>409</v>
      </c>
      <c r="D8" s="16" t="s">
        <v>423</v>
      </c>
      <c r="E8" s="16" t="s">
        <v>443</v>
      </c>
      <c r="F8" s="16" t="s">
        <v>412</v>
      </c>
      <c r="G8" s="16" t="s">
        <v>444</v>
      </c>
      <c r="H8" s="16" t="s">
        <v>54</v>
      </c>
      <c r="I8" s="16" t="s">
        <v>32</v>
      </c>
      <c r="J8" s="16" t="s">
        <v>414</v>
      </c>
      <c r="K8" s="16" t="s">
        <v>171</v>
      </c>
      <c r="L8" s="16" t="s">
        <v>416</v>
      </c>
      <c r="M8" s="16" t="s">
        <v>100</v>
      </c>
      <c r="N8" s="16" t="s">
        <v>445</v>
      </c>
      <c r="O8" s="17" t="s">
        <v>92</v>
      </c>
      <c r="P8" s="18" t="s">
        <v>93</v>
      </c>
      <c r="Q8" s="18"/>
      <c r="R8" s="18"/>
    </row>
    <row r="9" customFormat="false" ht="32.8" hidden="false" customHeight="false" outlineLevel="0" collapsed="false">
      <c r="A9" s="16" t="s">
        <v>446</v>
      </c>
      <c r="B9" s="16" t="s">
        <v>42</v>
      </c>
      <c r="C9" s="16" t="s">
        <v>409</v>
      </c>
      <c r="D9" s="16" t="s">
        <v>447</v>
      </c>
      <c r="E9" s="16" t="s">
        <v>448</v>
      </c>
      <c r="F9" s="16" t="s">
        <v>412</v>
      </c>
      <c r="G9" s="16" t="s">
        <v>449</v>
      </c>
      <c r="H9" s="16" t="s">
        <v>54</v>
      </c>
      <c r="I9" s="16" t="s">
        <v>32</v>
      </c>
      <c r="J9" s="16" t="s">
        <v>414</v>
      </c>
      <c r="K9" s="16" t="s">
        <v>171</v>
      </c>
      <c r="L9" s="16" t="s">
        <v>450</v>
      </c>
      <c r="M9" s="16" t="s">
        <v>100</v>
      </c>
      <c r="N9" s="16" t="s">
        <v>451</v>
      </c>
      <c r="O9" s="17" t="s">
        <v>92</v>
      </c>
      <c r="P9" s="18" t="s">
        <v>93</v>
      </c>
      <c r="Q9" s="18"/>
      <c r="R9" s="18"/>
    </row>
    <row r="10" customFormat="false" ht="32.8" hidden="false" customHeight="false" outlineLevel="0" collapsed="false">
      <c r="A10" s="16" t="s">
        <v>452</v>
      </c>
      <c r="B10" s="16" t="s">
        <v>42</v>
      </c>
      <c r="C10" s="16" t="s">
        <v>409</v>
      </c>
      <c r="D10" s="16" t="s">
        <v>453</v>
      </c>
      <c r="E10" s="16" t="s">
        <v>454</v>
      </c>
      <c r="F10" s="16" t="s">
        <v>412</v>
      </c>
      <c r="G10" s="16" t="s">
        <v>455</v>
      </c>
      <c r="H10" s="16" t="s">
        <v>54</v>
      </c>
      <c r="I10" s="16" t="s">
        <v>32</v>
      </c>
      <c r="J10" s="16" t="s">
        <v>414</v>
      </c>
      <c r="K10" s="16" t="s">
        <v>171</v>
      </c>
      <c r="L10" s="16" t="s">
        <v>416</v>
      </c>
      <c r="M10" s="16" t="s">
        <v>100</v>
      </c>
      <c r="N10" s="16" t="s">
        <v>456</v>
      </c>
      <c r="O10" s="17" t="s">
        <v>92</v>
      </c>
      <c r="P10" s="18" t="s">
        <v>93</v>
      </c>
      <c r="Q10" s="18"/>
      <c r="R10" s="18"/>
    </row>
    <row r="11" customFormat="false" ht="32.8" hidden="false" customHeight="false" outlineLevel="0" collapsed="false">
      <c r="A11" s="16" t="s">
        <v>457</v>
      </c>
      <c r="B11" s="16" t="s">
        <v>42</v>
      </c>
      <c r="C11" s="16" t="s">
        <v>409</v>
      </c>
      <c r="D11" s="16" t="s">
        <v>458</v>
      </c>
      <c r="E11" s="16" t="s">
        <v>459</v>
      </c>
      <c r="F11" s="16" t="s">
        <v>412</v>
      </c>
      <c r="G11" s="16" t="s">
        <v>460</v>
      </c>
      <c r="H11" s="16" t="s">
        <v>54</v>
      </c>
      <c r="I11" s="16" t="s">
        <v>33</v>
      </c>
      <c r="J11" s="16" t="s">
        <v>414</v>
      </c>
      <c r="K11" s="16" t="s">
        <v>171</v>
      </c>
      <c r="L11" s="16" t="s">
        <v>416</v>
      </c>
      <c r="M11" s="16" t="s">
        <v>100</v>
      </c>
      <c r="N11" s="16" t="s">
        <v>461</v>
      </c>
      <c r="O11" s="17" t="s">
        <v>92</v>
      </c>
      <c r="P11" s="18" t="s">
        <v>93</v>
      </c>
      <c r="Q11" s="18"/>
      <c r="R11" s="18"/>
    </row>
    <row r="12" customFormat="false" ht="32.8" hidden="false" customHeight="false" outlineLevel="0" collapsed="false">
      <c r="A12" s="16" t="s">
        <v>462</v>
      </c>
      <c r="B12" s="16" t="s">
        <v>42</v>
      </c>
      <c r="C12" s="16" t="s">
        <v>409</v>
      </c>
      <c r="D12" s="16" t="s">
        <v>458</v>
      </c>
      <c r="E12" s="16" t="s">
        <v>463</v>
      </c>
      <c r="F12" s="16" t="s">
        <v>412</v>
      </c>
      <c r="G12" s="16" t="s">
        <v>464</v>
      </c>
      <c r="H12" s="16" t="s">
        <v>54</v>
      </c>
      <c r="I12" s="16" t="s">
        <v>33</v>
      </c>
      <c r="J12" s="16" t="s">
        <v>414</v>
      </c>
      <c r="K12" s="16" t="s">
        <v>171</v>
      </c>
      <c r="L12" s="16" t="s">
        <v>416</v>
      </c>
      <c r="M12" s="16" t="s">
        <v>100</v>
      </c>
      <c r="N12" s="16" t="s">
        <v>465</v>
      </c>
      <c r="O12" s="17" t="s">
        <v>92</v>
      </c>
      <c r="P12" s="18" t="s">
        <v>93</v>
      </c>
      <c r="Q12" s="18"/>
      <c r="R12" s="18"/>
    </row>
    <row r="13" customFormat="false" ht="32.8" hidden="false" customHeight="false" outlineLevel="0" collapsed="false">
      <c r="A13" s="16" t="s">
        <v>466</v>
      </c>
      <c r="B13" s="16" t="s">
        <v>42</v>
      </c>
      <c r="C13" s="16" t="s">
        <v>409</v>
      </c>
      <c r="D13" s="16" t="s">
        <v>458</v>
      </c>
      <c r="E13" s="16" t="s">
        <v>467</v>
      </c>
      <c r="F13" s="16" t="s">
        <v>412</v>
      </c>
      <c r="G13" s="16" t="s">
        <v>468</v>
      </c>
      <c r="H13" s="16" t="s">
        <v>54</v>
      </c>
      <c r="I13" s="16" t="s">
        <v>32</v>
      </c>
      <c r="J13" s="16" t="s">
        <v>414</v>
      </c>
      <c r="K13" s="16" t="s">
        <v>171</v>
      </c>
      <c r="L13" s="16" t="s">
        <v>416</v>
      </c>
      <c r="M13" s="16" t="s">
        <v>469</v>
      </c>
      <c r="N13" s="16" t="s">
        <v>470</v>
      </c>
      <c r="O13" s="17" t="s">
        <v>92</v>
      </c>
      <c r="P13" s="18" t="s">
        <v>93</v>
      </c>
      <c r="Q13" s="18"/>
      <c r="R13" s="18"/>
    </row>
    <row r="14" customFormat="false" ht="32.8" hidden="false" customHeight="false" outlineLevel="0" collapsed="false">
      <c r="A14" s="16" t="s">
        <v>471</v>
      </c>
      <c r="B14" s="16" t="s">
        <v>42</v>
      </c>
      <c r="C14" s="16" t="s">
        <v>472</v>
      </c>
      <c r="D14" s="16" t="s">
        <v>473</v>
      </c>
      <c r="E14" s="16" t="s">
        <v>474</v>
      </c>
      <c r="F14" s="16" t="s">
        <v>475</v>
      </c>
      <c r="G14" s="16" t="s">
        <v>476</v>
      </c>
      <c r="H14" s="16" t="s">
        <v>54</v>
      </c>
      <c r="I14" s="16" t="s">
        <v>32</v>
      </c>
      <c r="J14" s="16" t="s">
        <v>414</v>
      </c>
      <c r="K14" s="16" t="s">
        <v>140</v>
      </c>
      <c r="L14" s="16" t="s">
        <v>141</v>
      </c>
      <c r="M14" s="16" t="s">
        <v>100</v>
      </c>
      <c r="N14" s="16" t="s">
        <v>477</v>
      </c>
      <c r="O14" s="17" t="s">
        <v>92</v>
      </c>
      <c r="P14" s="18" t="s">
        <v>93</v>
      </c>
      <c r="Q14" s="18"/>
      <c r="R14" s="18"/>
    </row>
    <row r="15" customFormat="false" ht="32.8" hidden="false" customHeight="false" outlineLevel="0" collapsed="false">
      <c r="A15" s="16" t="s">
        <v>478</v>
      </c>
      <c r="B15" s="16" t="s">
        <v>42</v>
      </c>
      <c r="C15" s="16" t="s">
        <v>472</v>
      </c>
      <c r="D15" s="16" t="s">
        <v>473</v>
      </c>
      <c r="E15" s="16" t="s">
        <v>479</v>
      </c>
      <c r="F15" s="16" t="s">
        <v>475</v>
      </c>
      <c r="G15" s="16" t="s">
        <v>480</v>
      </c>
      <c r="H15" s="16" t="s">
        <v>56</v>
      </c>
      <c r="I15" s="16" t="s">
        <v>32</v>
      </c>
      <c r="J15" s="16" t="s">
        <v>414</v>
      </c>
      <c r="K15" s="16" t="s">
        <v>330</v>
      </c>
      <c r="L15" s="16" t="s">
        <v>481</v>
      </c>
      <c r="M15" s="16" t="s">
        <v>100</v>
      </c>
      <c r="N15" s="16" t="s">
        <v>482</v>
      </c>
      <c r="O15" s="17" t="s">
        <v>92</v>
      </c>
      <c r="P15" s="18" t="s">
        <v>93</v>
      </c>
      <c r="Q15" s="18"/>
      <c r="R15" s="18"/>
    </row>
    <row r="16" customFormat="false" ht="32.8" hidden="false" customHeight="false" outlineLevel="0" collapsed="false">
      <c r="A16" s="16" t="s">
        <v>483</v>
      </c>
      <c r="B16" s="16" t="s">
        <v>42</v>
      </c>
      <c r="C16" s="16" t="s">
        <v>472</v>
      </c>
      <c r="D16" s="16" t="s">
        <v>484</v>
      </c>
      <c r="E16" s="16" t="s">
        <v>485</v>
      </c>
      <c r="F16" s="16" t="s">
        <v>475</v>
      </c>
      <c r="G16" s="16" t="s">
        <v>486</v>
      </c>
      <c r="H16" s="16" t="s">
        <v>54</v>
      </c>
      <c r="I16" s="16" t="s">
        <v>31</v>
      </c>
      <c r="J16" s="16" t="s">
        <v>414</v>
      </c>
      <c r="K16" s="16" t="s">
        <v>140</v>
      </c>
      <c r="L16" s="16" t="s">
        <v>141</v>
      </c>
      <c r="M16" s="16" t="s">
        <v>100</v>
      </c>
      <c r="N16" s="16" t="s">
        <v>487</v>
      </c>
      <c r="O16" s="17" t="s">
        <v>92</v>
      </c>
      <c r="P16" s="18" t="s">
        <v>93</v>
      </c>
      <c r="Q16" s="18"/>
      <c r="R16" s="18"/>
    </row>
    <row r="17" customFormat="false" ht="32.8" hidden="false" customHeight="false" outlineLevel="0" collapsed="false">
      <c r="A17" s="16" t="s">
        <v>488</v>
      </c>
      <c r="B17" s="16" t="s">
        <v>42</v>
      </c>
      <c r="C17" s="16" t="s">
        <v>472</v>
      </c>
      <c r="D17" s="16" t="s">
        <v>484</v>
      </c>
      <c r="E17" s="16" t="s">
        <v>489</v>
      </c>
      <c r="F17" s="16" t="s">
        <v>475</v>
      </c>
      <c r="G17" s="16" t="s">
        <v>490</v>
      </c>
      <c r="H17" s="16" t="s">
        <v>54</v>
      </c>
      <c r="I17" s="16" t="s">
        <v>32</v>
      </c>
      <c r="J17" s="16" t="s">
        <v>414</v>
      </c>
      <c r="K17" s="16" t="s">
        <v>491</v>
      </c>
      <c r="L17" s="16" t="s">
        <v>481</v>
      </c>
      <c r="M17" s="16" t="s">
        <v>100</v>
      </c>
      <c r="N17" s="16" t="s">
        <v>492</v>
      </c>
      <c r="O17" s="17" t="s">
        <v>92</v>
      </c>
      <c r="P17" s="18" t="s">
        <v>93</v>
      </c>
      <c r="Q17" s="18"/>
      <c r="R17" s="18"/>
    </row>
    <row r="18" customFormat="false" ht="32.8" hidden="false" customHeight="false" outlineLevel="0" collapsed="false">
      <c r="A18" s="16" t="s">
        <v>493</v>
      </c>
      <c r="B18" s="16" t="s">
        <v>42</v>
      </c>
      <c r="C18" s="16" t="s">
        <v>472</v>
      </c>
      <c r="D18" s="16" t="s">
        <v>484</v>
      </c>
      <c r="E18" s="16" t="s">
        <v>494</v>
      </c>
      <c r="F18" s="16" t="s">
        <v>475</v>
      </c>
      <c r="G18" s="16" t="s">
        <v>495</v>
      </c>
      <c r="H18" s="16" t="s">
        <v>54</v>
      </c>
      <c r="I18" s="16" t="s">
        <v>33</v>
      </c>
      <c r="J18" s="16" t="s">
        <v>414</v>
      </c>
      <c r="K18" s="16" t="s">
        <v>140</v>
      </c>
      <c r="L18" s="16" t="s">
        <v>141</v>
      </c>
      <c r="M18" s="16" t="s">
        <v>100</v>
      </c>
      <c r="N18" s="16" t="s">
        <v>496</v>
      </c>
      <c r="O18" s="17" t="s">
        <v>92</v>
      </c>
      <c r="P18" s="18" t="s">
        <v>93</v>
      </c>
      <c r="Q18" s="18"/>
      <c r="R18" s="18"/>
    </row>
    <row r="19" customFormat="false" ht="32.8" hidden="false" customHeight="false" outlineLevel="0" collapsed="false">
      <c r="A19" s="16" t="s">
        <v>497</v>
      </c>
      <c r="B19" s="16" t="s">
        <v>42</v>
      </c>
      <c r="C19" s="16" t="s">
        <v>498</v>
      </c>
      <c r="D19" s="16" t="s">
        <v>499</v>
      </c>
      <c r="E19" s="16" t="s">
        <v>500</v>
      </c>
      <c r="F19" s="16" t="s">
        <v>501</v>
      </c>
      <c r="G19" s="16" t="s">
        <v>502</v>
      </c>
      <c r="H19" s="16" t="s">
        <v>57</v>
      </c>
      <c r="I19" s="16" t="s">
        <v>32</v>
      </c>
      <c r="J19" s="16" t="s">
        <v>414</v>
      </c>
      <c r="K19" s="16" t="s">
        <v>171</v>
      </c>
      <c r="L19" s="16" t="s">
        <v>272</v>
      </c>
      <c r="M19" s="16" t="s">
        <v>100</v>
      </c>
      <c r="N19" s="16" t="s">
        <v>503</v>
      </c>
      <c r="O19" s="17" t="s">
        <v>92</v>
      </c>
      <c r="P19" s="18" t="s">
        <v>93</v>
      </c>
      <c r="Q19" s="18"/>
      <c r="R19" s="18"/>
    </row>
    <row r="20" customFormat="false" ht="32.8" hidden="false" customHeight="false" outlineLevel="0" collapsed="false">
      <c r="A20" s="16" t="s">
        <v>504</v>
      </c>
      <c r="B20" s="16" t="s">
        <v>42</v>
      </c>
      <c r="C20" s="16" t="s">
        <v>498</v>
      </c>
      <c r="D20" s="16" t="s">
        <v>505</v>
      </c>
      <c r="E20" s="16" t="s">
        <v>506</v>
      </c>
      <c r="F20" s="16" t="s">
        <v>501</v>
      </c>
      <c r="G20" s="16" t="s">
        <v>507</v>
      </c>
      <c r="H20" s="16" t="s">
        <v>54</v>
      </c>
      <c r="I20" s="16" t="s">
        <v>32</v>
      </c>
      <c r="J20" s="16" t="s">
        <v>414</v>
      </c>
      <c r="K20" s="16" t="s">
        <v>415</v>
      </c>
      <c r="L20" s="16" t="s">
        <v>272</v>
      </c>
      <c r="M20" s="16" t="s">
        <v>100</v>
      </c>
      <c r="N20" s="16" t="s">
        <v>508</v>
      </c>
      <c r="O20" s="17" t="s">
        <v>92</v>
      </c>
      <c r="P20" s="18" t="s">
        <v>93</v>
      </c>
      <c r="Q20" s="18"/>
      <c r="R20" s="18"/>
    </row>
    <row r="21" customFormat="false" ht="32.8" hidden="false" customHeight="false" outlineLevel="0" collapsed="false">
      <c r="A21" s="16" t="s">
        <v>509</v>
      </c>
      <c r="B21" s="16" t="s">
        <v>42</v>
      </c>
      <c r="C21" s="16" t="s">
        <v>498</v>
      </c>
      <c r="D21" s="16" t="s">
        <v>505</v>
      </c>
      <c r="E21" s="16" t="s">
        <v>510</v>
      </c>
      <c r="F21" s="16" t="s">
        <v>501</v>
      </c>
      <c r="G21" s="16" t="s">
        <v>511</v>
      </c>
      <c r="H21" s="16" t="s">
        <v>54</v>
      </c>
      <c r="I21" s="16" t="s">
        <v>33</v>
      </c>
      <c r="J21" s="16" t="s">
        <v>414</v>
      </c>
      <c r="K21" s="16" t="s">
        <v>426</v>
      </c>
      <c r="L21" s="16" t="s">
        <v>272</v>
      </c>
      <c r="M21" s="16" t="s">
        <v>100</v>
      </c>
      <c r="N21" s="16" t="s">
        <v>512</v>
      </c>
      <c r="O21" s="17" t="s">
        <v>92</v>
      </c>
      <c r="P21" s="18" t="s">
        <v>93</v>
      </c>
      <c r="Q21" s="18"/>
      <c r="R21" s="18"/>
    </row>
    <row r="22" customFormat="false" ht="32.8" hidden="false" customHeight="false" outlineLevel="0" collapsed="false">
      <c r="A22" s="16" t="s">
        <v>513</v>
      </c>
      <c r="B22" s="16" t="s">
        <v>42</v>
      </c>
      <c r="C22" s="16" t="s">
        <v>498</v>
      </c>
      <c r="D22" s="16" t="s">
        <v>505</v>
      </c>
      <c r="E22" s="16" t="s">
        <v>514</v>
      </c>
      <c r="F22" s="16" t="s">
        <v>501</v>
      </c>
      <c r="G22" s="16" t="s">
        <v>515</v>
      </c>
      <c r="H22" s="16" t="s">
        <v>54</v>
      </c>
      <c r="I22" s="16" t="s">
        <v>34</v>
      </c>
      <c r="J22" s="16" t="s">
        <v>414</v>
      </c>
      <c r="K22" s="16" t="s">
        <v>171</v>
      </c>
      <c r="L22" s="16" t="s">
        <v>272</v>
      </c>
      <c r="M22" s="16" t="s">
        <v>100</v>
      </c>
      <c r="N22" s="16" t="s">
        <v>516</v>
      </c>
      <c r="O22" s="17" t="s">
        <v>92</v>
      </c>
      <c r="P22" s="18" t="s">
        <v>93</v>
      </c>
      <c r="Q22" s="18"/>
      <c r="R22" s="18"/>
    </row>
    <row r="23" customFormat="false" ht="32.8" hidden="false" customHeight="false" outlineLevel="0" collapsed="false">
      <c r="A23" s="16" t="s">
        <v>517</v>
      </c>
      <c r="B23" s="16" t="s">
        <v>42</v>
      </c>
      <c r="C23" s="16" t="s">
        <v>498</v>
      </c>
      <c r="D23" s="16" t="s">
        <v>505</v>
      </c>
      <c r="E23" s="16" t="s">
        <v>518</v>
      </c>
      <c r="F23" s="16" t="s">
        <v>501</v>
      </c>
      <c r="G23" s="16" t="s">
        <v>519</v>
      </c>
      <c r="H23" s="16" t="s">
        <v>54</v>
      </c>
      <c r="I23" s="16" t="s">
        <v>32</v>
      </c>
      <c r="J23" s="16" t="s">
        <v>414</v>
      </c>
      <c r="K23" s="16" t="s">
        <v>520</v>
      </c>
      <c r="L23" s="16" t="s">
        <v>272</v>
      </c>
      <c r="M23" s="16" t="s">
        <v>100</v>
      </c>
      <c r="N23" s="16" t="s">
        <v>521</v>
      </c>
      <c r="O23" s="17" t="s">
        <v>92</v>
      </c>
      <c r="P23" s="18" t="s">
        <v>93</v>
      </c>
      <c r="Q23" s="18"/>
      <c r="R23" s="18"/>
    </row>
    <row r="24" customFormat="false" ht="32.8" hidden="false" customHeight="false" outlineLevel="0" collapsed="false">
      <c r="A24" s="16" t="s">
        <v>522</v>
      </c>
      <c r="B24" s="16" t="s">
        <v>42</v>
      </c>
      <c r="C24" s="16" t="s">
        <v>498</v>
      </c>
      <c r="D24" s="16" t="s">
        <v>505</v>
      </c>
      <c r="E24" s="16" t="s">
        <v>523</v>
      </c>
      <c r="F24" s="16" t="s">
        <v>501</v>
      </c>
      <c r="G24" s="16" t="s">
        <v>524</v>
      </c>
      <c r="H24" s="16" t="s">
        <v>54</v>
      </c>
      <c r="I24" s="16" t="s">
        <v>34</v>
      </c>
      <c r="J24" s="16" t="s">
        <v>414</v>
      </c>
      <c r="K24" s="16" t="s">
        <v>415</v>
      </c>
      <c r="L24" s="16" t="s">
        <v>272</v>
      </c>
      <c r="M24" s="16" t="s">
        <v>100</v>
      </c>
      <c r="N24" s="16" t="s">
        <v>525</v>
      </c>
      <c r="O24" s="17" t="s">
        <v>92</v>
      </c>
      <c r="P24" s="18" t="s">
        <v>93</v>
      </c>
      <c r="Q24" s="18"/>
      <c r="R24" s="18"/>
    </row>
    <row r="25" customFormat="false" ht="32.8" hidden="false" customHeight="false" outlineLevel="0" collapsed="false">
      <c r="A25" s="16" t="s">
        <v>526</v>
      </c>
      <c r="B25" s="16" t="s">
        <v>42</v>
      </c>
      <c r="C25" s="16" t="s">
        <v>498</v>
      </c>
      <c r="D25" s="16" t="s">
        <v>505</v>
      </c>
      <c r="E25" s="16" t="s">
        <v>527</v>
      </c>
      <c r="F25" s="16" t="s">
        <v>501</v>
      </c>
      <c r="G25" s="16" t="s">
        <v>528</v>
      </c>
      <c r="H25" s="16" t="s">
        <v>54</v>
      </c>
      <c r="I25" s="16" t="s">
        <v>33</v>
      </c>
      <c r="J25" s="16" t="s">
        <v>414</v>
      </c>
      <c r="K25" s="16" t="s">
        <v>415</v>
      </c>
      <c r="L25" s="16" t="s">
        <v>272</v>
      </c>
      <c r="M25" s="16" t="s">
        <v>100</v>
      </c>
      <c r="N25" s="16" t="s">
        <v>529</v>
      </c>
      <c r="O25" s="17" t="s">
        <v>92</v>
      </c>
      <c r="P25" s="18" t="s">
        <v>93</v>
      </c>
      <c r="Q25" s="18"/>
      <c r="R25" s="18"/>
    </row>
    <row r="26" customFormat="false" ht="32.8" hidden="false" customHeight="false" outlineLevel="0" collapsed="false">
      <c r="A26" s="16" t="s">
        <v>530</v>
      </c>
      <c r="B26" s="16" t="s">
        <v>42</v>
      </c>
      <c r="C26" s="16" t="s">
        <v>498</v>
      </c>
      <c r="D26" s="16" t="s">
        <v>505</v>
      </c>
      <c r="E26" s="16" t="s">
        <v>531</v>
      </c>
      <c r="F26" s="16" t="s">
        <v>501</v>
      </c>
      <c r="G26" s="16" t="s">
        <v>532</v>
      </c>
      <c r="H26" s="16" t="s">
        <v>54</v>
      </c>
      <c r="I26" s="16" t="s">
        <v>33</v>
      </c>
      <c r="J26" s="16" t="s">
        <v>414</v>
      </c>
      <c r="K26" s="16" t="s">
        <v>415</v>
      </c>
      <c r="L26" s="16" t="s">
        <v>533</v>
      </c>
      <c r="M26" s="16" t="s">
        <v>100</v>
      </c>
      <c r="N26" s="16" t="s">
        <v>534</v>
      </c>
      <c r="O26" s="17" t="s">
        <v>92</v>
      </c>
      <c r="P26" s="18" t="s">
        <v>93</v>
      </c>
      <c r="Q26" s="18"/>
      <c r="R26" s="18"/>
    </row>
    <row r="27" customFormat="false" ht="32.8" hidden="false" customHeight="false" outlineLevel="0" collapsed="false">
      <c r="A27" s="16" t="s">
        <v>535</v>
      </c>
      <c r="B27" s="16" t="s">
        <v>42</v>
      </c>
      <c r="C27" s="16" t="s">
        <v>498</v>
      </c>
      <c r="D27" s="16" t="s">
        <v>505</v>
      </c>
      <c r="E27" s="16" t="s">
        <v>536</v>
      </c>
      <c r="F27" s="16" t="s">
        <v>501</v>
      </c>
      <c r="G27" s="16" t="s">
        <v>537</v>
      </c>
      <c r="H27" s="16" t="s">
        <v>54</v>
      </c>
      <c r="I27" s="16" t="s">
        <v>34</v>
      </c>
      <c r="J27" s="16" t="s">
        <v>414</v>
      </c>
      <c r="K27" s="16" t="s">
        <v>426</v>
      </c>
      <c r="L27" s="16" t="s">
        <v>272</v>
      </c>
      <c r="M27" s="16" t="s">
        <v>100</v>
      </c>
      <c r="N27" s="16" t="s">
        <v>538</v>
      </c>
      <c r="O27" s="17" t="s">
        <v>92</v>
      </c>
      <c r="P27" s="18" t="s">
        <v>93</v>
      </c>
      <c r="Q27" s="18"/>
      <c r="R27" s="18"/>
    </row>
    <row r="28" customFormat="false" ht="32.8" hidden="false" customHeight="false" outlineLevel="0" collapsed="false">
      <c r="A28" s="16" t="s">
        <v>539</v>
      </c>
      <c r="B28" s="16" t="s">
        <v>42</v>
      </c>
      <c r="C28" s="16" t="s">
        <v>540</v>
      </c>
      <c r="D28" s="16" t="s">
        <v>541</v>
      </c>
      <c r="E28" s="16" t="s">
        <v>542</v>
      </c>
      <c r="F28" s="16" t="s">
        <v>543</v>
      </c>
      <c r="G28" s="16" t="s">
        <v>544</v>
      </c>
      <c r="H28" s="16" t="s">
        <v>54</v>
      </c>
      <c r="I28" s="16" t="s">
        <v>32</v>
      </c>
      <c r="J28" s="16" t="s">
        <v>414</v>
      </c>
      <c r="K28" s="16" t="s">
        <v>545</v>
      </c>
      <c r="L28" s="16" t="s">
        <v>546</v>
      </c>
      <c r="M28" s="16" t="s">
        <v>100</v>
      </c>
      <c r="N28" s="16" t="s">
        <v>547</v>
      </c>
      <c r="O28" s="17" t="s">
        <v>92</v>
      </c>
      <c r="P28" s="18" t="s">
        <v>93</v>
      </c>
      <c r="Q28" s="18"/>
      <c r="R28" s="18"/>
    </row>
    <row r="29" customFormat="false" ht="32.8" hidden="false" customHeight="false" outlineLevel="0" collapsed="false">
      <c r="A29" s="16" t="s">
        <v>548</v>
      </c>
      <c r="B29" s="16" t="s">
        <v>42</v>
      </c>
      <c r="C29" s="16" t="s">
        <v>540</v>
      </c>
      <c r="D29" s="16" t="s">
        <v>549</v>
      </c>
      <c r="E29" s="16" t="s">
        <v>550</v>
      </c>
      <c r="F29" s="16" t="s">
        <v>543</v>
      </c>
      <c r="G29" s="16" t="s">
        <v>551</v>
      </c>
      <c r="H29" s="16" t="s">
        <v>54</v>
      </c>
      <c r="I29" s="16" t="s">
        <v>31</v>
      </c>
      <c r="J29" s="16" t="s">
        <v>414</v>
      </c>
      <c r="K29" s="16" t="s">
        <v>552</v>
      </c>
      <c r="L29" s="16" t="s">
        <v>553</v>
      </c>
      <c r="M29" s="16" t="s">
        <v>100</v>
      </c>
      <c r="N29" s="16" t="s">
        <v>554</v>
      </c>
      <c r="O29" s="17" t="s">
        <v>92</v>
      </c>
      <c r="P29" s="18" t="s">
        <v>93</v>
      </c>
      <c r="Q29" s="18"/>
      <c r="R29" s="18"/>
    </row>
    <row r="30" customFormat="false" ht="32.8" hidden="false" customHeight="false" outlineLevel="0" collapsed="false">
      <c r="A30" s="16" t="s">
        <v>555</v>
      </c>
      <c r="B30" s="16" t="s">
        <v>42</v>
      </c>
      <c r="C30" s="16" t="s">
        <v>540</v>
      </c>
      <c r="D30" s="16" t="s">
        <v>549</v>
      </c>
      <c r="E30" s="16" t="s">
        <v>556</v>
      </c>
      <c r="F30" s="16" t="s">
        <v>543</v>
      </c>
      <c r="G30" s="16" t="s">
        <v>557</v>
      </c>
      <c r="H30" s="16" t="s">
        <v>56</v>
      </c>
      <c r="I30" s="16" t="s">
        <v>33</v>
      </c>
      <c r="J30" s="16" t="s">
        <v>414</v>
      </c>
      <c r="K30" s="16" t="s">
        <v>558</v>
      </c>
      <c r="L30" s="16" t="s">
        <v>553</v>
      </c>
      <c r="M30" s="16" t="s">
        <v>100</v>
      </c>
      <c r="N30" s="16" t="s">
        <v>559</v>
      </c>
      <c r="O30" s="17" t="s">
        <v>92</v>
      </c>
      <c r="P30" s="18" t="s">
        <v>93</v>
      </c>
      <c r="Q30" s="18"/>
      <c r="R30" s="18"/>
    </row>
    <row r="31" customFormat="false" ht="32.8" hidden="false" customHeight="false" outlineLevel="0" collapsed="false">
      <c r="A31" s="16" t="s">
        <v>560</v>
      </c>
      <c r="B31" s="16" t="s">
        <v>42</v>
      </c>
      <c r="C31" s="16" t="s">
        <v>540</v>
      </c>
      <c r="D31" s="16" t="s">
        <v>549</v>
      </c>
      <c r="E31" s="16" t="s">
        <v>561</v>
      </c>
      <c r="F31" s="16" t="s">
        <v>543</v>
      </c>
      <c r="G31" s="16" t="s">
        <v>562</v>
      </c>
      <c r="H31" s="16" t="s">
        <v>56</v>
      </c>
      <c r="I31" s="16" t="s">
        <v>34</v>
      </c>
      <c r="J31" s="16" t="s">
        <v>414</v>
      </c>
      <c r="K31" s="16" t="s">
        <v>558</v>
      </c>
      <c r="L31" s="16" t="s">
        <v>553</v>
      </c>
      <c r="M31" s="16" t="s">
        <v>100</v>
      </c>
      <c r="N31" s="16" t="s">
        <v>563</v>
      </c>
      <c r="O31" s="17" t="s">
        <v>92</v>
      </c>
      <c r="P31" s="18" t="s">
        <v>93</v>
      </c>
      <c r="Q31" s="18"/>
      <c r="R31" s="18"/>
    </row>
    <row r="32" customFormat="false" ht="32.8" hidden="false" customHeight="false" outlineLevel="0" collapsed="false">
      <c r="A32" s="16" t="s">
        <v>564</v>
      </c>
      <c r="B32" s="16" t="s">
        <v>42</v>
      </c>
      <c r="C32" s="16" t="s">
        <v>540</v>
      </c>
      <c r="D32" s="16" t="s">
        <v>565</v>
      </c>
      <c r="E32" s="16" t="s">
        <v>566</v>
      </c>
      <c r="F32" s="16" t="s">
        <v>543</v>
      </c>
      <c r="G32" s="16" t="s">
        <v>567</v>
      </c>
      <c r="H32" s="16" t="s">
        <v>56</v>
      </c>
      <c r="I32" s="16" t="s">
        <v>34</v>
      </c>
      <c r="J32" s="16" t="s">
        <v>414</v>
      </c>
      <c r="K32" s="16" t="s">
        <v>568</v>
      </c>
      <c r="L32" s="16" t="s">
        <v>569</v>
      </c>
      <c r="M32" s="16" t="s">
        <v>100</v>
      </c>
      <c r="N32" s="16" t="s">
        <v>570</v>
      </c>
      <c r="O32" s="17" t="s">
        <v>92</v>
      </c>
      <c r="P32" s="18" t="s">
        <v>93</v>
      </c>
      <c r="Q32" s="18"/>
      <c r="R32" s="18"/>
    </row>
    <row r="33" customFormat="false" ht="32.8" hidden="false" customHeight="false" outlineLevel="0" collapsed="false">
      <c r="A33" s="16" t="s">
        <v>571</v>
      </c>
      <c r="B33" s="16" t="s">
        <v>42</v>
      </c>
      <c r="C33" s="16" t="s">
        <v>572</v>
      </c>
      <c r="D33" s="16" t="s">
        <v>573</v>
      </c>
      <c r="E33" s="16" t="s">
        <v>574</v>
      </c>
      <c r="F33" s="16" t="s">
        <v>575</v>
      </c>
      <c r="G33" s="16" t="s">
        <v>576</v>
      </c>
      <c r="H33" s="16" t="s">
        <v>54</v>
      </c>
      <c r="I33" s="16" t="s">
        <v>32</v>
      </c>
      <c r="J33" s="16" t="s">
        <v>414</v>
      </c>
      <c r="K33" s="16" t="s">
        <v>577</v>
      </c>
      <c r="L33" s="16" t="s">
        <v>553</v>
      </c>
      <c r="M33" s="16" t="s">
        <v>100</v>
      </c>
      <c r="N33" s="16" t="s">
        <v>578</v>
      </c>
      <c r="O33" s="17" t="s">
        <v>92</v>
      </c>
      <c r="P33" s="18" t="s">
        <v>93</v>
      </c>
      <c r="Q33" s="18"/>
      <c r="R33" s="18"/>
    </row>
    <row r="34" customFormat="false" ht="32.8" hidden="false" customHeight="false" outlineLevel="0" collapsed="false">
      <c r="A34" s="16" t="s">
        <v>579</v>
      </c>
      <c r="B34" s="16" t="s">
        <v>42</v>
      </c>
      <c r="C34" s="16" t="s">
        <v>572</v>
      </c>
      <c r="D34" s="16" t="s">
        <v>580</v>
      </c>
      <c r="E34" s="16" t="s">
        <v>581</v>
      </c>
      <c r="F34" s="16" t="s">
        <v>575</v>
      </c>
      <c r="G34" s="16" t="s">
        <v>582</v>
      </c>
      <c r="H34" s="16" t="s">
        <v>54</v>
      </c>
      <c r="I34" s="16" t="s">
        <v>31</v>
      </c>
      <c r="J34" s="16" t="s">
        <v>414</v>
      </c>
      <c r="K34" s="16" t="s">
        <v>583</v>
      </c>
      <c r="L34" s="16" t="s">
        <v>553</v>
      </c>
      <c r="M34" s="16" t="s">
        <v>100</v>
      </c>
      <c r="N34" s="16" t="s">
        <v>584</v>
      </c>
      <c r="O34" s="17" t="s">
        <v>92</v>
      </c>
      <c r="P34" s="18" t="s">
        <v>93</v>
      </c>
      <c r="Q34" s="18"/>
      <c r="R34" s="18"/>
    </row>
    <row r="35" customFormat="false" ht="32.8" hidden="false" customHeight="false" outlineLevel="0" collapsed="false">
      <c r="A35" s="16" t="s">
        <v>585</v>
      </c>
      <c r="B35" s="16" t="s">
        <v>42</v>
      </c>
      <c r="C35" s="16" t="s">
        <v>572</v>
      </c>
      <c r="D35" s="16" t="s">
        <v>580</v>
      </c>
      <c r="E35" s="16" t="s">
        <v>586</v>
      </c>
      <c r="F35" s="16" t="s">
        <v>575</v>
      </c>
      <c r="G35" s="16" t="s">
        <v>587</v>
      </c>
      <c r="H35" s="16" t="s">
        <v>58</v>
      </c>
      <c r="I35" s="16" t="s">
        <v>34</v>
      </c>
      <c r="J35" s="16" t="s">
        <v>414</v>
      </c>
      <c r="K35" s="16" t="s">
        <v>577</v>
      </c>
      <c r="L35" s="16" t="s">
        <v>553</v>
      </c>
      <c r="M35" s="16" t="s">
        <v>100</v>
      </c>
      <c r="N35" s="16" t="s">
        <v>588</v>
      </c>
      <c r="O35" s="17" t="s">
        <v>92</v>
      </c>
      <c r="P35" s="18" t="s">
        <v>93</v>
      </c>
      <c r="Q35" s="18"/>
      <c r="R35" s="18"/>
    </row>
    <row r="36" customFormat="false" ht="32.8" hidden="false" customHeight="false" outlineLevel="0" collapsed="false">
      <c r="A36" s="16" t="s">
        <v>589</v>
      </c>
      <c r="B36" s="16" t="s">
        <v>42</v>
      </c>
      <c r="C36" s="16" t="s">
        <v>572</v>
      </c>
      <c r="D36" s="16" t="s">
        <v>590</v>
      </c>
      <c r="E36" s="16" t="s">
        <v>591</v>
      </c>
      <c r="F36" s="16" t="s">
        <v>575</v>
      </c>
      <c r="G36" s="16" t="s">
        <v>592</v>
      </c>
      <c r="H36" s="16" t="s">
        <v>54</v>
      </c>
      <c r="I36" s="16" t="s">
        <v>32</v>
      </c>
      <c r="J36" s="16" t="s">
        <v>414</v>
      </c>
      <c r="K36" s="16" t="s">
        <v>577</v>
      </c>
      <c r="L36" s="16" t="s">
        <v>593</v>
      </c>
      <c r="M36" s="16" t="s">
        <v>100</v>
      </c>
      <c r="N36" s="16" t="s">
        <v>594</v>
      </c>
      <c r="O36" s="17" t="s">
        <v>92</v>
      </c>
      <c r="P36" s="18" t="s">
        <v>93</v>
      </c>
      <c r="Q36" s="18"/>
      <c r="R36" s="18"/>
    </row>
    <row r="37" customFormat="false" ht="32.8" hidden="false" customHeight="false" outlineLevel="0" collapsed="false">
      <c r="A37" s="16" t="s">
        <v>595</v>
      </c>
      <c r="B37" s="16" t="s">
        <v>42</v>
      </c>
      <c r="C37" s="16" t="s">
        <v>572</v>
      </c>
      <c r="D37" s="16" t="s">
        <v>590</v>
      </c>
      <c r="E37" s="16" t="s">
        <v>596</v>
      </c>
      <c r="F37" s="16" t="s">
        <v>575</v>
      </c>
      <c r="G37" s="16" t="s">
        <v>597</v>
      </c>
      <c r="H37" s="16" t="s">
        <v>54</v>
      </c>
      <c r="I37" s="16" t="s">
        <v>32</v>
      </c>
      <c r="J37" s="16" t="s">
        <v>414</v>
      </c>
      <c r="K37" s="16" t="s">
        <v>577</v>
      </c>
      <c r="L37" s="16" t="s">
        <v>593</v>
      </c>
      <c r="M37" s="16" t="s">
        <v>100</v>
      </c>
      <c r="N37" s="16" t="s">
        <v>598</v>
      </c>
      <c r="O37" s="17" t="s">
        <v>92</v>
      </c>
      <c r="P37" s="18" t="s">
        <v>93</v>
      </c>
      <c r="Q37" s="18"/>
      <c r="R37" s="18"/>
    </row>
    <row r="38" customFormat="false" ht="32.8" hidden="false" customHeight="false" outlineLevel="0" collapsed="false">
      <c r="A38" s="16" t="s">
        <v>599</v>
      </c>
      <c r="B38" s="16" t="s">
        <v>42</v>
      </c>
      <c r="C38" s="16" t="s">
        <v>572</v>
      </c>
      <c r="D38" s="16" t="s">
        <v>590</v>
      </c>
      <c r="E38" s="16" t="s">
        <v>600</v>
      </c>
      <c r="F38" s="16" t="s">
        <v>575</v>
      </c>
      <c r="G38" s="16" t="s">
        <v>601</v>
      </c>
      <c r="H38" s="16" t="s">
        <v>57</v>
      </c>
      <c r="I38" s="16" t="s">
        <v>33</v>
      </c>
      <c r="J38" s="16" t="s">
        <v>414</v>
      </c>
      <c r="K38" s="16" t="s">
        <v>577</v>
      </c>
      <c r="L38" s="16" t="s">
        <v>593</v>
      </c>
      <c r="M38" s="16" t="s">
        <v>100</v>
      </c>
      <c r="N38" s="16" t="s">
        <v>602</v>
      </c>
      <c r="O38" s="17" t="s">
        <v>92</v>
      </c>
      <c r="P38" s="18" t="s">
        <v>93</v>
      </c>
      <c r="Q38" s="18"/>
      <c r="R38" s="18"/>
    </row>
    <row r="39" customFormat="false" ht="32.8" hidden="false" customHeight="false" outlineLevel="0" collapsed="false">
      <c r="A39" s="16" t="s">
        <v>603</v>
      </c>
      <c r="B39" s="16" t="s">
        <v>42</v>
      </c>
      <c r="C39" s="16" t="s">
        <v>572</v>
      </c>
      <c r="D39" s="16" t="s">
        <v>590</v>
      </c>
      <c r="E39" s="16" t="s">
        <v>604</v>
      </c>
      <c r="F39" s="16" t="s">
        <v>575</v>
      </c>
      <c r="G39" s="16" t="s">
        <v>605</v>
      </c>
      <c r="H39" s="16" t="s">
        <v>54</v>
      </c>
      <c r="I39" s="16" t="s">
        <v>33</v>
      </c>
      <c r="J39" s="16" t="s">
        <v>414</v>
      </c>
      <c r="K39" s="16" t="s">
        <v>577</v>
      </c>
      <c r="L39" s="16" t="s">
        <v>593</v>
      </c>
      <c r="M39" s="16" t="s">
        <v>100</v>
      </c>
      <c r="N39" s="16" t="s">
        <v>606</v>
      </c>
      <c r="O39" s="17" t="s">
        <v>92</v>
      </c>
      <c r="P39" s="18" t="s">
        <v>93</v>
      </c>
      <c r="Q39" s="18"/>
      <c r="R39" s="18"/>
    </row>
    <row r="40" customFormat="false" ht="32.8" hidden="false" customHeight="false" outlineLevel="0" collapsed="false">
      <c r="A40" s="16" t="s">
        <v>607</v>
      </c>
      <c r="B40" s="16" t="s">
        <v>42</v>
      </c>
      <c r="C40" s="16" t="s">
        <v>572</v>
      </c>
      <c r="D40" s="16" t="s">
        <v>590</v>
      </c>
      <c r="E40" s="16" t="s">
        <v>608</v>
      </c>
      <c r="F40" s="16" t="s">
        <v>575</v>
      </c>
      <c r="G40" s="16" t="s">
        <v>609</v>
      </c>
      <c r="H40" s="16" t="s">
        <v>55</v>
      </c>
      <c r="I40" s="16" t="s">
        <v>31</v>
      </c>
      <c r="J40" s="16" t="s">
        <v>414</v>
      </c>
      <c r="K40" s="16" t="s">
        <v>577</v>
      </c>
      <c r="L40" s="16" t="s">
        <v>593</v>
      </c>
      <c r="M40" s="16" t="s">
        <v>100</v>
      </c>
      <c r="N40" s="16" t="s">
        <v>610</v>
      </c>
      <c r="O40" s="17" t="s">
        <v>92</v>
      </c>
      <c r="P40" s="18" t="s">
        <v>93</v>
      </c>
      <c r="Q40" s="18"/>
      <c r="R40" s="18"/>
    </row>
    <row r="41" customFormat="false" ht="32.8" hidden="false" customHeight="false" outlineLevel="0" collapsed="false">
      <c r="A41" s="16" t="s">
        <v>611</v>
      </c>
      <c r="B41" s="16" t="s">
        <v>42</v>
      </c>
      <c r="C41" s="16" t="s">
        <v>572</v>
      </c>
      <c r="D41" s="16" t="s">
        <v>590</v>
      </c>
      <c r="E41" s="16" t="s">
        <v>612</v>
      </c>
      <c r="F41" s="16" t="s">
        <v>575</v>
      </c>
      <c r="G41" s="16" t="s">
        <v>613</v>
      </c>
      <c r="H41" s="16" t="s">
        <v>54</v>
      </c>
      <c r="I41" s="16" t="s">
        <v>32</v>
      </c>
      <c r="J41" s="16" t="s">
        <v>414</v>
      </c>
      <c r="K41" s="16" t="s">
        <v>577</v>
      </c>
      <c r="L41" s="16" t="s">
        <v>593</v>
      </c>
      <c r="M41" s="16" t="s">
        <v>100</v>
      </c>
      <c r="N41" s="16" t="s">
        <v>614</v>
      </c>
      <c r="O41" s="17" t="s">
        <v>92</v>
      </c>
      <c r="P41" s="18" t="s">
        <v>93</v>
      </c>
      <c r="Q41" s="18"/>
      <c r="R41" s="18"/>
    </row>
    <row r="42" customFormat="false" ht="32.8" hidden="false" customHeight="false" outlineLevel="0" collapsed="false">
      <c r="A42" s="16" t="s">
        <v>615</v>
      </c>
      <c r="B42" s="16" t="s">
        <v>42</v>
      </c>
      <c r="C42" s="16" t="s">
        <v>572</v>
      </c>
      <c r="D42" s="16" t="s">
        <v>590</v>
      </c>
      <c r="E42" s="16" t="s">
        <v>616</v>
      </c>
      <c r="F42" s="16" t="s">
        <v>575</v>
      </c>
      <c r="G42" s="16" t="s">
        <v>617</v>
      </c>
      <c r="H42" s="16" t="s">
        <v>55</v>
      </c>
      <c r="I42" s="16" t="s">
        <v>32</v>
      </c>
      <c r="J42" s="16" t="s">
        <v>414</v>
      </c>
      <c r="K42" s="16" t="s">
        <v>577</v>
      </c>
      <c r="L42" s="16" t="s">
        <v>593</v>
      </c>
      <c r="M42" s="16" t="s">
        <v>100</v>
      </c>
      <c r="N42" s="16" t="s">
        <v>618</v>
      </c>
      <c r="O42" s="17" t="s">
        <v>92</v>
      </c>
      <c r="P42" s="18" t="s">
        <v>93</v>
      </c>
      <c r="Q42" s="18"/>
      <c r="R42" s="18"/>
    </row>
    <row r="43" customFormat="false" ht="32.8" hidden="false" customHeight="false" outlineLevel="0" collapsed="false">
      <c r="A43" s="16" t="s">
        <v>619</v>
      </c>
      <c r="B43" s="16" t="s">
        <v>42</v>
      </c>
      <c r="C43" s="16" t="s">
        <v>572</v>
      </c>
      <c r="D43" s="16" t="s">
        <v>590</v>
      </c>
      <c r="E43" s="16" t="s">
        <v>620</v>
      </c>
      <c r="F43" s="16" t="s">
        <v>575</v>
      </c>
      <c r="G43" s="16" t="s">
        <v>621</v>
      </c>
      <c r="H43" s="16" t="s">
        <v>54</v>
      </c>
      <c r="I43" s="16" t="s">
        <v>32</v>
      </c>
      <c r="J43" s="16" t="s">
        <v>414</v>
      </c>
      <c r="K43" s="16" t="s">
        <v>558</v>
      </c>
      <c r="L43" s="16" t="s">
        <v>553</v>
      </c>
      <c r="M43" s="16" t="s">
        <v>100</v>
      </c>
      <c r="N43" s="16" t="s">
        <v>622</v>
      </c>
      <c r="O43" s="17" t="s">
        <v>92</v>
      </c>
      <c r="P43" s="18" t="s">
        <v>93</v>
      </c>
      <c r="Q43" s="18"/>
      <c r="R43" s="18"/>
    </row>
    <row r="44" customFormat="false" ht="32.8" hidden="false" customHeight="false" outlineLevel="0" collapsed="false">
      <c r="A44" s="16" t="s">
        <v>623</v>
      </c>
      <c r="B44" s="16" t="s">
        <v>42</v>
      </c>
      <c r="C44" s="16" t="s">
        <v>572</v>
      </c>
      <c r="D44" s="16" t="s">
        <v>624</v>
      </c>
      <c r="E44" s="16" t="s">
        <v>625</v>
      </c>
      <c r="F44" s="16" t="s">
        <v>575</v>
      </c>
      <c r="G44" s="16" t="s">
        <v>626</v>
      </c>
      <c r="H44" s="16" t="s">
        <v>57</v>
      </c>
      <c r="I44" s="16" t="s">
        <v>33</v>
      </c>
      <c r="J44" s="16" t="s">
        <v>414</v>
      </c>
      <c r="K44" s="16" t="s">
        <v>577</v>
      </c>
      <c r="L44" s="16" t="s">
        <v>593</v>
      </c>
      <c r="M44" s="16" t="s">
        <v>100</v>
      </c>
      <c r="N44" s="16" t="s">
        <v>627</v>
      </c>
      <c r="O44" s="17" t="s">
        <v>92</v>
      </c>
      <c r="P44" s="18" t="s">
        <v>93</v>
      </c>
      <c r="Q44" s="18"/>
      <c r="R44" s="18"/>
    </row>
    <row r="45" customFormat="false" ht="32.8" hidden="false" customHeight="false" outlineLevel="0" collapsed="false">
      <c r="A45" s="16" t="s">
        <v>628</v>
      </c>
      <c r="B45" s="16" t="s">
        <v>42</v>
      </c>
      <c r="C45" s="16" t="s">
        <v>572</v>
      </c>
      <c r="D45" s="16" t="s">
        <v>624</v>
      </c>
      <c r="E45" s="16" t="s">
        <v>629</v>
      </c>
      <c r="F45" s="16" t="s">
        <v>575</v>
      </c>
      <c r="G45" s="16" t="s">
        <v>630</v>
      </c>
      <c r="H45" s="16" t="s">
        <v>54</v>
      </c>
      <c r="I45" s="16" t="s">
        <v>33</v>
      </c>
      <c r="J45" s="16" t="s">
        <v>414</v>
      </c>
      <c r="K45" s="16" t="s">
        <v>577</v>
      </c>
      <c r="L45" s="16" t="s">
        <v>593</v>
      </c>
      <c r="M45" s="16" t="s">
        <v>100</v>
      </c>
      <c r="N45" s="16" t="s">
        <v>631</v>
      </c>
      <c r="O45" s="17" t="s">
        <v>92</v>
      </c>
      <c r="P45" s="18" t="s">
        <v>93</v>
      </c>
      <c r="Q45" s="18"/>
      <c r="R45" s="18"/>
    </row>
    <row r="46" customFormat="false" ht="32.8" hidden="false" customHeight="false" outlineLevel="0" collapsed="false">
      <c r="A46" s="16" t="s">
        <v>632</v>
      </c>
      <c r="B46" s="16" t="s">
        <v>42</v>
      </c>
      <c r="C46" s="16" t="s">
        <v>572</v>
      </c>
      <c r="D46" s="16" t="s">
        <v>624</v>
      </c>
      <c r="E46" s="16" t="s">
        <v>633</v>
      </c>
      <c r="F46" s="16" t="s">
        <v>575</v>
      </c>
      <c r="G46" s="16" t="s">
        <v>634</v>
      </c>
      <c r="H46" s="16" t="s">
        <v>54</v>
      </c>
      <c r="I46" s="16" t="s">
        <v>33</v>
      </c>
      <c r="J46" s="16" t="s">
        <v>414</v>
      </c>
      <c r="K46" s="16" t="s">
        <v>577</v>
      </c>
      <c r="L46" s="16" t="s">
        <v>593</v>
      </c>
      <c r="M46" s="16" t="s">
        <v>100</v>
      </c>
      <c r="N46" s="16" t="s">
        <v>635</v>
      </c>
      <c r="O46" s="17" t="s">
        <v>92</v>
      </c>
      <c r="P46" s="18" t="s">
        <v>93</v>
      </c>
      <c r="Q46" s="18"/>
      <c r="R46" s="18"/>
    </row>
    <row r="47" customFormat="false" ht="32.8" hidden="false" customHeight="false" outlineLevel="0" collapsed="false">
      <c r="A47" s="16" t="s">
        <v>636</v>
      </c>
      <c r="B47" s="16" t="s">
        <v>42</v>
      </c>
      <c r="C47" s="16" t="s">
        <v>572</v>
      </c>
      <c r="D47" s="16" t="s">
        <v>637</v>
      </c>
      <c r="E47" s="16" t="s">
        <v>638</v>
      </c>
      <c r="F47" s="16" t="s">
        <v>575</v>
      </c>
      <c r="G47" s="16" t="s">
        <v>639</v>
      </c>
      <c r="H47" s="16" t="s">
        <v>54</v>
      </c>
      <c r="I47" s="16" t="s">
        <v>33</v>
      </c>
      <c r="J47" s="16" t="s">
        <v>414</v>
      </c>
      <c r="K47" s="16" t="s">
        <v>179</v>
      </c>
      <c r="L47" s="16" t="s">
        <v>180</v>
      </c>
      <c r="M47" s="16" t="s">
        <v>100</v>
      </c>
      <c r="N47" s="16" t="s">
        <v>640</v>
      </c>
      <c r="O47" s="17" t="s">
        <v>92</v>
      </c>
      <c r="P47" s="18" t="s">
        <v>93</v>
      </c>
      <c r="Q47" s="18"/>
      <c r="R47" s="18"/>
    </row>
    <row r="48" customFormat="false" ht="32.8" hidden="false" customHeight="false" outlineLevel="0" collapsed="false">
      <c r="A48" s="16" t="s">
        <v>641</v>
      </c>
      <c r="B48" s="16" t="s">
        <v>42</v>
      </c>
      <c r="C48" s="16" t="s">
        <v>572</v>
      </c>
      <c r="D48" s="16" t="s">
        <v>637</v>
      </c>
      <c r="E48" s="16" t="s">
        <v>642</v>
      </c>
      <c r="F48" s="16" t="s">
        <v>575</v>
      </c>
      <c r="G48" s="16" t="s">
        <v>643</v>
      </c>
      <c r="H48" s="16" t="s">
        <v>54</v>
      </c>
      <c r="I48" s="16" t="s">
        <v>33</v>
      </c>
      <c r="J48" s="16" t="s">
        <v>414</v>
      </c>
      <c r="K48" s="16" t="s">
        <v>179</v>
      </c>
      <c r="L48" s="16" t="s">
        <v>180</v>
      </c>
      <c r="M48" s="16" t="s">
        <v>100</v>
      </c>
      <c r="N48" s="16" t="s">
        <v>644</v>
      </c>
      <c r="O48" s="17" t="s">
        <v>92</v>
      </c>
      <c r="P48" s="18" t="s">
        <v>93</v>
      </c>
      <c r="Q48" s="18"/>
      <c r="R48" s="18"/>
    </row>
    <row r="49" customFormat="false" ht="32.8" hidden="false" customHeight="false" outlineLevel="0" collapsed="false">
      <c r="A49" s="16" t="s">
        <v>645</v>
      </c>
      <c r="B49" s="16" t="s">
        <v>42</v>
      </c>
      <c r="C49" s="16" t="s">
        <v>572</v>
      </c>
      <c r="D49" s="16" t="s">
        <v>646</v>
      </c>
      <c r="E49" s="16" t="s">
        <v>647</v>
      </c>
      <c r="F49" s="16" t="s">
        <v>575</v>
      </c>
      <c r="G49" s="16" t="s">
        <v>648</v>
      </c>
      <c r="H49" s="16" t="s">
        <v>54</v>
      </c>
      <c r="I49" s="16" t="s">
        <v>32</v>
      </c>
      <c r="J49" s="16" t="s">
        <v>414</v>
      </c>
      <c r="K49" s="16" t="s">
        <v>577</v>
      </c>
      <c r="L49" s="16" t="s">
        <v>553</v>
      </c>
      <c r="M49" s="16" t="s">
        <v>100</v>
      </c>
      <c r="N49" s="16" t="s">
        <v>649</v>
      </c>
      <c r="O49" s="17" t="s">
        <v>92</v>
      </c>
      <c r="P49" s="18" t="s">
        <v>93</v>
      </c>
      <c r="Q49" s="18"/>
      <c r="R49" s="18"/>
    </row>
    <row r="50" customFormat="false" ht="32.8" hidden="false" customHeight="false" outlineLevel="0" collapsed="false">
      <c r="A50" s="16" t="s">
        <v>650</v>
      </c>
      <c r="B50" s="16" t="s">
        <v>42</v>
      </c>
      <c r="C50" s="16" t="s">
        <v>572</v>
      </c>
      <c r="D50" s="16" t="s">
        <v>646</v>
      </c>
      <c r="E50" s="16" t="s">
        <v>651</v>
      </c>
      <c r="F50" s="16" t="s">
        <v>575</v>
      </c>
      <c r="G50" s="16" t="s">
        <v>652</v>
      </c>
      <c r="H50" s="16" t="s">
        <v>54</v>
      </c>
      <c r="I50" s="16" t="s">
        <v>33</v>
      </c>
      <c r="J50" s="16" t="s">
        <v>414</v>
      </c>
      <c r="K50" s="16" t="s">
        <v>577</v>
      </c>
      <c r="L50" s="16" t="s">
        <v>553</v>
      </c>
      <c r="M50" s="16" t="s">
        <v>100</v>
      </c>
      <c r="N50" s="16" t="s">
        <v>653</v>
      </c>
      <c r="O50" s="17" t="s">
        <v>92</v>
      </c>
      <c r="P50" s="18" t="s">
        <v>93</v>
      </c>
      <c r="Q50" s="18"/>
      <c r="R50" s="18"/>
    </row>
    <row r="51" customFormat="false" ht="32.8" hidden="false" customHeight="false" outlineLevel="0" collapsed="false">
      <c r="A51" s="16" t="s">
        <v>654</v>
      </c>
      <c r="B51" s="16" t="s">
        <v>42</v>
      </c>
      <c r="C51" s="16" t="s">
        <v>572</v>
      </c>
      <c r="D51" s="16" t="s">
        <v>646</v>
      </c>
      <c r="E51" s="16" t="s">
        <v>655</v>
      </c>
      <c r="F51" s="16" t="s">
        <v>575</v>
      </c>
      <c r="G51" s="16" t="s">
        <v>656</v>
      </c>
      <c r="H51" s="16" t="s">
        <v>54</v>
      </c>
      <c r="I51" s="16" t="s">
        <v>33</v>
      </c>
      <c r="J51" s="16" t="s">
        <v>414</v>
      </c>
      <c r="K51" s="16" t="s">
        <v>577</v>
      </c>
      <c r="L51" s="16" t="s">
        <v>553</v>
      </c>
      <c r="M51" s="16" t="s">
        <v>100</v>
      </c>
      <c r="N51" s="16" t="s">
        <v>606</v>
      </c>
      <c r="O51" s="17" t="s">
        <v>92</v>
      </c>
      <c r="P51" s="18" t="s">
        <v>93</v>
      </c>
      <c r="Q51" s="18"/>
      <c r="R51" s="18"/>
    </row>
  </sheetData>
  <autoFilter ref="A1:R51"/>
  <conditionalFormatting sqref="I2:I51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dataValidations count="2">
    <dataValidation allowBlank="true" errorStyle="stop" operator="between" showDropDown="false" showErrorMessage="false" showInputMessage="false" sqref="P2:P51" type="list">
      <formula1>"Not started,In progress,Implemented,Partially implemented,Not applicable,Risk accepted"</formula1>
      <formula2>0</formula2>
    </dataValidation>
    <dataValidation allowBlank="false" errorStyle="stop" operator="between" showDropDown="false" showErrorMessage="false" showInputMessage="false" sqref="I2:I51" type="list">
      <formula1>"Critical,High,Medium,Low"</formula1>
      <formula2>0</formula2>
    </dataValidation>
  </dataValidations>
  <hyperlinks>
    <hyperlink ref="O2" r:id="rId1" location="sec-general-information" display="Open spec"/>
    <hyperlink ref="O3" r:id="rId2" location="sec-general-information" display="Open spec"/>
    <hyperlink ref="O4" r:id="rId3" location="sec-general-information" display="Open spec"/>
    <hyperlink ref="O5" r:id="rId4" location="sec-general-information" display="Open spec"/>
    <hyperlink ref="O6" r:id="rId5" location="sec-general-information" display="Open spec"/>
    <hyperlink ref="O7" r:id="rId6" location="sec-general-information" display="Open spec"/>
    <hyperlink ref="O8" r:id="rId7" location="sec-general-information" display="Open spec"/>
    <hyperlink ref="O9" r:id="rId8" location="sec-general-information" display="Open spec"/>
    <hyperlink ref="O10" r:id="rId9" location="sec-general-information" display="Open spec"/>
    <hyperlink ref="O11" r:id="rId10" location="sec-general-information" display="Open spec"/>
    <hyperlink ref="O12" r:id="rId11" location="sec-general-information" display="Open spec"/>
    <hyperlink ref="O13" r:id="rId12" location="sec-general-information" display="Open spec"/>
    <hyperlink ref="O14" r:id="rId13" location="sec-governance" display="Open spec"/>
    <hyperlink ref="O15" r:id="rId14" location="sec-governance" display="Open spec"/>
    <hyperlink ref="O16" r:id="rId15" location="sec-governance" display="Open spec"/>
    <hyperlink ref="O17" r:id="rId16" location="sec-governance" display="Open spec"/>
    <hyperlink ref="O18" r:id="rId17" location="sec-governance" display="Open spec"/>
    <hyperlink ref="O19" r:id="rId18" location="sec-upgradability" display="Open spec"/>
    <hyperlink ref="O20" r:id="rId19" location="sec-upgradability" display="Open spec"/>
    <hyperlink ref="O21" r:id="rId20" location="sec-upgradability" display="Open spec"/>
    <hyperlink ref="O22" r:id="rId21" location="sec-upgradability" display="Open spec"/>
    <hyperlink ref="O23" r:id="rId22" location="sec-upgradability" display="Open spec"/>
    <hyperlink ref="O24" r:id="rId23" location="sec-upgradability" display="Open spec"/>
    <hyperlink ref="O25" r:id="rId24" location="sec-upgradability" display="Open spec"/>
    <hyperlink ref="O26" r:id="rId25" location="sec-upgradability" display="Open spec"/>
    <hyperlink ref="O27" r:id="rId26" location="sec-upgradability" display="Open spec"/>
    <hyperlink ref="O28" r:id="rId27" location="sec-security-posture" display="Open spec"/>
    <hyperlink ref="O29" r:id="rId28" location="sec-security-posture" display="Open spec"/>
    <hyperlink ref="O30" r:id="rId29" location="sec-security-posture" display="Open spec"/>
    <hyperlink ref="O31" r:id="rId30" location="sec-security-posture" display="Open spec"/>
    <hyperlink ref="O32" r:id="rId31" location="sec-security-posture" display="Open spec"/>
    <hyperlink ref="O33" r:id="rId32" location="sec-token-behaviors" display="Open spec"/>
    <hyperlink ref="O34" r:id="rId33" location="req-balance-changes-create-transfer-events" display="Open spec"/>
    <hyperlink ref="O35" r:id="rId34" location="sec-token-behaviors" display="Open spec"/>
    <hyperlink ref="O36" r:id="rId35" location="sec-token-behaviors" display="Open spec"/>
    <hyperlink ref="O37" r:id="rId36" location="sec-token-behaviors" display="Open spec"/>
    <hyperlink ref="O38" r:id="rId37" location="sec-token-behaviors" display="Open spec"/>
    <hyperlink ref="O39" r:id="rId38" location="sec-token-behaviors" display="Open spec"/>
    <hyperlink ref="O40" r:id="rId39" location="sec-token-behaviors" display="Open spec"/>
    <hyperlink ref="O41" r:id="rId40" location="sec-token-behaviors" display="Open spec"/>
    <hyperlink ref="O42" r:id="rId41" location="sec-token-behaviors" display="Open spec"/>
    <hyperlink ref="O43" r:id="rId42" location="sec-token-behaviors" display="Open spec"/>
    <hyperlink ref="O44" r:id="rId43" location="sec-token-behaviors" display="Open spec"/>
    <hyperlink ref="O45" r:id="rId44" location="sec-token-behaviors" display="Open spec"/>
    <hyperlink ref="O46" r:id="rId45" location="sec-token-behaviors" display="Open spec"/>
    <hyperlink ref="O47" r:id="rId46" location="sec-token-behaviors" display="Open spec"/>
    <hyperlink ref="O48" r:id="rId47" location="sec-token-behaviors" display="Open spec"/>
    <hyperlink ref="O49" r:id="rId48" location="sec-token-behaviors" display="Open spec"/>
    <hyperlink ref="O50" r:id="rId49" location="sec-token-behaviors" display="Open spec"/>
    <hyperlink ref="O51" r:id="rId50" location="sec-token-behaviors" display="Open sp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4" min="14" style="0" width="44"/>
    <col collapsed="false" customWidth="true" hidden="fals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24"/>
  </cols>
  <sheetData>
    <row r="1" customFormat="false" ht="31.5" hidden="false" customHeight="true" outlineLevel="0" collapsed="false">
      <c r="A1" s="8" t="s">
        <v>64</v>
      </c>
      <c r="B1" s="8" t="s">
        <v>28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</row>
    <row r="2" customFormat="false" ht="22.35" hidden="false" customHeight="false" outlineLevel="0" collapsed="false">
      <c r="A2" s="16" t="s">
        <v>657</v>
      </c>
      <c r="B2" s="16" t="s">
        <v>45</v>
      </c>
      <c r="C2" s="16" t="s">
        <v>658</v>
      </c>
      <c r="D2" s="16" t="s">
        <v>659</v>
      </c>
      <c r="E2" s="16" t="s">
        <v>660</v>
      </c>
      <c r="F2" s="16" t="s">
        <v>661</v>
      </c>
      <c r="G2" s="16" t="s">
        <v>662</v>
      </c>
      <c r="H2" s="16" t="s">
        <v>54</v>
      </c>
      <c r="I2" s="16" t="s">
        <v>32</v>
      </c>
      <c r="J2" s="16" t="s">
        <v>663</v>
      </c>
      <c r="K2" s="16" t="s">
        <v>664</v>
      </c>
      <c r="L2" s="16" t="s">
        <v>272</v>
      </c>
      <c r="M2" s="16" t="s">
        <v>332</v>
      </c>
      <c r="N2" s="16" t="s">
        <v>665</v>
      </c>
      <c r="O2" s="17" t="s">
        <v>92</v>
      </c>
      <c r="P2" s="18" t="s">
        <v>93</v>
      </c>
      <c r="Q2" s="18"/>
      <c r="R2" s="18"/>
    </row>
    <row r="3" customFormat="false" ht="22.35" hidden="false" customHeight="false" outlineLevel="0" collapsed="false">
      <c r="A3" s="16" t="s">
        <v>666</v>
      </c>
      <c r="B3" s="16" t="s">
        <v>45</v>
      </c>
      <c r="C3" s="16" t="s">
        <v>658</v>
      </c>
      <c r="D3" s="16" t="s">
        <v>659</v>
      </c>
      <c r="E3" s="16" t="s">
        <v>667</v>
      </c>
      <c r="F3" s="16" t="s">
        <v>661</v>
      </c>
      <c r="G3" s="16" t="s">
        <v>668</v>
      </c>
      <c r="H3" s="16" t="s">
        <v>54</v>
      </c>
      <c r="I3" s="16" t="s">
        <v>32</v>
      </c>
      <c r="J3" s="16" t="s">
        <v>663</v>
      </c>
      <c r="K3" s="16" t="s">
        <v>343</v>
      </c>
      <c r="L3" s="16" t="s">
        <v>669</v>
      </c>
      <c r="M3" s="16" t="s">
        <v>202</v>
      </c>
      <c r="N3" s="16" t="s">
        <v>670</v>
      </c>
      <c r="O3" s="17" t="s">
        <v>92</v>
      </c>
      <c r="P3" s="18" t="s">
        <v>93</v>
      </c>
      <c r="Q3" s="18"/>
      <c r="R3" s="18"/>
    </row>
    <row r="4" customFormat="false" ht="22.35" hidden="false" customHeight="false" outlineLevel="0" collapsed="false">
      <c r="A4" s="16" t="s">
        <v>671</v>
      </c>
      <c r="B4" s="16" t="s">
        <v>45</v>
      </c>
      <c r="C4" s="16" t="s">
        <v>658</v>
      </c>
      <c r="D4" s="16" t="s">
        <v>659</v>
      </c>
      <c r="E4" s="16" t="s">
        <v>672</v>
      </c>
      <c r="F4" s="16" t="s">
        <v>661</v>
      </c>
      <c r="G4" s="16" t="s">
        <v>673</v>
      </c>
      <c r="H4" s="16" t="s">
        <v>54</v>
      </c>
      <c r="I4" s="16" t="s">
        <v>31</v>
      </c>
      <c r="J4" s="16" t="s">
        <v>663</v>
      </c>
      <c r="K4" s="16" t="s">
        <v>330</v>
      </c>
      <c r="L4" s="16" t="s">
        <v>481</v>
      </c>
      <c r="M4" s="16" t="s">
        <v>332</v>
      </c>
      <c r="N4" s="16" t="s">
        <v>674</v>
      </c>
      <c r="O4" s="17" t="s">
        <v>92</v>
      </c>
      <c r="P4" s="18" t="s">
        <v>93</v>
      </c>
      <c r="Q4" s="18"/>
      <c r="R4" s="18"/>
    </row>
    <row r="5" customFormat="false" ht="22.35" hidden="false" customHeight="false" outlineLevel="0" collapsed="false">
      <c r="A5" s="16" t="s">
        <v>675</v>
      </c>
      <c r="B5" s="16" t="s">
        <v>45</v>
      </c>
      <c r="C5" s="16" t="s">
        <v>658</v>
      </c>
      <c r="D5" s="16" t="s">
        <v>676</v>
      </c>
      <c r="E5" s="16" t="s">
        <v>677</v>
      </c>
      <c r="F5" s="16" t="s">
        <v>661</v>
      </c>
      <c r="G5" s="16" t="s">
        <v>678</v>
      </c>
      <c r="H5" s="16" t="s">
        <v>56</v>
      </c>
      <c r="I5" s="16" t="s">
        <v>31</v>
      </c>
      <c r="J5" s="16" t="s">
        <v>663</v>
      </c>
      <c r="K5" s="16" t="s">
        <v>330</v>
      </c>
      <c r="L5" s="16" t="s">
        <v>481</v>
      </c>
      <c r="M5" s="16" t="s">
        <v>679</v>
      </c>
      <c r="N5" s="16" t="s">
        <v>680</v>
      </c>
      <c r="O5" s="17" t="s">
        <v>92</v>
      </c>
      <c r="P5" s="18" t="s">
        <v>93</v>
      </c>
      <c r="Q5" s="18"/>
      <c r="R5" s="18"/>
    </row>
    <row r="6" customFormat="false" ht="22.35" hidden="false" customHeight="false" outlineLevel="0" collapsed="false">
      <c r="A6" s="16" t="s">
        <v>681</v>
      </c>
      <c r="B6" s="16" t="s">
        <v>45</v>
      </c>
      <c r="C6" s="16" t="s">
        <v>658</v>
      </c>
      <c r="D6" s="16" t="s">
        <v>659</v>
      </c>
      <c r="E6" s="16" t="s">
        <v>682</v>
      </c>
      <c r="F6" s="16" t="s">
        <v>661</v>
      </c>
      <c r="G6" s="16" t="s">
        <v>683</v>
      </c>
      <c r="H6" s="16" t="s">
        <v>54</v>
      </c>
      <c r="I6" s="16" t="s">
        <v>32</v>
      </c>
      <c r="J6" s="16" t="s">
        <v>663</v>
      </c>
      <c r="K6" s="16" t="s">
        <v>577</v>
      </c>
      <c r="L6" s="16" t="s">
        <v>684</v>
      </c>
      <c r="M6" s="16" t="s">
        <v>100</v>
      </c>
      <c r="N6" s="16" t="s">
        <v>685</v>
      </c>
      <c r="O6" s="17" t="s">
        <v>92</v>
      </c>
      <c r="P6" s="18" t="s">
        <v>93</v>
      </c>
      <c r="Q6" s="18"/>
      <c r="R6" s="18"/>
    </row>
    <row r="7" customFormat="false" ht="22.35" hidden="false" customHeight="false" outlineLevel="0" collapsed="false">
      <c r="A7" s="16" t="s">
        <v>686</v>
      </c>
      <c r="B7" s="16" t="s">
        <v>45</v>
      </c>
      <c r="C7" s="16" t="s">
        <v>658</v>
      </c>
      <c r="D7" s="16" t="s">
        <v>687</v>
      </c>
      <c r="E7" s="16" t="s">
        <v>688</v>
      </c>
      <c r="F7" s="16" t="s">
        <v>661</v>
      </c>
      <c r="G7" s="16" t="s">
        <v>689</v>
      </c>
      <c r="H7" s="16" t="s">
        <v>54</v>
      </c>
      <c r="I7" s="16" t="s">
        <v>32</v>
      </c>
      <c r="J7" s="16" t="s">
        <v>663</v>
      </c>
      <c r="K7" s="16" t="s">
        <v>343</v>
      </c>
      <c r="L7" s="16" t="s">
        <v>191</v>
      </c>
      <c r="M7" s="16" t="s">
        <v>202</v>
      </c>
      <c r="N7" s="16" t="s">
        <v>690</v>
      </c>
      <c r="O7" s="17" t="s">
        <v>92</v>
      </c>
      <c r="P7" s="18" t="s">
        <v>93</v>
      </c>
      <c r="Q7" s="18"/>
      <c r="R7" s="18"/>
    </row>
    <row r="8" customFormat="false" ht="22.35" hidden="false" customHeight="false" outlineLevel="0" collapsed="false">
      <c r="A8" s="16" t="s">
        <v>691</v>
      </c>
      <c r="B8" s="16" t="s">
        <v>45</v>
      </c>
      <c r="C8" s="16" t="s">
        <v>658</v>
      </c>
      <c r="D8" s="16" t="s">
        <v>687</v>
      </c>
      <c r="E8" s="16" t="s">
        <v>692</v>
      </c>
      <c r="F8" s="16" t="s">
        <v>661</v>
      </c>
      <c r="G8" s="16" t="s">
        <v>693</v>
      </c>
      <c r="H8" s="16" t="s">
        <v>56</v>
      </c>
      <c r="I8" s="16" t="s">
        <v>32</v>
      </c>
      <c r="J8" s="16" t="s">
        <v>663</v>
      </c>
      <c r="K8" s="16" t="s">
        <v>694</v>
      </c>
      <c r="L8" s="16" t="s">
        <v>191</v>
      </c>
      <c r="M8" s="16" t="s">
        <v>202</v>
      </c>
      <c r="N8" s="16" t="s">
        <v>695</v>
      </c>
      <c r="O8" s="17" t="s">
        <v>92</v>
      </c>
      <c r="P8" s="18" t="s">
        <v>93</v>
      </c>
      <c r="Q8" s="18"/>
      <c r="R8" s="18"/>
    </row>
    <row r="9" customFormat="false" ht="22.35" hidden="false" customHeight="false" outlineLevel="0" collapsed="false">
      <c r="A9" s="16" t="s">
        <v>696</v>
      </c>
      <c r="B9" s="16" t="s">
        <v>45</v>
      </c>
      <c r="C9" s="16" t="s">
        <v>658</v>
      </c>
      <c r="D9" s="16" t="s">
        <v>687</v>
      </c>
      <c r="E9" s="16" t="s">
        <v>697</v>
      </c>
      <c r="F9" s="16" t="s">
        <v>661</v>
      </c>
      <c r="G9" s="16" t="s">
        <v>698</v>
      </c>
      <c r="H9" s="16" t="s">
        <v>55</v>
      </c>
      <c r="I9" s="16" t="s">
        <v>31</v>
      </c>
      <c r="J9" s="16" t="s">
        <v>663</v>
      </c>
      <c r="K9" s="16" t="s">
        <v>354</v>
      </c>
      <c r="L9" s="16" t="s">
        <v>355</v>
      </c>
      <c r="M9" s="16" t="s">
        <v>202</v>
      </c>
      <c r="N9" s="16" t="s">
        <v>699</v>
      </c>
      <c r="O9" s="17" t="s">
        <v>92</v>
      </c>
      <c r="P9" s="18" t="s">
        <v>93</v>
      </c>
      <c r="Q9" s="18"/>
      <c r="R9" s="18"/>
    </row>
    <row r="10" customFormat="false" ht="22.35" hidden="false" customHeight="false" outlineLevel="0" collapsed="false">
      <c r="A10" s="16" t="s">
        <v>700</v>
      </c>
      <c r="B10" s="16" t="s">
        <v>45</v>
      </c>
      <c r="C10" s="16" t="s">
        <v>658</v>
      </c>
      <c r="D10" s="16" t="s">
        <v>701</v>
      </c>
      <c r="E10" s="16" t="s">
        <v>702</v>
      </c>
      <c r="F10" s="16" t="s">
        <v>661</v>
      </c>
      <c r="G10" s="16" t="s">
        <v>703</v>
      </c>
      <c r="H10" s="16" t="s">
        <v>54</v>
      </c>
      <c r="I10" s="16" t="s">
        <v>33</v>
      </c>
      <c r="J10" s="16" t="s">
        <v>663</v>
      </c>
      <c r="K10" s="16" t="s">
        <v>98</v>
      </c>
      <c r="L10" s="16" t="s">
        <v>147</v>
      </c>
      <c r="M10" s="16" t="s">
        <v>704</v>
      </c>
      <c r="N10" s="16" t="s">
        <v>705</v>
      </c>
      <c r="O10" s="17" t="s">
        <v>92</v>
      </c>
      <c r="P10" s="18" t="s">
        <v>93</v>
      </c>
      <c r="Q10" s="18"/>
      <c r="R10" s="18"/>
    </row>
    <row r="11" customFormat="false" ht="22.35" hidden="false" customHeight="false" outlineLevel="0" collapsed="false">
      <c r="A11" s="16" t="s">
        <v>706</v>
      </c>
      <c r="B11" s="16" t="s">
        <v>45</v>
      </c>
      <c r="C11" s="16" t="s">
        <v>658</v>
      </c>
      <c r="D11" s="16" t="s">
        <v>687</v>
      </c>
      <c r="E11" s="16" t="s">
        <v>707</v>
      </c>
      <c r="F11" s="16" t="s">
        <v>661</v>
      </c>
      <c r="G11" s="16" t="s">
        <v>708</v>
      </c>
      <c r="H11" s="16" t="s">
        <v>54</v>
      </c>
      <c r="I11" s="16" t="s">
        <v>32</v>
      </c>
      <c r="J11" s="16" t="s">
        <v>663</v>
      </c>
      <c r="K11" s="16" t="s">
        <v>343</v>
      </c>
      <c r="L11" s="16" t="s">
        <v>191</v>
      </c>
      <c r="M11" s="16" t="s">
        <v>202</v>
      </c>
      <c r="N11" s="16" t="s">
        <v>709</v>
      </c>
      <c r="O11" s="17" t="s">
        <v>92</v>
      </c>
      <c r="P11" s="18" t="s">
        <v>93</v>
      </c>
      <c r="Q11" s="18"/>
      <c r="R11" s="18"/>
    </row>
    <row r="12" customFormat="false" ht="22.35" hidden="false" customHeight="false" outlineLevel="0" collapsed="false">
      <c r="A12" s="16" t="s">
        <v>710</v>
      </c>
      <c r="B12" s="16" t="s">
        <v>45</v>
      </c>
      <c r="C12" s="16" t="s">
        <v>658</v>
      </c>
      <c r="D12" s="16" t="s">
        <v>711</v>
      </c>
      <c r="E12" s="16" t="s">
        <v>712</v>
      </c>
      <c r="F12" s="16" t="s">
        <v>661</v>
      </c>
      <c r="G12" s="16" t="s">
        <v>713</v>
      </c>
      <c r="H12" s="16" t="s">
        <v>56</v>
      </c>
      <c r="I12" s="16" t="s">
        <v>32</v>
      </c>
      <c r="J12" s="16" t="s">
        <v>663</v>
      </c>
      <c r="K12" s="16" t="s">
        <v>714</v>
      </c>
      <c r="L12" s="16" t="s">
        <v>186</v>
      </c>
      <c r="M12" s="16" t="s">
        <v>100</v>
      </c>
      <c r="N12" s="16" t="s">
        <v>715</v>
      </c>
      <c r="O12" s="17" t="s">
        <v>92</v>
      </c>
      <c r="P12" s="18" t="s">
        <v>93</v>
      </c>
      <c r="Q12" s="18"/>
      <c r="R12" s="18"/>
    </row>
    <row r="13" customFormat="false" ht="22.35" hidden="false" customHeight="false" outlineLevel="0" collapsed="false">
      <c r="A13" s="16" t="s">
        <v>716</v>
      </c>
      <c r="B13" s="16" t="s">
        <v>45</v>
      </c>
      <c r="C13" s="16" t="s">
        <v>658</v>
      </c>
      <c r="D13" s="16" t="s">
        <v>301</v>
      </c>
      <c r="E13" s="16" t="s">
        <v>717</v>
      </c>
      <c r="F13" s="16" t="s">
        <v>661</v>
      </c>
      <c r="G13" s="16" t="s">
        <v>718</v>
      </c>
      <c r="H13" s="16" t="s">
        <v>56</v>
      </c>
      <c r="I13" s="16" t="s">
        <v>32</v>
      </c>
      <c r="J13" s="16" t="s">
        <v>663</v>
      </c>
      <c r="K13" s="16" t="s">
        <v>330</v>
      </c>
      <c r="L13" s="16" t="s">
        <v>719</v>
      </c>
      <c r="M13" s="16" t="s">
        <v>332</v>
      </c>
      <c r="N13" s="16" t="s">
        <v>720</v>
      </c>
      <c r="O13" s="17" t="s">
        <v>92</v>
      </c>
      <c r="P13" s="18" t="s">
        <v>93</v>
      </c>
      <c r="Q13" s="18"/>
      <c r="R13" s="18"/>
    </row>
    <row r="14" customFormat="false" ht="22.35" hidden="false" customHeight="false" outlineLevel="0" collapsed="false">
      <c r="A14" s="16" t="s">
        <v>721</v>
      </c>
      <c r="B14" s="16" t="s">
        <v>45</v>
      </c>
      <c r="C14" s="16" t="s">
        <v>658</v>
      </c>
      <c r="D14" s="16" t="s">
        <v>301</v>
      </c>
      <c r="E14" s="16" t="s">
        <v>722</v>
      </c>
      <c r="F14" s="16" t="s">
        <v>661</v>
      </c>
      <c r="G14" s="16" t="s">
        <v>723</v>
      </c>
      <c r="H14" s="16" t="s">
        <v>56</v>
      </c>
      <c r="I14" s="16" t="s">
        <v>32</v>
      </c>
      <c r="J14" s="16" t="s">
        <v>663</v>
      </c>
      <c r="K14" s="16" t="s">
        <v>724</v>
      </c>
      <c r="L14" s="16" t="s">
        <v>725</v>
      </c>
      <c r="M14" s="16" t="s">
        <v>332</v>
      </c>
      <c r="N14" s="16" t="s">
        <v>726</v>
      </c>
      <c r="O14" s="17" t="s">
        <v>92</v>
      </c>
      <c r="P14" s="18" t="s">
        <v>93</v>
      </c>
      <c r="Q14" s="18"/>
      <c r="R14" s="18"/>
    </row>
    <row r="15" customFormat="false" ht="22.35" hidden="false" customHeight="false" outlineLevel="0" collapsed="false">
      <c r="A15" s="16" t="s">
        <v>727</v>
      </c>
      <c r="B15" s="16" t="s">
        <v>45</v>
      </c>
      <c r="C15" s="16" t="s">
        <v>658</v>
      </c>
      <c r="D15" s="16" t="s">
        <v>301</v>
      </c>
      <c r="E15" s="16" t="s">
        <v>728</v>
      </c>
      <c r="F15" s="16" t="s">
        <v>661</v>
      </c>
      <c r="G15" s="16" t="s">
        <v>729</v>
      </c>
      <c r="H15" s="16" t="s">
        <v>54</v>
      </c>
      <c r="I15" s="16" t="s">
        <v>32</v>
      </c>
      <c r="J15" s="16" t="s">
        <v>663</v>
      </c>
      <c r="K15" s="16" t="s">
        <v>330</v>
      </c>
      <c r="L15" s="16" t="s">
        <v>725</v>
      </c>
      <c r="M15" s="16" t="s">
        <v>332</v>
      </c>
      <c r="N15" s="16" t="s">
        <v>730</v>
      </c>
      <c r="O15" s="17" t="s">
        <v>92</v>
      </c>
      <c r="P15" s="18" t="s">
        <v>93</v>
      </c>
      <c r="Q15" s="18"/>
      <c r="R15" s="18"/>
    </row>
    <row r="16" customFormat="false" ht="22.35" hidden="false" customHeight="false" outlineLevel="0" collapsed="false">
      <c r="A16" s="16" t="s">
        <v>731</v>
      </c>
      <c r="B16" s="16" t="s">
        <v>45</v>
      </c>
      <c r="C16" s="16" t="s">
        <v>658</v>
      </c>
      <c r="D16" s="16" t="s">
        <v>732</v>
      </c>
      <c r="E16" s="16" t="s">
        <v>733</v>
      </c>
      <c r="F16" s="16" t="s">
        <v>661</v>
      </c>
      <c r="G16" s="16" t="s">
        <v>734</v>
      </c>
      <c r="H16" s="16" t="s">
        <v>56</v>
      </c>
      <c r="I16" s="16" t="s">
        <v>32</v>
      </c>
      <c r="J16" s="16" t="s">
        <v>663</v>
      </c>
      <c r="K16" s="16" t="s">
        <v>735</v>
      </c>
      <c r="L16" s="16" t="s">
        <v>736</v>
      </c>
      <c r="M16" s="16" t="s">
        <v>100</v>
      </c>
      <c r="N16" s="16" t="s">
        <v>737</v>
      </c>
      <c r="O16" s="17" t="s">
        <v>92</v>
      </c>
      <c r="P16" s="18" t="s">
        <v>93</v>
      </c>
      <c r="Q16" s="18"/>
      <c r="R16" s="18"/>
    </row>
    <row r="17" customFormat="false" ht="22.35" hidden="false" customHeight="false" outlineLevel="0" collapsed="false">
      <c r="A17" s="16" t="s">
        <v>738</v>
      </c>
      <c r="B17" s="16" t="s">
        <v>45</v>
      </c>
      <c r="C17" s="16" t="s">
        <v>658</v>
      </c>
      <c r="D17" s="16" t="s">
        <v>732</v>
      </c>
      <c r="E17" s="16" t="s">
        <v>739</v>
      </c>
      <c r="F17" s="16" t="s">
        <v>661</v>
      </c>
      <c r="G17" s="16" t="s">
        <v>740</v>
      </c>
      <c r="H17" s="16" t="s">
        <v>54</v>
      </c>
      <c r="I17" s="16" t="s">
        <v>32</v>
      </c>
      <c r="J17" s="16" t="s">
        <v>663</v>
      </c>
      <c r="K17" s="16" t="s">
        <v>735</v>
      </c>
      <c r="L17" s="16" t="s">
        <v>741</v>
      </c>
      <c r="M17" s="16" t="s">
        <v>100</v>
      </c>
      <c r="N17" s="16" t="s">
        <v>742</v>
      </c>
      <c r="O17" s="17" t="s">
        <v>92</v>
      </c>
      <c r="P17" s="18" t="s">
        <v>93</v>
      </c>
      <c r="Q17" s="18"/>
      <c r="R17" s="18"/>
    </row>
    <row r="18" customFormat="false" ht="22.35" hidden="false" customHeight="false" outlineLevel="0" collapsed="false">
      <c r="A18" s="16" t="s">
        <v>743</v>
      </c>
      <c r="B18" s="16" t="s">
        <v>45</v>
      </c>
      <c r="C18" s="16" t="s">
        <v>658</v>
      </c>
      <c r="D18" s="16" t="s">
        <v>732</v>
      </c>
      <c r="E18" s="16" t="s">
        <v>744</v>
      </c>
      <c r="F18" s="16" t="s">
        <v>661</v>
      </c>
      <c r="G18" s="16" t="s">
        <v>745</v>
      </c>
      <c r="H18" s="16" t="s">
        <v>54</v>
      </c>
      <c r="I18" s="16" t="s">
        <v>33</v>
      </c>
      <c r="J18" s="16" t="s">
        <v>663</v>
      </c>
      <c r="K18" s="16" t="s">
        <v>746</v>
      </c>
      <c r="L18" s="16" t="s">
        <v>741</v>
      </c>
      <c r="M18" s="16" t="s">
        <v>100</v>
      </c>
      <c r="N18" s="16" t="s">
        <v>747</v>
      </c>
      <c r="O18" s="17" t="s">
        <v>92</v>
      </c>
      <c r="P18" s="18" t="s">
        <v>93</v>
      </c>
      <c r="Q18" s="18"/>
      <c r="R18" s="18"/>
    </row>
    <row r="19" customFormat="false" ht="22.35" hidden="false" customHeight="false" outlineLevel="0" collapsed="false">
      <c r="A19" s="16" t="s">
        <v>748</v>
      </c>
      <c r="B19" s="16" t="s">
        <v>45</v>
      </c>
      <c r="C19" s="16" t="s">
        <v>658</v>
      </c>
      <c r="D19" s="16" t="s">
        <v>732</v>
      </c>
      <c r="E19" s="16" t="s">
        <v>749</v>
      </c>
      <c r="F19" s="16" t="s">
        <v>661</v>
      </c>
      <c r="G19" s="16" t="s">
        <v>750</v>
      </c>
      <c r="H19" s="16" t="s">
        <v>56</v>
      </c>
      <c r="I19" s="16" t="s">
        <v>32</v>
      </c>
      <c r="J19" s="16" t="s">
        <v>663</v>
      </c>
      <c r="K19" s="16" t="s">
        <v>751</v>
      </c>
      <c r="L19" s="16" t="s">
        <v>569</v>
      </c>
      <c r="M19" s="16" t="s">
        <v>752</v>
      </c>
      <c r="N19" s="16" t="s">
        <v>753</v>
      </c>
      <c r="O19" s="17" t="s">
        <v>92</v>
      </c>
      <c r="P19" s="18" t="s">
        <v>93</v>
      </c>
      <c r="Q19" s="18"/>
      <c r="R19" s="18"/>
    </row>
    <row r="20" customFormat="false" ht="22.35" hidden="false" customHeight="false" outlineLevel="0" collapsed="false">
      <c r="A20" s="16" t="s">
        <v>754</v>
      </c>
      <c r="B20" s="16" t="s">
        <v>45</v>
      </c>
      <c r="C20" s="16" t="s">
        <v>658</v>
      </c>
      <c r="D20" s="16" t="s">
        <v>368</v>
      </c>
      <c r="E20" s="16" t="s">
        <v>755</v>
      </c>
      <c r="F20" s="16" t="s">
        <v>661</v>
      </c>
      <c r="G20" s="16" t="s">
        <v>756</v>
      </c>
      <c r="H20" s="16" t="s">
        <v>56</v>
      </c>
      <c r="I20" s="16" t="s">
        <v>32</v>
      </c>
      <c r="J20" s="16" t="s">
        <v>663</v>
      </c>
      <c r="K20" s="16" t="s">
        <v>371</v>
      </c>
      <c r="L20" s="16" t="s">
        <v>372</v>
      </c>
      <c r="M20" s="16" t="s">
        <v>373</v>
      </c>
      <c r="N20" s="16" t="s">
        <v>757</v>
      </c>
      <c r="O20" s="17" t="s">
        <v>92</v>
      </c>
      <c r="P20" s="18" t="s">
        <v>93</v>
      </c>
      <c r="Q20" s="18"/>
      <c r="R20" s="18"/>
    </row>
    <row r="21" customFormat="false" ht="22.35" hidden="false" customHeight="false" outlineLevel="0" collapsed="false">
      <c r="A21" s="16" t="s">
        <v>758</v>
      </c>
      <c r="B21" s="16" t="s">
        <v>45</v>
      </c>
      <c r="C21" s="16" t="s">
        <v>658</v>
      </c>
      <c r="D21" s="16" t="s">
        <v>368</v>
      </c>
      <c r="E21" s="16" t="s">
        <v>759</v>
      </c>
      <c r="F21" s="16" t="s">
        <v>661</v>
      </c>
      <c r="G21" s="16" t="s">
        <v>760</v>
      </c>
      <c r="H21" s="16" t="s">
        <v>54</v>
      </c>
      <c r="I21" s="16" t="s">
        <v>31</v>
      </c>
      <c r="J21" s="16" t="s">
        <v>663</v>
      </c>
      <c r="K21" s="16" t="s">
        <v>371</v>
      </c>
      <c r="L21" s="16" t="s">
        <v>761</v>
      </c>
      <c r="M21" s="16" t="s">
        <v>373</v>
      </c>
      <c r="N21" s="16" t="s">
        <v>762</v>
      </c>
      <c r="O21" s="17" t="s">
        <v>92</v>
      </c>
      <c r="P21" s="18" t="s">
        <v>93</v>
      </c>
      <c r="Q21" s="18"/>
      <c r="R21" s="18"/>
    </row>
    <row r="22" customFormat="false" ht="22.35" hidden="false" customHeight="false" outlineLevel="0" collapsed="false">
      <c r="A22" s="16" t="s">
        <v>763</v>
      </c>
      <c r="B22" s="16" t="s">
        <v>45</v>
      </c>
      <c r="C22" s="16" t="s">
        <v>658</v>
      </c>
      <c r="D22" s="16" t="s">
        <v>368</v>
      </c>
      <c r="E22" s="16" t="s">
        <v>764</v>
      </c>
      <c r="F22" s="16" t="s">
        <v>661</v>
      </c>
      <c r="G22" s="16" t="s">
        <v>765</v>
      </c>
      <c r="H22" s="16" t="s">
        <v>56</v>
      </c>
      <c r="I22" s="16" t="s">
        <v>32</v>
      </c>
      <c r="J22" s="16" t="s">
        <v>663</v>
      </c>
      <c r="K22" s="16" t="s">
        <v>766</v>
      </c>
      <c r="L22" s="16" t="s">
        <v>379</v>
      </c>
      <c r="M22" s="16" t="s">
        <v>373</v>
      </c>
      <c r="N22" s="16" t="s">
        <v>767</v>
      </c>
      <c r="O22" s="17" t="s">
        <v>92</v>
      </c>
      <c r="P22" s="18" t="s">
        <v>93</v>
      </c>
      <c r="Q22" s="18"/>
      <c r="R22" s="18"/>
    </row>
    <row r="23" customFormat="false" ht="22.35" hidden="false" customHeight="false" outlineLevel="0" collapsed="false">
      <c r="A23" s="16" t="s">
        <v>768</v>
      </c>
      <c r="B23" s="16" t="s">
        <v>45</v>
      </c>
      <c r="C23" s="16" t="s">
        <v>658</v>
      </c>
      <c r="D23" s="16" t="s">
        <v>368</v>
      </c>
      <c r="E23" s="16" t="s">
        <v>769</v>
      </c>
      <c r="F23" s="16" t="s">
        <v>661</v>
      </c>
      <c r="G23" s="16" t="s">
        <v>770</v>
      </c>
      <c r="H23" s="16" t="s">
        <v>56</v>
      </c>
      <c r="I23" s="16" t="s">
        <v>32</v>
      </c>
      <c r="J23" s="16" t="s">
        <v>663</v>
      </c>
      <c r="K23" s="16" t="s">
        <v>766</v>
      </c>
      <c r="L23" s="16" t="s">
        <v>771</v>
      </c>
      <c r="M23" s="16" t="s">
        <v>332</v>
      </c>
      <c r="N23" s="16" t="s">
        <v>772</v>
      </c>
      <c r="O23" s="17" t="s">
        <v>92</v>
      </c>
      <c r="P23" s="18" t="s">
        <v>93</v>
      </c>
      <c r="Q23" s="18"/>
      <c r="R23" s="18"/>
    </row>
    <row r="24" customFormat="false" ht="22.35" hidden="false" customHeight="false" outlineLevel="0" collapsed="false">
      <c r="A24" s="16" t="s">
        <v>773</v>
      </c>
      <c r="B24" s="16" t="s">
        <v>45</v>
      </c>
      <c r="C24" s="16" t="s">
        <v>658</v>
      </c>
      <c r="D24" s="16" t="s">
        <v>368</v>
      </c>
      <c r="E24" s="16" t="s">
        <v>774</v>
      </c>
      <c r="F24" s="16" t="s">
        <v>661</v>
      </c>
      <c r="G24" s="16" t="s">
        <v>775</v>
      </c>
      <c r="H24" s="16" t="s">
        <v>54</v>
      </c>
      <c r="I24" s="16" t="s">
        <v>32</v>
      </c>
      <c r="J24" s="16" t="s">
        <v>663</v>
      </c>
      <c r="K24" s="16" t="s">
        <v>776</v>
      </c>
      <c r="L24" s="16" t="s">
        <v>777</v>
      </c>
      <c r="M24" s="16" t="s">
        <v>373</v>
      </c>
      <c r="N24" s="16" t="s">
        <v>778</v>
      </c>
      <c r="O24" s="17" t="s">
        <v>92</v>
      </c>
      <c r="P24" s="18" t="s">
        <v>93</v>
      </c>
      <c r="Q24" s="18"/>
      <c r="R24" s="18"/>
    </row>
    <row r="25" customFormat="false" ht="22.35" hidden="false" customHeight="false" outlineLevel="0" collapsed="false">
      <c r="A25" s="16" t="s">
        <v>779</v>
      </c>
      <c r="B25" s="16" t="s">
        <v>45</v>
      </c>
      <c r="C25" s="16" t="s">
        <v>658</v>
      </c>
      <c r="D25" s="16" t="s">
        <v>780</v>
      </c>
      <c r="E25" s="16" t="s">
        <v>781</v>
      </c>
      <c r="F25" s="16" t="s">
        <v>661</v>
      </c>
      <c r="G25" s="16" t="s">
        <v>782</v>
      </c>
      <c r="H25" s="16" t="s">
        <v>54</v>
      </c>
      <c r="I25" s="16" t="s">
        <v>31</v>
      </c>
      <c r="J25" s="16" t="s">
        <v>663</v>
      </c>
      <c r="K25" s="16" t="s">
        <v>766</v>
      </c>
      <c r="L25" s="16" t="s">
        <v>379</v>
      </c>
      <c r="M25" s="16" t="s">
        <v>373</v>
      </c>
      <c r="N25" s="16" t="s">
        <v>783</v>
      </c>
      <c r="O25" s="17" t="s">
        <v>92</v>
      </c>
      <c r="P25" s="18" t="s">
        <v>93</v>
      </c>
      <c r="Q25" s="18"/>
      <c r="R25" s="18"/>
    </row>
    <row r="26" customFormat="false" ht="22.35" hidden="false" customHeight="false" outlineLevel="0" collapsed="false">
      <c r="A26" s="16" t="s">
        <v>784</v>
      </c>
      <c r="B26" s="16" t="s">
        <v>45</v>
      </c>
      <c r="C26" s="16" t="s">
        <v>658</v>
      </c>
      <c r="D26" s="16" t="s">
        <v>780</v>
      </c>
      <c r="E26" s="16" t="s">
        <v>785</v>
      </c>
      <c r="F26" s="16" t="s">
        <v>661</v>
      </c>
      <c r="G26" s="16" t="s">
        <v>786</v>
      </c>
      <c r="H26" s="16" t="s">
        <v>54</v>
      </c>
      <c r="I26" s="16" t="s">
        <v>31</v>
      </c>
      <c r="J26" s="16" t="s">
        <v>663</v>
      </c>
      <c r="K26" s="16" t="s">
        <v>787</v>
      </c>
      <c r="L26" s="16" t="s">
        <v>379</v>
      </c>
      <c r="M26" s="16" t="s">
        <v>373</v>
      </c>
      <c r="N26" s="16" t="s">
        <v>788</v>
      </c>
      <c r="O26" s="17" t="s">
        <v>92</v>
      </c>
      <c r="P26" s="18" t="s">
        <v>93</v>
      </c>
      <c r="Q26" s="18"/>
      <c r="R26" s="18"/>
    </row>
    <row r="27" customFormat="false" ht="22.35" hidden="false" customHeight="false" outlineLevel="0" collapsed="false">
      <c r="A27" s="16" t="s">
        <v>789</v>
      </c>
      <c r="B27" s="16" t="s">
        <v>45</v>
      </c>
      <c r="C27" s="16" t="s">
        <v>658</v>
      </c>
      <c r="D27" s="16" t="s">
        <v>780</v>
      </c>
      <c r="E27" s="16" t="s">
        <v>790</v>
      </c>
      <c r="F27" s="16" t="s">
        <v>661</v>
      </c>
      <c r="G27" s="16" t="s">
        <v>791</v>
      </c>
      <c r="H27" s="16" t="s">
        <v>56</v>
      </c>
      <c r="I27" s="16" t="s">
        <v>32</v>
      </c>
      <c r="J27" s="16" t="s">
        <v>663</v>
      </c>
      <c r="K27" s="16" t="s">
        <v>787</v>
      </c>
      <c r="L27" s="16" t="s">
        <v>89</v>
      </c>
      <c r="M27" s="16" t="s">
        <v>373</v>
      </c>
      <c r="N27" s="16" t="s">
        <v>792</v>
      </c>
      <c r="O27" s="17" t="s">
        <v>92</v>
      </c>
      <c r="P27" s="18" t="s">
        <v>93</v>
      </c>
      <c r="Q27" s="18"/>
      <c r="R27" s="18"/>
    </row>
    <row r="28" customFormat="false" ht="22.35" hidden="false" customHeight="false" outlineLevel="0" collapsed="false">
      <c r="A28" s="16" t="s">
        <v>793</v>
      </c>
      <c r="B28" s="16" t="s">
        <v>45</v>
      </c>
      <c r="C28" s="16" t="s">
        <v>658</v>
      </c>
      <c r="D28" s="16" t="s">
        <v>794</v>
      </c>
      <c r="E28" s="16" t="s">
        <v>795</v>
      </c>
      <c r="F28" s="16" t="s">
        <v>661</v>
      </c>
      <c r="G28" s="16" t="s">
        <v>796</v>
      </c>
      <c r="H28" s="16" t="s">
        <v>56</v>
      </c>
      <c r="I28" s="16" t="s">
        <v>31</v>
      </c>
      <c r="J28" s="16" t="s">
        <v>663</v>
      </c>
      <c r="K28" s="16" t="s">
        <v>797</v>
      </c>
      <c r="L28" s="16" t="s">
        <v>798</v>
      </c>
      <c r="M28" s="16" t="s">
        <v>313</v>
      </c>
      <c r="N28" s="16" t="s">
        <v>799</v>
      </c>
      <c r="O28" s="17" t="s">
        <v>92</v>
      </c>
      <c r="P28" s="18" t="s">
        <v>93</v>
      </c>
      <c r="Q28" s="18"/>
      <c r="R28" s="18"/>
    </row>
    <row r="29" customFormat="false" ht="22.35" hidden="false" customHeight="false" outlineLevel="0" collapsed="false">
      <c r="A29" s="16" t="s">
        <v>800</v>
      </c>
      <c r="B29" s="16" t="s">
        <v>45</v>
      </c>
      <c r="C29" s="16" t="s">
        <v>658</v>
      </c>
      <c r="D29" s="16" t="s">
        <v>794</v>
      </c>
      <c r="E29" s="16" t="s">
        <v>801</v>
      </c>
      <c r="F29" s="16" t="s">
        <v>661</v>
      </c>
      <c r="G29" s="16" t="s">
        <v>802</v>
      </c>
      <c r="H29" s="16" t="s">
        <v>54</v>
      </c>
      <c r="I29" s="16" t="s">
        <v>32</v>
      </c>
      <c r="J29" s="16" t="s">
        <v>663</v>
      </c>
      <c r="K29" s="16" t="s">
        <v>803</v>
      </c>
      <c r="L29" s="16" t="s">
        <v>798</v>
      </c>
      <c r="M29" s="16" t="s">
        <v>313</v>
      </c>
      <c r="N29" s="16" t="s">
        <v>804</v>
      </c>
      <c r="O29" s="17" t="s">
        <v>92</v>
      </c>
      <c r="P29" s="18" t="s">
        <v>93</v>
      </c>
      <c r="Q29" s="18"/>
      <c r="R29" s="18"/>
    </row>
    <row r="30" customFormat="false" ht="22.35" hidden="false" customHeight="false" outlineLevel="0" collapsed="false">
      <c r="A30" s="16" t="s">
        <v>805</v>
      </c>
      <c r="B30" s="16" t="s">
        <v>45</v>
      </c>
      <c r="C30" s="16" t="s">
        <v>658</v>
      </c>
      <c r="D30" s="16" t="s">
        <v>794</v>
      </c>
      <c r="E30" s="16" t="s">
        <v>806</v>
      </c>
      <c r="F30" s="16" t="s">
        <v>661</v>
      </c>
      <c r="G30" s="16" t="s">
        <v>807</v>
      </c>
      <c r="H30" s="16" t="s">
        <v>54</v>
      </c>
      <c r="I30" s="16" t="s">
        <v>32</v>
      </c>
      <c r="J30" s="16" t="s">
        <v>663</v>
      </c>
      <c r="K30" s="16" t="s">
        <v>803</v>
      </c>
      <c r="L30" s="16" t="s">
        <v>798</v>
      </c>
      <c r="M30" s="16" t="s">
        <v>313</v>
      </c>
      <c r="N30" s="16" t="s">
        <v>808</v>
      </c>
      <c r="O30" s="17" t="s">
        <v>92</v>
      </c>
      <c r="P30" s="18" t="s">
        <v>93</v>
      </c>
      <c r="Q30" s="18"/>
      <c r="R30" s="18"/>
    </row>
    <row r="31" customFormat="false" ht="22.35" hidden="false" customHeight="false" outlineLevel="0" collapsed="false">
      <c r="A31" s="16" t="s">
        <v>809</v>
      </c>
      <c r="B31" s="16" t="s">
        <v>45</v>
      </c>
      <c r="C31" s="16" t="s">
        <v>658</v>
      </c>
      <c r="D31" s="16" t="s">
        <v>794</v>
      </c>
      <c r="E31" s="16" t="s">
        <v>810</v>
      </c>
      <c r="F31" s="16" t="s">
        <v>661</v>
      </c>
      <c r="G31" s="16" t="s">
        <v>811</v>
      </c>
      <c r="H31" s="16" t="s">
        <v>54</v>
      </c>
      <c r="I31" s="16" t="s">
        <v>31</v>
      </c>
      <c r="J31" s="16" t="s">
        <v>663</v>
      </c>
      <c r="K31" s="16" t="s">
        <v>803</v>
      </c>
      <c r="L31" s="16" t="s">
        <v>798</v>
      </c>
      <c r="M31" s="16" t="s">
        <v>313</v>
      </c>
      <c r="N31" s="16" t="s">
        <v>812</v>
      </c>
      <c r="O31" s="17" t="s">
        <v>92</v>
      </c>
      <c r="P31" s="18" t="s">
        <v>93</v>
      </c>
      <c r="Q31" s="18"/>
      <c r="R31" s="18"/>
    </row>
    <row r="32" customFormat="false" ht="22.35" hidden="false" customHeight="false" outlineLevel="0" collapsed="false">
      <c r="A32" s="16" t="s">
        <v>813</v>
      </c>
      <c r="B32" s="16" t="s">
        <v>45</v>
      </c>
      <c r="C32" s="16" t="s">
        <v>658</v>
      </c>
      <c r="D32" s="16" t="s">
        <v>794</v>
      </c>
      <c r="E32" s="16" t="s">
        <v>814</v>
      </c>
      <c r="F32" s="16" t="s">
        <v>661</v>
      </c>
      <c r="G32" s="16" t="s">
        <v>815</v>
      </c>
      <c r="H32" s="16" t="s">
        <v>56</v>
      </c>
      <c r="I32" s="16" t="s">
        <v>32</v>
      </c>
      <c r="J32" s="16" t="s">
        <v>663</v>
      </c>
      <c r="K32" s="16" t="s">
        <v>803</v>
      </c>
      <c r="L32" s="16" t="s">
        <v>816</v>
      </c>
      <c r="M32" s="16" t="s">
        <v>313</v>
      </c>
      <c r="N32" s="16" t="s">
        <v>817</v>
      </c>
      <c r="O32" s="17" t="s">
        <v>92</v>
      </c>
      <c r="P32" s="18" t="s">
        <v>93</v>
      </c>
      <c r="Q32" s="18"/>
      <c r="R32" s="18"/>
    </row>
    <row r="33" customFormat="false" ht="22.35" hidden="false" customHeight="false" outlineLevel="0" collapsed="false">
      <c r="A33" s="16" t="s">
        <v>818</v>
      </c>
      <c r="B33" s="16" t="s">
        <v>45</v>
      </c>
      <c r="C33" s="16" t="s">
        <v>658</v>
      </c>
      <c r="D33" s="16" t="s">
        <v>819</v>
      </c>
      <c r="E33" s="16" t="s">
        <v>820</v>
      </c>
      <c r="F33" s="16" t="s">
        <v>661</v>
      </c>
      <c r="G33" s="16" t="s">
        <v>821</v>
      </c>
      <c r="H33" s="16" t="s">
        <v>56</v>
      </c>
      <c r="I33" s="16" t="s">
        <v>32</v>
      </c>
      <c r="J33" s="16" t="s">
        <v>663</v>
      </c>
      <c r="K33" s="16" t="s">
        <v>822</v>
      </c>
      <c r="L33" s="16" t="s">
        <v>253</v>
      </c>
      <c r="M33" s="16" t="s">
        <v>100</v>
      </c>
      <c r="N33" s="16" t="s">
        <v>823</v>
      </c>
      <c r="O33" s="17" t="s">
        <v>92</v>
      </c>
      <c r="P33" s="18" t="s">
        <v>93</v>
      </c>
      <c r="Q33" s="18"/>
      <c r="R33" s="18"/>
    </row>
    <row r="34" customFormat="false" ht="22.35" hidden="false" customHeight="false" outlineLevel="0" collapsed="false">
      <c r="A34" s="16" t="s">
        <v>824</v>
      </c>
      <c r="B34" s="16" t="s">
        <v>45</v>
      </c>
      <c r="C34" s="16" t="s">
        <v>658</v>
      </c>
      <c r="D34" s="16" t="s">
        <v>819</v>
      </c>
      <c r="E34" s="16" t="s">
        <v>825</v>
      </c>
      <c r="F34" s="16" t="s">
        <v>661</v>
      </c>
      <c r="G34" s="16" t="s">
        <v>826</v>
      </c>
      <c r="H34" s="16" t="s">
        <v>54</v>
      </c>
      <c r="I34" s="16" t="s">
        <v>32</v>
      </c>
      <c r="J34" s="16" t="s">
        <v>663</v>
      </c>
      <c r="K34" s="16" t="s">
        <v>207</v>
      </c>
      <c r="L34" s="16" t="s">
        <v>208</v>
      </c>
      <c r="M34" s="16" t="s">
        <v>100</v>
      </c>
      <c r="N34" s="16" t="s">
        <v>827</v>
      </c>
      <c r="O34" s="17" t="s">
        <v>92</v>
      </c>
      <c r="P34" s="18" t="s">
        <v>93</v>
      </c>
      <c r="Q34" s="18"/>
      <c r="R34" s="18"/>
    </row>
    <row r="35" customFormat="false" ht="22.35" hidden="false" customHeight="false" outlineLevel="0" collapsed="false">
      <c r="A35" s="16" t="s">
        <v>828</v>
      </c>
      <c r="B35" s="16" t="s">
        <v>45</v>
      </c>
      <c r="C35" s="16" t="s">
        <v>658</v>
      </c>
      <c r="D35" s="16" t="s">
        <v>819</v>
      </c>
      <c r="E35" s="16" t="s">
        <v>829</v>
      </c>
      <c r="F35" s="16" t="s">
        <v>661</v>
      </c>
      <c r="G35" s="16" t="s">
        <v>830</v>
      </c>
      <c r="H35" s="16" t="s">
        <v>56</v>
      </c>
      <c r="I35" s="16" t="s">
        <v>33</v>
      </c>
      <c r="J35" s="16" t="s">
        <v>663</v>
      </c>
      <c r="K35" s="16" t="s">
        <v>207</v>
      </c>
      <c r="L35" s="16" t="s">
        <v>208</v>
      </c>
      <c r="M35" s="16" t="s">
        <v>100</v>
      </c>
      <c r="N35" s="16" t="s">
        <v>831</v>
      </c>
      <c r="O35" s="17" t="s">
        <v>92</v>
      </c>
      <c r="P35" s="18" t="s">
        <v>93</v>
      </c>
      <c r="Q35" s="18"/>
      <c r="R35" s="18"/>
    </row>
    <row r="36" customFormat="false" ht="22.35" hidden="false" customHeight="false" outlineLevel="0" collapsed="false">
      <c r="A36" s="16" t="s">
        <v>832</v>
      </c>
      <c r="B36" s="16" t="s">
        <v>45</v>
      </c>
      <c r="C36" s="16" t="s">
        <v>658</v>
      </c>
      <c r="D36" s="16" t="s">
        <v>819</v>
      </c>
      <c r="E36" s="16" t="s">
        <v>833</v>
      </c>
      <c r="F36" s="16" t="s">
        <v>661</v>
      </c>
      <c r="G36" s="16" t="s">
        <v>834</v>
      </c>
      <c r="H36" s="16" t="s">
        <v>56</v>
      </c>
      <c r="I36" s="16" t="s">
        <v>32</v>
      </c>
      <c r="J36" s="16" t="s">
        <v>663</v>
      </c>
      <c r="K36" s="16" t="s">
        <v>835</v>
      </c>
      <c r="L36" s="16" t="s">
        <v>253</v>
      </c>
      <c r="M36" s="16" t="s">
        <v>100</v>
      </c>
      <c r="N36" s="16" t="s">
        <v>836</v>
      </c>
      <c r="O36" s="17" t="s">
        <v>92</v>
      </c>
      <c r="P36" s="18" t="s">
        <v>93</v>
      </c>
      <c r="Q36" s="18"/>
      <c r="R36" s="18"/>
    </row>
    <row r="37" customFormat="false" ht="22.35" hidden="false" customHeight="false" outlineLevel="0" collapsed="false">
      <c r="A37" s="16" t="s">
        <v>837</v>
      </c>
      <c r="B37" s="16" t="s">
        <v>45</v>
      </c>
      <c r="C37" s="16" t="s">
        <v>658</v>
      </c>
      <c r="D37" s="16" t="s">
        <v>819</v>
      </c>
      <c r="E37" s="16" t="s">
        <v>838</v>
      </c>
      <c r="F37" s="16" t="s">
        <v>661</v>
      </c>
      <c r="G37" s="16" t="s">
        <v>839</v>
      </c>
      <c r="H37" s="16" t="s">
        <v>54</v>
      </c>
      <c r="I37" s="16" t="s">
        <v>33</v>
      </c>
      <c r="J37" s="16" t="s">
        <v>663</v>
      </c>
      <c r="K37" s="16" t="s">
        <v>735</v>
      </c>
      <c r="L37" s="16" t="s">
        <v>253</v>
      </c>
      <c r="M37" s="16" t="s">
        <v>100</v>
      </c>
      <c r="N37" s="16" t="s">
        <v>840</v>
      </c>
      <c r="O37" s="17" t="s">
        <v>92</v>
      </c>
      <c r="P37" s="18" t="s">
        <v>93</v>
      </c>
      <c r="Q37" s="18"/>
      <c r="R37" s="18"/>
    </row>
    <row r="38" customFormat="false" ht="22.35" hidden="false" customHeight="false" outlineLevel="0" collapsed="false">
      <c r="A38" s="16" t="s">
        <v>841</v>
      </c>
      <c r="B38" s="16" t="s">
        <v>45</v>
      </c>
      <c r="C38" s="16" t="s">
        <v>658</v>
      </c>
      <c r="D38" s="16" t="s">
        <v>842</v>
      </c>
      <c r="E38" s="16" t="s">
        <v>843</v>
      </c>
      <c r="F38" s="16" t="s">
        <v>661</v>
      </c>
      <c r="G38" s="16" t="s">
        <v>844</v>
      </c>
      <c r="H38" s="16" t="s">
        <v>56</v>
      </c>
      <c r="I38" s="16" t="s">
        <v>33</v>
      </c>
      <c r="J38" s="16" t="s">
        <v>663</v>
      </c>
      <c r="K38" s="16" t="s">
        <v>179</v>
      </c>
      <c r="L38" s="16" t="s">
        <v>180</v>
      </c>
      <c r="M38" s="16" t="s">
        <v>313</v>
      </c>
      <c r="N38" s="16" t="s">
        <v>845</v>
      </c>
      <c r="O38" s="17" t="s">
        <v>92</v>
      </c>
      <c r="P38" s="18" t="s">
        <v>93</v>
      </c>
      <c r="Q38" s="18"/>
      <c r="R38" s="18"/>
    </row>
    <row r="39" customFormat="false" ht="22.35" hidden="false" customHeight="false" outlineLevel="0" collapsed="false">
      <c r="A39" s="16" t="s">
        <v>846</v>
      </c>
      <c r="B39" s="16" t="s">
        <v>45</v>
      </c>
      <c r="C39" s="16" t="s">
        <v>658</v>
      </c>
      <c r="D39" s="16" t="s">
        <v>842</v>
      </c>
      <c r="E39" s="16" t="s">
        <v>847</v>
      </c>
      <c r="F39" s="16" t="s">
        <v>661</v>
      </c>
      <c r="G39" s="16" t="s">
        <v>848</v>
      </c>
      <c r="H39" s="16" t="s">
        <v>56</v>
      </c>
      <c r="I39" s="16" t="s">
        <v>33</v>
      </c>
      <c r="J39" s="16" t="s">
        <v>663</v>
      </c>
      <c r="K39" s="16" t="s">
        <v>179</v>
      </c>
      <c r="L39" s="16" t="s">
        <v>180</v>
      </c>
      <c r="M39" s="16" t="s">
        <v>313</v>
      </c>
      <c r="N39" s="16" t="s">
        <v>849</v>
      </c>
      <c r="O39" s="17" t="s">
        <v>92</v>
      </c>
      <c r="P39" s="18" t="s">
        <v>93</v>
      </c>
      <c r="Q39" s="18"/>
      <c r="R39" s="18"/>
    </row>
    <row r="40" customFormat="false" ht="22.35" hidden="false" customHeight="false" outlineLevel="0" collapsed="false">
      <c r="A40" s="16" t="s">
        <v>850</v>
      </c>
      <c r="B40" s="16" t="s">
        <v>45</v>
      </c>
      <c r="C40" s="16" t="s">
        <v>658</v>
      </c>
      <c r="D40" s="16" t="s">
        <v>842</v>
      </c>
      <c r="E40" s="16" t="s">
        <v>851</v>
      </c>
      <c r="F40" s="16" t="s">
        <v>661</v>
      </c>
      <c r="G40" s="16" t="s">
        <v>852</v>
      </c>
      <c r="H40" s="16" t="s">
        <v>56</v>
      </c>
      <c r="I40" s="16" t="s">
        <v>33</v>
      </c>
      <c r="J40" s="16" t="s">
        <v>663</v>
      </c>
      <c r="K40" s="16" t="s">
        <v>219</v>
      </c>
      <c r="L40" s="16" t="s">
        <v>853</v>
      </c>
      <c r="M40" s="16" t="s">
        <v>100</v>
      </c>
      <c r="N40" s="16" t="s">
        <v>808</v>
      </c>
      <c r="O40" s="17" t="s">
        <v>92</v>
      </c>
      <c r="P40" s="18" t="s">
        <v>93</v>
      </c>
      <c r="Q40" s="18"/>
      <c r="R40" s="18"/>
    </row>
    <row r="41" customFormat="false" ht="22.35" hidden="false" customHeight="false" outlineLevel="0" collapsed="false">
      <c r="A41" s="16" t="s">
        <v>854</v>
      </c>
      <c r="B41" s="16" t="s">
        <v>45</v>
      </c>
      <c r="C41" s="16" t="s">
        <v>658</v>
      </c>
      <c r="D41" s="16" t="s">
        <v>842</v>
      </c>
      <c r="E41" s="16" t="s">
        <v>855</v>
      </c>
      <c r="F41" s="16" t="s">
        <v>661</v>
      </c>
      <c r="G41" s="16" t="s">
        <v>856</v>
      </c>
      <c r="H41" s="16" t="s">
        <v>56</v>
      </c>
      <c r="I41" s="16" t="s">
        <v>33</v>
      </c>
      <c r="J41" s="16" t="s">
        <v>663</v>
      </c>
      <c r="K41" s="16" t="s">
        <v>179</v>
      </c>
      <c r="L41" s="16" t="s">
        <v>857</v>
      </c>
      <c r="M41" s="16" t="s">
        <v>100</v>
      </c>
      <c r="N41" s="16" t="s">
        <v>858</v>
      </c>
      <c r="O41" s="17" t="s">
        <v>92</v>
      </c>
      <c r="P41" s="18" t="s">
        <v>93</v>
      </c>
      <c r="Q41" s="18"/>
      <c r="R41" s="18"/>
    </row>
    <row r="42" customFormat="false" ht="22.35" hidden="false" customHeight="false" outlineLevel="0" collapsed="false">
      <c r="A42" s="16" t="s">
        <v>859</v>
      </c>
      <c r="B42" s="16" t="s">
        <v>45</v>
      </c>
      <c r="C42" s="16" t="s">
        <v>658</v>
      </c>
      <c r="D42" s="16" t="s">
        <v>860</v>
      </c>
      <c r="E42" s="16" t="s">
        <v>861</v>
      </c>
      <c r="F42" s="16" t="s">
        <v>661</v>
      </c>
      <c r="G42" s="16" t="s">
        <v>862</v>
      </c>
      <c r="H42" s="16" t="s">
        <v>54</v>
      </c>
      <c r="I42" s="16" t="s">
        <v>31</v>
      </c>
      <c r="J42" s="16" t="s">
        <v>663</v>
      </c>
      <c r="K42" s="16" t="s">
        <v>863</v>
      </c>
      <c r="L42" s="16" t="s">
        <v>864</v>
      </c>
      <c r="M42" s="16" t="s">
        <v>752</v>
      </c>
      <c r="N42" s="16" t="s">
        <v>865</v>
      </c>
      <c r="O42" s="17" t="s">
        <v>92</v>
      </c>
      <c r="P42" s="18" t="s">
        <v>93</v>
      </c>
      <c r="Q42" s="18"/>
      <c r="R42" s="18"/>
    </row>
    <row r="43" customFormat="false" ht="22.35" hidden="false" customHeight="false" outlineLevel="0" collapsed="false">
      <c r="A43" s="16" t="s">
        <v>866</v>
      </c>
      <c r="B43" s="16" t="s">
        <v>45</v>
      </c>
      <c r="C43" s="16" t="s">
        <v>658</v>
      </c>
      <c r="D43" s="16" t="s">
        <v>860</v>
      </c>
      <c r="E43" s="16" t="s">
        <v>867</v>
      </c>
      <c r="F43" s="16" t="s">
        <v>661</v>
      </c>
      <c r="G43" s="16" t="s">
        <v>868</v>
      </c>
      <c r="H43" s="16" t="s">
        <v>56</v>
      </c>
      <c r="I43" s="16" t="s">
        <v>33</v>
      </c>
      <c r="J43" s="16" t="s">
        <v>663</v>
      </c>
      <c r="K43" s="16" t="s">
        <v>558</v>
      </c>
      <c r="L43" s="16" t="s">
        <v>89</v>
      </c>
      <c r="M43" s="16" t="s">
        <v>100</v>
      </c>
      <c r="N43" s="16" t="s">
        <v>869</v>
      </c>
      <c r="O43" s="17" t="s">
        <v>92</v>
      </c>
      <c r="P43" s="18" t="s">
        <v>93</v>
      </c>
      <c r="Q43" s="18"/>
      <c r="R43" s="18"/>
    </row>
    <row r="44" customFormat="false" ht="22.35" hidden="false" customHeight="false" outlineLevel="0" collapsed="false">
      <c r="A44" s="16" t="s">
        <v>870</v>
      </c>
      <c r="B44" s="16" t="s">
        <v>45</v>
      </c>
      <c r="C44" s="16" t="s">
        <v>658</v>
      </c>
      <c r="D44" s="16" t="s">
        <v>301</v>
      </c>
      <c r="E44" s="16" t="s">
        <v>871</v>
      </c>
      <c r="F44" s="16" t="s">
        <v>661</v>
      </c>
      <c r="G44" s="16" t="s">
        <v>872</v>
      </c>
      <c r="H44" s="16" t="s">
        <v>54</v>
      </c>
      <c r="I44" s="16" t="s">
        <v>31</v>
      </c>
      <c r="J44" s="16" t="s">
        <v>663</v>
      </c>
      <c r="K44" s="16" t="s">
        <v>330</v>
      </c>
      <c r="L44" s="16" t="s">
        <v>873</v>
      </c>
      <c r="M44" s="16" t="s">
        <v>332</v>
      </c>
      <c r="N44" s="16" t="s">
        <v>874</v>
      </c>
      <c r="O44" s="17" t="s">
        <v>92</v>
      </c>
      <c r="P44" s="18" t="s">
        <v>93</v>
      </c>
      <c r="Q44" s="18"/>
      <c r="R44" s="18"/>
    </row>
    <row r="45" customFormat="false" ht="22.35" hidden="false" customHeight="false" outlineLevel="0" collapsed="false">
      <c r="A45" s="16" t="s">
        <v>875</v>
      </c>
      <c r="B45" s="16" t="s">
        <v>45</v>
      </c>
      <c r="C45" s="16" t="s">
        <v>658</v>
      </c>
      <c r="D45" s="16" t="s">
        <v>676</v>
      </c>
      <c r="E45" s="16" t="s">
        <v>876</v>
      </c>
      <c r="F45" s="16" t="s">
        <v>661</v>
      </c>
      <c r="G45" s="16" t="s">
        <v>877</v>
      </c>
      <c r="H45" s="16" t="s">
        <v>56</v>
      </c>
      <c r="I45" s="16" t="s">
        <v>31</v>
      </c>
      <c r="J45" s="16" t="s">
        <v>663</v>
      </c>
      <c r="K45" s="16" t="s">
        <v>330</v>
      </c>
      <c r="L45" s="16" t="s">
        <v>481</v>
      </c>
      <c r="M45" s="16" t="s">
        <v>394</v>
      </c>
      <c r="N45" s="16" t="s">
        <v>878</v>
      </c>
      <c r="O45" s="17" t="s">
        <v>92</v>
      </c>
      <c r="P45" s="18" t="s">
        <v>93</v>
      </c>
      <c r="Q45" s="18"/>
      <c r="R45" s="18"/>
    </row>
    <row r="46" customFormat="false" ht="22.35" hidden="false" customHeight="false" outlineLevel="0" collapsed="false">
      <c r="A46" s="16" t="s">
        <v>879</v>
      </c>
      <c r="B46" s="16" t="s">
        <v>45</v>
      </c>
      <c r="C46" s="16" t="s">
        <v>658</v>
      </c>
      <c r="D46" s="16" t="s">
        <v>880</v>
      </c>
      <c r="E46" s="16" t="s">
        <v>881</v>
      </c>
      <c r="F46" s="16" t="s">
        <v>661</v>
      </c>
      <c r="G46" s="16" t="s">
        <v>882</v>
      </c>
      <c r="H46" s="16" t="s">
        <v>56</v>
      </c>
      <c r="I46" s="16" t="s">
        <v>31</v>
      </c>
      <c r="J46" s="16" t="s">
        <v>663</v>
      </c>
      <c r="K46" s="16" t="s">
        <v>354</v>
      </c>
      <c r="L46" s="16" t="s">
        <v>89</v>
      </c>
      <c r="M46" s="16" t="s">
        <v>313</v>
      </c>
      <c r="N46" s="16" t="s">
        <v>883</v>
      </c>
      <c r="O46" s="17" t="s">
        <v>92</v>
      </c>
      <c r="P46" s="18" t="s">
        <v>93</v>
      </c>
      <c r="Q46" s="18"/>
      <c r="R46" s="18"/>
    </row>
    <row r="47" customFormat="false" ht="22.35" hidden="false" customHeight="false" outlineLevel="0" collapsed="false">
      <c r="A47" s="16" t="s">
        <v>884</v>
      </c>
      <c r="B47" s="16" t="s">
        <v>45</v>
      </c>
      <c r="C47" s="16" t="s">
        <v>885</v>
      </c>
      <c r="D47" s="16" t="s">
        <v>886</v>
      </c>
      <c r="E47" s="16" t="s">
        <v>887</v>
      </c>
      <c r="F47" s="16" t="s">
        <v>888</v>
      </c>
      <c r="G47" s="16" t="s">
        <v>889</v>
      </c>
      <c r="H47" s="16" t="s">
        <v>58</v>
      </c>
      <c r="I47" s="16" t="s">
        <v>34</v>
      </c>
      <c r="J47" s="16" t="s">
        <v>663</v>
      </c>
      <c r="K47" s="16" t="s">
        <v>890</v>
      </c>
      <c r="L47" s="16" t="s">
        <v>89</v>
      </c>
      <c r="M47" s="16" t="s">
        <v>891</v>
      </c>
      <c r="N47" s="16" t="s">
        <v>892</v>
      </c>
      <c r="O47" s="17" t="s">
        <v>92</v>
      </c>
      <c r="P47" s="18" t="s">
        <v>93</v>
      </c>
      <c r="Q47" s="18"/>
      <c r="R47" s="18"/>
    </row>
    <row r="48" customFormat="false" ht="22.35" hidden="false" customHeight="false" outlineLevel="0" collapsed="false">
      <c r="A48" s="16" t="s">
        <v>893</v>
      </c>
      <c r="B48" s="16" t="s">
        <v>45</v>
      </c>
      <c r="C48" s="16" t="s">
        <v>885</v>
      </c>
      <c r="D48" s="16" t="s">
        <v>894</v>
      </c>
      <c r="E48" s="16" t="s">
        <v>895</v>
      </c>
      <c r="F48" s="16" t="s">
        <v>888</v>
      </c>
      <c r="G48" s="16" t="s">
        <v>896</v>
      </c>
      <c r="H48" s="16" t="s">
        <v>54</v>
      </c>
      <c r="I48" s="16" t="s">
        <v>31</v>
      </c>
      <c r="J48" s="16" t="s">
        <v>663</v>
      </c>
      <c r="K48" s="16" t="s">
        <v>354</v>
      </c>
      <c r="L48" s="16" t="s">
        <v>89</v>
      </c>
      <c r="M48" s="16" t="s">
        <v>704</v>
      </c>
      <c r="N48" s="16" t="s">
        <v>897</v>
      </c>
      <c r="O48" s="17" t="s">
        <v>92</v>
      </c>
      <c r="P48" s="18" t="s">
        <v>93</v>
      </c>
      <c r="Q48" s="18"/>
      <c r="R48" s="18"/>
    </row>
    <row r="49" customFormat="false" ht="22.35" hidden="false" customHeight="false" outlineLevel="0" collapsed="false">
      <c r="A49" s="16" t="s">
        <v>898</v>
      </c>
      <c r="B49" s="16" t="s">
        <v>45</v>
      </c>
      <c r="C49" s="16" t="s">
        <v>885</v>
      </c>
      <c r="D49" s="16" t="s">
        <v>894</v>
      </c>
      <c r="E49" s="16" t="s">
        <v>899</v>
      </c>
      <c r="F49" s="16" t="s">
        <v>888</v>
      </c>
      <c r="G49" s="16" t="s">
        <v>900</v>
      </c>
      <c r="H49" s="16" t="s">
        <v>54</v>
      </c>
      <c r="I49" s="16" t="s">
        <v>31</v>
      </c>
      <c r="J49" s="16" t="s">
        <v>663</v>
      </c>
      <c r="K49" s="16" t="s">
        <v>354</v>
      </c>
      <c r="L49" s="16" t="s">
        <v>89</v>
      </c>
      <c r="M49" s="16" t="s">
        <v>704</v>
      </c>
      <c r="N49" s="16" t="s">
        <v>901</v>
      </c>
      <c r="O49" s="17" t="s">
        <v>92</v>
      </c>
      <c r="P49" s="18" t="s">
        <v>93</v>
      </c>
      <c r="Q49" s="18"/>
      <c r="R49" s="18"/>
    </row>
    <row r="50" customFormat="false" ht="22.35" hidden="false" customHeight="false" outlineLevel="0" collapsed="false">
      <c r="A50" s="16" t="s">
        <v>902</v>
      </c>
      <c r="B50" s="16" t="s">
        <v>45</v>
      </c>
      <c r="C50" s="16" t="s">
        <v>885</v>
      </c>
      <c r="D50" s="16" t="s">
        <v>903</v>
      </c>
      <c r="E50" s="16" t="s">
        <v>904</v>
      </c>
      <c r="F50" s="16" t="s">
        <v>888</v>
      </c>
      <c r="G50" s="16" t="s">
        <v>905</v>
      </c>
      <c r="H50" s="16" t="s">
        <v>54</v>
      </c>
      <c r="I50" s="16" t="s">
        <v>31</v>
      </c>
      <c r="J50" s="16" t="s">
        <v>663</v>
      </c>
      <c r="K50" s="16" t="s">
        <v>354</v>
      </c>
      <c r="L50" s="16" t="s">
        <v>89</v>
      </c>
      <c r="M50" s="16" t="s">
        <v>704</v>
      </c>
      <c r="N50" s="16" t="s">
        <v>906</v>
      </c>
      <c r="O50" s="17" t="s">
        <v>92</v>
      </c>
      <c r="P50" s="18" t="s">
        <v>93</v>
      </c>
      <c r="Q50" s="18"/>
      <c r="R50" s="18"/>
    </row>
    <row r="51" customFormat="false" ht="22.35" hidden="false" customHeight="false" outlineLevel="0" collapsed="false">
      <c r="A51" s="16" t="s">
        <v>907</v>
      </c>
      <c r="B51" s="16" t="s">
        <v>45</v>
      </c>
      <c r="C51" s="16" t="s">
        <v>885</v>
      </c>
      <c r="D51" s="16" t="s">
        <v>903</v>
      </c>
      <c r="E51" s="16" t="s">
        <v>908</v>
      </c>
      <c r="F51" s="16" t="s">
        <v>888</v>
      </c>
      <c r="G51" s="16" t="s">
        <v>909</v>
      </c>
      <c r="H51" s="16" t="s">
        <v>56</v>
      </c>
      <c r="I51" s="16" t="s">
        <v>32</v>
      </c>
      <c r="J51" s="16" t="s">
        <v>663</v>
      </c>
      <c r="K51" s="16" t="s">
        <v>354</v>
      </c>
      <c r="L51" s="16" t="s">
        <v>89</v>
      </c>
      <c r="M51" s="16" t="s">
        <v>704</v>
      </c>
      <c r="N51" s="16" t="s">
        <v>910</v>
      </c>
      <c r="O51" s="17" t="s">
        <v>92</v>
      </c>
      <c r="P51" s="18" t="s">
        <v>93</v>
      </c>
      <c r="Q51" s="18"/>
      <c r="R51" s="18"/>
    </row>
    <row r="52" customFormat="false" ht="22.35" hidden="false" customHeight="false" outlineLevel="0" collapsed="false">
      <c r="A52" s="16" t="s">
        <v>911</v>
      </c>
      <c r="B52" s="16" t="s">
        <v>45</v>
      </c>
      <c r="C52" s="16" t="s">
        <v>885</v>
      </c>
      <c r="D52" s="16" t="s">
        <v>912</v>
      </c>
      <c r="E52" s="16" t="s">
        <v>913</v>
      </c>
      <c r="F52" s="16" t="s">
        <v>888</v>
      </c>
      <c r="G52" s="16" t="s">
        <v>914</v>
      </c>
      <c r="H52" s="16" t="s">
        <v>54</v>
      </c>
      <c r="I52" s="16" t="s">
        <v>32</v>
      </c>
      <c r="J52" s="16" t="s">
        <v>663</v>
      </c>
      <c r="K52" s="16" t="s">
        <v>915</v>
      </c>
      <c r="L52" s="16" t="s">
        <v>89</v>
      </c>
      <c r="M52" s="16" t="s">
        <v>891</v>
      </c>
      <c r="N52" s="16" t="s">
        <v>916</v>
      </c>
      <c r="O52" s="17" t="s">
        <v>92</v>
      </c>
      <c r="P52" s="18" t="s">
        <v>93</v>
      </c>
      <c r="Q52" s="18"/>
      <c r="R52" s="18"/>
    </row>
    <row r="53" customFormat="false" ht="22.35" hidden="false" customHeight="false" outlineLevel="0" collapsed="false">
      <c r="A53" s="16" t="s">
        <v>917</v>
      </c>
      <c r="B53" s="16" t="s">
        <v>45</v>
      </c>
      <c r="C53" s="16" t="s">
        <v>918</v>
      </c>
      <c r="D53" s="16" t="s">
        <v>919</v>
      </c>
      <c r="E53" s="16" t="s">
        <v>920</v>
      </c>
      <c r="F53" s="16" t="s">
        <v>921</v>
      </c>
      <c r="G53" s="16" t="s">
        <v>922</v>
      </c>
      <c r="H53" s="16" t="s">
        <v>54</v>
      </c>
      <c r="I53" s="16" t="s">
        <v>32</v>
      </c>
      <c r="J53" s="16" t="s">
        <v>663</v>
      </c>
      <c r="K53" s="16" t="s">
        <v>354</v>
      </c>
      <c r="L53" s="16" t="s">
        <v>89</v>
      </c>
      <c r="M53" s="16" t="s">
        <v>704</v>
      </c>
      <c r="N53" s="16" t="s">
        <v>923</v>
      </c>
      <c r="O53" s="17" t="s">
        <v>92</v>
      </c>
      <c r="P53" s="18" t="s">
        <v>93</v>
      </c>
      <c r="Q53" s="18"/>
      <c r="R53" s="18"/>
    </row>
    <row r="54" customFormat="false" ht="22.35" hidden="false" customHeight="false" outlineLevel="0" collapsed="false">
      <c r="A54" s="16" t="s">
        <v>924</v>
      </c>
      <c r="B54" s="16" t="s">
        <v>45</v>
      </c>
      <c r="C54" s="16" t="s">
        <v>918</v>
      </c>
      <c r="D54" s="16" t="s">
        <v>925</v>
      </c>
      <c r="E54" s="16" t="s">
        <v>926</v>
      </c>
      <c r="F54" s="16" t="s">
        <v>921</v>
      </c>
      <c r="G54" s="16" t="s">
        <v>927</v>
      </c>
      <c r="H54" s="16" t="s">
        <v>54</v>
      </c>
      <c r="I54" s="16" t="s">
        <v>32</v>
      </c>
      <c r="J54" s="16" t="s">
        <v>663</v>
      </c>
      <c r="K54" s="16" t="s">
        <v>354</v>
      </c>
      <c r="L54" s="16" t="s">
        <v>89</v>
      </c>
      <c r="M54" s="16" t="s">
        <v>928</v>
      </c>
      <c r="N54" s="16" t="s">
        <v>929</v>
      </c>
      <c r="O54" s="17" t="s">
        <v>92</v>
      </c>
      <c r="P54" s="18" t="s">
        <v>93</v>
      </c>
      <c r="Q54" s="18"/>
      <c r="R54" s="18"/>
    </row>
    <row r="55" customFormat="false" ht="22.35" hidden="false" customHeight="false" outlineLevel="0" collapsed="false">
      <c r="A55" s="16" t="s">
        <v>930</v>
      </c>
      <c r="B55" s="16" t="s">
        <v>45</v>
      </c>
      <c r="C55" s="16" t="s">
        <v>918</v>
      </c>
      <c r="D55" s="16" t="s">
        <v>925</v>
      </c>
      <c r="E55" s="16" t="s">
        <v>931</v>
      </c>
      <c r="F55" s="16" t="s">
        <v>921</v>
      </c>
      <c r="G55" s="16" t="s">
        <v>932</v>
      </c>
      <c r="H55" s="16" t="s">
        <v>56</v>
      </c>
      <c r="I55" s="16" t="s">
        <v>33</v>
      </c>
      <c r="J55" s="16" t="s">
        <v>663</v>
      </c>
      <c r="K55" s="16" t="s">
        <v>354</v>
      </c>
      <c r="L55" s="16" t="s">
        <v>89</v>
      </c>
      <c r="M55" s="16" t="s">
        <v>928</v>
      </c>
      <c r="N55" s="16" t="s">
        <v>933</v>
      </c>
      <c r="O55" s="17" t="s">
        <v>92</v>
      </c>
      <c r="P55" s="18" t="s">
        <v>93</v>
      </c>
      <c r="Q55" s="18"/>
      <c r="R55" s="18"/>
    </row>
    <row r="56" customFormat="false" ht="22.35" hidden="false" customHeight="false" outlineLevel="0" collapsed="false">
      <c r="A56" s="16" t="s">
        <v>934</v>
      </c>
      <c r="B56" s="16" t="s">
        <v>45</v>
      </c>
      <c r="C56" s="16" t="s">
        <v>918</v>
      </c>
      <c r="D56" s="16" t="s">
        <v>935</v>
      </c>
      <c r="E56" s="16" t="s">
        <v>936</v>
      </c>
      <c r="F56" s="16" t="s">
        <v>921</v>
      </c>
      <c r="G56" s="16" t="s">
        <v>937</v>
      </c>
      <c r="H56" s="16" t="s">
        <v>54</v>
      </c>
      <c r="I56" s="16" t="s">
        <v>32</v>
      </c>
      <c r="J56" s="16" t="s">
        <v>663</v>
      </c>
      <c r="K56" s="16" t="s">
        <v>354</v>
      </c>
      <c r="L56" s="16" t="s">
        <v>89</v>
      </c>
      <c r="M56" s="16" t="s">
        <v>100</v>
      </c>
      <c r="N56" s="16" t="s">
        <v>627</v>
      </c>
      <c r="O56" s="17" t="s">
        <v>92</v>
      </c>
      <c r="P56" s="18" t="s">
        <v>93</v>
      </c>
      <c r="Q56" s="18"/>
      <c r="R56" s="18"/>
    </row>
    <row r="57" customFormat="false" ht="22.35" hidden="false" customHeight="false" outlineLevel="0" collapsed="false">
      <c r="A57" s="16" t="s">
        <v>938</v>
      </c>
      <c r="B57" s="16" t="s">
        <v>45</v>
      </c>
      <c r="C57" s="16" t="s">
        <v>918</v>
      </c>
      <c r="D57" s="16" t="s">
        <v>903</v>
      </c>
      <c r="E57" s="16" t="s">
        <v>939</v>
      </c>
      <c r="F57" s="16" t="s">
        <v>921</v>
      </c>
      <c r="G57" s="16" t="s">
        <v>940</v>
      </c>
      <c r="H57" s="16" t="s">
        <v>56</v>
      </c>
      <c r="I57" s="16" t="s">
        <v>33</v>
      </c>
      <c r="J57" s="16" t="s">
        <v>663</v>
      </c>
      <c r="K57" s="16" t="s">
        <v>354</v>
      </c>
      <c r="L57" s="16" t="s">
        <v>941</v>
      </c>
      <c r="M57" s="16" t="s">
        <v>100</v>
      </c>
      <c r="N57" s="16" t="s">
        <v>942</v>
      </c>
      <c r="O57" s="17" t="s">
        <v>92</v>
      </c>
      <c r="P57" s="18" t="s">
        <v>93</v>
      </c>
      <c r="Q57" s="18"/>
      <c r="R57" s="18"/>
    </row>
    <row r="58" customFormat="false" ht="22.35" hidden="false" customHeight="false" outlineLevel="0" collapsed="false">
      <c r="A58" s="16" t="s">
        <v>943</v>
      </c>
      <c r="B58" s="16" t="s">
        <v>45</v>
      </c>
      <c r="C58" s="16" t="s">
        <v>918</v>
      </c>
      <c r="D58" s="16" t="s">
        <v>903</v>
      </c>
      <c r="E58" s="16" t="s">
        <v>944</v>
      </c>
      <c r="F58" s="16" t="s">
        <v>921</v>
      </c>
      <c r="G58" s="16" t="s">
        <v>945</v>
      </c>
      <c r="H58" s="16" t="s">
        <v>54</v>
      </c>
      <c r="I58" s="16" t="s">
        <v>31</v>
      </c>
      <c r="J58" s="16" t="s">
        <v>663</v>
      </c>
      <c r="K58" s="16" t="s">
        <v>354</v>
      </c>
      <c r="L58" s="16" t="s">
        <v>89</v>
      </c>
      <c r="M58" s="16" t="s">
        <v>704</v>
      </c>
      <c r="N58" s="16" t="s">
        <v>946</v>
      </c>
      <c r="O58" s="17" t="s">
        <v>92</v>
      </c>
      <c r="P58" s="18" t="s">
        <v>93</v>
      </c>
      <c r="Q58" s="18"/>
      <c r="R58" s="18"/>
    </row>
    <row r="59" customFormat="false" ht="22.35" hidden="false" customHeight="false" outlineLevel="0" collapsed="false">
      <c r="A59" s="16" t="s">
        <v>947</v>
      </c>
      <c r="B59" s="16" t="s">
        <v>45</v>
      </c>
      <c r="C59" s="16" t="s">
        <v>918</v>
      </c>
      <c r="D59" s="16" t="s">
        <v>948</v>
      </c>
      <c r="E59" s="16" t="s">
        <v>949</v>
      </c>
      <c r="F59" s="16" t="s">
        <v>921</v>
      </c>
      <c r="G59" s="16" t="s">
        <v>950</v>
      </c>
      <c r="H59" s="16" t="s">
        <v>56</v>
      </c>
      <c r="I59" s="16" t="s">
        <v>33</v>
      </c>
      <c r="J59" s="16" t="s">
        <v>663</v>
      </c>
      <c r="K59" s="16" t="s">
        <v>354</v>
      </c>
      <c r="L59" s="16" t="s">
        <v>89</v>
      </c>
      <c r="M59" s="16" t="s">
        <v>100</v>
      </c>
      <c r="N59" s="16" t="s">
        <v>627</v>
      </c>
      <c r="O59" s="17" t="s">
        <v>92</v>
      </c>
      <c r="P59" s="18" t="s">
        <v>93</v>
      </c>
      <c r="Q59" s="18"/>
      <c r="R59" s="18"/>
    </row>
    <row r="60" customFormat="false" ht="22.35" hidden="false" customHeight="false" outlineLevel="0" collapsed="false">
      <c r="A60" s="16" t="s">
        <v>951</v>
      </c>
      <c r="B60" s="16" t="s">
        <v>45</v>
      </c>
      <c r="C60" s="16" t="s">
        <v>918</v>
      </c>
      <c r="D60" s="16" t="s">
        <v>952</v>
      </c>
      <c r="E60" s="16" t="s">
        <v>953</v>
      </c>
      <c r="F60" s="16" t="s">
        <v>921</v>
      </c>
      <c r="G60" s="16" t="s">
        <v>954</v>
      </c>
      <c r="H60" s="16" t="s">
        <v>56</v>
      </c>
      <c r="I60" s="16" t="s">
        <v>34</v>
      </c>
      <c r="J60" s="16" t="s">
        <v>663</v>
      </c>
      <c r="K60" s="16" t="s">
        <v>354</v>
      </c>
      <c r="L60" s="16" t="s">
        <v>89</v>
      </c>
      <c r="M60" s="16" t="s">
        <v>100</v>
      </c>
      <c r="N60" s="16" t="s">
        <v>955</v>
      </c>
      <c r="O60" s="17" t="s">
        <v>92</v>
      </c>
      <c r="P60" s="18" t="s">
        <v>93</v>
      </c>
      <c r="Q60" s="18"/>
      <c r="R60" s="18"/>
    </row>
    <row r="61" customFormat="false" ht="22.35" hidden="false" customHeight="false" outlineLevel="0" collapsed="false">
      <c r="A61" s="16" t="s">
        <v>956</v>
      </c>
      <c r="B61" s="16" t="s">
        <v>45</v>
      </c>
      <c r="C61" s="16" t="s">
        <v>957</v>
      </c>
      <c r="D61" s="16" t="s">
        <v>958</v>
      </c>
      <c r="E61" s="16" t="s">
        <v>959</v>
      </c>
      <c r="F61" s="16" t="s">
        <v>960</v>
      </c>
      <c r="G61" s="16" t="s">
        <v>961</v>
      </c>
      <c r="H61" s="16" t="s">
        <v>54</v>
      </c>
      <c r="I61" s="16" t="s">
        <v>31</v>
      </c>
      <c r="J61" s="16" t="s">
        <v>663</v>
      </c>
      <c r="K61" s="16" t="s">
        <v>354</v>
      </c>
      <c r="L61" s="16" t="s">
        <v>89</v>
      </c>
      <c r="M61" s="16" t="s">
        <v>313</v>
      </c>
      <c r="N61" s="16" t="s">
        <v>962</v>
      </c>
      <c r="O61" s="17" t="s">
        <v>92</v>
      </c>
      <c r="P61" s="18" t="s">
        <v>93</v>
      </c>
      <c r="Q61" s="18"/>
      <c r="R61" s="18"/>
    </row>
    <row r="62" customFormat="false" ht="22.35" hidden="false" customHeight="false" outlineLevel="0" collapsed="false">
      <c r="A62" s="16" t="s">
        <v>963</v>
      </c>
      <c r="B62" s="16" t="s">
        <v>45</v>
      </c>
      <c r="C62" s="16" t="s">
        <v>957</v>
      </c>
      <c r="D62" s="16" t="s">
        <v>964</v>
      </c>
      <c r="E62" s="16" t="s">
        <v>965</v>
      </c>
      <c r="F62" s="16" t="s">
        <v>960</v>
      </c>
      <c r="G62" s="16" t="s">
        <v>966</v>
      </c>
      <c r="H62" s="16" t="s">
        <v>56</v>
      </c>
      <c r="I62" s="16" t="s">
        <v>31</v>
      </c>
      <c r="J62" s="16" t="s">
        <v>663</v>
      </c>
      <c r="K62" s="16" t="s">
        <v>354</v>
      </c>
      <c r="L62" s="16" t="s">
        <v>89</v>
      </c>
      <c r="M62" s="16" t="s">
        <v>313</v>
      </c>
      <c r="N62" s="16" t="s">
        <v>967</v>
      </c>
      <c r="O62" s="17" t="s">
        <v>92</v>
      </c>
      <c r="P62" s="18" t="s">
        <v>93</v>
      </c>
      <c r="Q62" s="18"/>
      <c r="R62" s="18"/>
    </row>
    <row r="63" customFormat="false" ht="22.35" hidden="false" customHeight="false" outlineLevel="0" collapsed="false">
      <c r="A63" s="16" t="s">
        <v>968</v>
      </c>
      <c r="B63" s="16" t="s">
        <v>45</v>
      </c>
      <c r="C63" s="16" t="s">
        <v>957</v>
      </c>
      <c r="D63" s="16" t="s">
        <v>969</v>
      </c>
      <c r="E63" s="16" t="s">
        <v>970</v>
      </c>
      <c r="F63" s="16" t="s">
        <v>960</v>
      </c>
      <c r="G63" s="16" t="s">
        <v>971</v>
      </c>
      <c r="H63" s="16" t="s">
        <v>54</v>
      </c>
      <c r="I63" s="16" t="s">
        <v>31</v>
      </c>
      <c r="J63" s="16" t="s">
        <v>663</v>
      </c>
      <c r="K63" s="16" t="s">
        <v>972</v>
      </c>
      <c r="L63" s="16" t="s">
        <v>973</v>
      </c>
      <c r="M63" s="16" t="s">
        <v>313</v>
      </c>
      <c r="N63" s="16" t="s">
        <v>974</v>
      </c>
      <c r="O63" s="17" t="s">
        <v>92</v>
      </c>
      <c r="P63" s="18" t="s">
        <v>93</v>
      </c>
      <c r="Q63" s="18"/>
      <c r="R63" s="18"/>
    </row>
    <row r="64" customFormat="false" ht="22.35" hidden="false" customHeight="false" outlineLevel="0" collapsed="false">
      <c r="A64" s="16" t="s">
        <v>975</v>
      </c>
      <c r="B64" s="16" t="s">
        <v>45</v>
      </c>
      <c r="C64" s="16" t="s">
        <v>957</v>
      </c>
      <c r="D64" s="16" t="s">
        <v>964</v>
      </c>
      <c r="E64" s="16" t="s">
        <v>976</v>
      </c>
      <c r="F64" s="16" t="s">
        <v>960</v>
      </c>
      <c r="G64" s="16" t="s">
        <v>977</v>
      </c>
      <c r="H64" s="16" t="s">
        <v>58</v>
      </c>
      <c r="I64" s="16" t="s">
        <v>34</v>
      </c>
      <c r="J64" s="16" t="s">
        <v>663</v>
      </c>
      <c r="K64" s="16" t="s">
        <v>354</v>
      </c>
      <c r="L64" s="16" t="s">
        <v>89</v>
      </c>
      <c r="M64" s="16" t="s">
        <v>313</v>
      </c>
      <c r="N64" s="16" t="s">
        <v>808</v>
      </c>
      <c r="O64" s="17" t="s">
        <v>92</v>
      </c>
      <c r="P64" s="18" t="s">
        <v>93</v>
      </c>
      <c r="Q64" s="18"/>
      <c r="R64" s="18"/>
    </row>
    <row r="65" customFormat="false" ht="22.35" hidden="false" customHeight="false" outlineLevel="0" collapsed="false">
      <c r="A65" s="16" t="s">
        <v>978</v>
      </c>
      <c r="B65" s="16" t="s">
        <v>45</v>
      </c>
      <c r="C65" s="16" t="s">
        <v>957</v>
      </c>
      <c r="D65" s="16" t="s">
        <v>964</v>
      </c>
      <c r="E65" s="16" t="s">
        <v>979</v>
      </c>
      <c r="F65" s="16" t="s">
        <v>960</v>
      </c>
      <c r="G65" s="16" t="s">
        <v>980</v>
      </c>
      <c r="H65" s="16" t="s">
        <v>56</v>
      </c>
      <c r="I65" s="16" t="s">
        <v>32</v>
      </c>
      <c r="J65" s="16" t="s">
        <v>663</v>
      </c>
      <c r="K65" s="16" t="s">
        <v>354</v>
      </c>
      <c r="L65" s="16" t="s">
        <v>89</v>
      </c>
      <c r="M65" s="16" t="s">
        <v>313</v>
      </c>
      <c r="N65" s="16" t="s">
        <v>981</v>
      </c>
      <c r="O65" s="17" t="s">
        <v>92</v>
      </c>
      <c r="P65" s="18" t="s">
        <v>93</v>
      </c>
      <c r="Q65" s="18"/>
      <c r="R65" s="18"/>
    </row>
    <row r="66" customFormat="false" ht="22.35" hidden="false" customHeight="false" outlineLevel="0" collapsed="false">
      <c r="A66" s="16" t="s">
        <v>982</v>
      </c>
      <c r="B66" s="16" t="s">
        <v>45</v>
      </c>
      <c r="C66" s="16" t="s">
        <v>957</v>
      </c>
      <c r="D66" s="16" t="s">
        <v>969</v>
      </c>
      <c r="E66" s="16" t="s">
        <v>983</v>
      </c>
      <c r="F66" s="16" t="s">
        <v>960</v>
      </c>
      <c r="G66" s="16" t="s">
        <v>984</v>
      </c>
      <c r="H66" s="16" t="s">
        <v>56</v>
      </c>
      <c r="I66" s="16" t="s">
        <v>32</v>
      </c>
      <c r="J66" s="16" t="s">
        <v>663</v>
      </c>
      <c r="K66" s="16" t="s">
        <v>972</v>
      </c>
      <c r="L66" s="16" t="s">
        <v>985</v>
      </c>
      <c r="M66" s="16" t="s">
        <v>313</v>
      </c>
      <c r="N66" s="16" t="s">
        <v>974</v>
      </c>
      <c r="O66" s="17" t="s">
        <v>92</v>
      </c>
      <c r="P66" s="18" t="s">
        <v>93</v>
      </c>
      <c r="Q66" s="18"/>
      <c r="R66" s="18"/>
    </row>
    <row r="67" customFormat="false" ht="15" hidden="false" customHeight="false" outlineLevel="0" collapsed="false">
      <c r="A67" s="16" t="s">
        <v>986</v>
      </c>
      <c r="B67" s="16" t="s">
        <v>45</v>
      </c>
      <c r="C67" s="16" t="s">
        <v>957</v>
      </c>
      <c r="D67" s="16" t="s">
        <v>987</v>
      </c>
      <c r="E67" s="16" t="s">
        <v>988</v>
      </c>
      <c r="F67" s="16" t="s">
        <v>960</v>
      </c>
      <c r="G67" s="16" t="s">
        <v>989</v>
      </c>
      <c r="H67" s="16" t="s">
        <v>56</v>
      </c>
      <c r="I67" s="16" t="s">
        <v>32</v>
      </c>
      <c r="J67" s="16" t="s">
        <v>990</v>
      </c>
      <c r="K67" s="16" t="s">
        <v>219</v>
      </c>
      <c r="L67" s="16" t="s">
        <v>853</v>
      </c>
      <c r="M67" s="16" t="s">
        <v>313</v>
      </c>
      <c r="N67" s="16" t="s">
        <v>991</v>
      </c>
      <c r="O67" s="17" t="s">
        <v>92</v>
      </c>
      <c r="P67" s="18" t="s">
        <v>93</v>
      </c>
      <c r="Q67" s="18"/>
      <c r="R67" s="18"/>
    </row>
    <row r="68" customFormat="false" ht="22.35" hidden="false" customHeight="false" outlineLevel="0" collapsed="false">
      <c r="A68" s="16" t="s">
        <v>992</v>
      </c>
      <c r="B68" s="16" t="s">
        <v>45</v>
      </c>
      <c r="C68" s="16" t="s">
        <v>993</v>
      </c>
      <c r="D68" s="16" t="s">
        <v>994</v>
      </c>
      <c r="E68" s="16" t="s">
        <v>995</v>
      </c>
      <c r="F68" s="16" t="s">
        <v>996</v>
      </c>
      <c r="G68" s="16" t="s">
        <v>997</v>
      </c>
      <c r="H68" s="16" t="s">
        <v>54</v>
      </c>
      <c r="I68" s="16" t="s">
        <v>31</v>
      </c>
      <c r="J68" s="16" t="s">
        <v>663</v>
      </c>
      <c r="K68" s="16" t="s">
        <v>318</v>
      </c>
      <c r="L68" s="16" t="s">
        <v>89</v>
      </c>
      <c r="M68" s="16" t="s">
        <v>313</v>
      </c>
      <c r="N68" s="16" t="s">
        <v>998</v>
      </c>
      <c r="O68" s="17" t="s">
        <v>92</v>
      </c>
      <c r="P68" s="18" t="s">
        <v>93</v>
      </c>
      <c r="Q68" s="18"/>
      <c r="R68" s="18"/>
    </row>
    <row r="69" customFormat="false" ht="22.35" hidden="false" customHeight="false" outlineLevel="0" collapsed="false">
      <c r="A69" s="16" t="s">
        <v>999</v>
      </c>
      <c r="B69" s="16" t="s">
        <v>45</v>
      </c>
      <c r="C69" s="16" t="s">
        <v>993</v>
      </c>
      <c r="D69" s="16" t="s">
        <v>1000</v>
      </c>
      <c r="E69" s="16" t="s">
        <v>1001</v>
      </c>
      <c r="F69" s="16" t="s">
        <v>996</v>
      </c>
      <c r="G69" s="16" t="s">
        <v>1002</v>
      </c>
      <c r="H69" s="16" t="s">
        <v>54</v>
      </c>
      <c r="I69" s="16" t="s">
        <v>32</v>
      </c>
      <c r="J69" s="16" t="s">
        <v>663</v>
      </c>
      <c r="K69" s="16" t="s">
        <v>318</v>
      </c>
      <c r="L69" s="16" t="s">
        <v>393</v>
      </c>
      <c r="M69" s="16" t="s">
        <v>100</v>
      </c>
      <c r="N69" s="16" t="s">
        <v>1003</v>
      </c>
      <c r="O69" s="17" t="s">
        <v>92</v>
      </c>
      <c r="P69" s="18" t="s">
        <v>93</v>
      </c>
      <c r="Q69" s="18"/>
      <c r="R69" s="18"/>
    </row>
    <row r="70" customFormat="false" ht="22.35" hidden="false" customHeight="false" outlineLevel="0" collapsed="false">
      <c r="A70" s="16" t="s">
        <v>1004</v>
      </c>
      <c r="B70" s="16" t="s">
        <v>45</v>
      </c>
      <c r="C70" s="16" t="s">
        <v>993</v>
      </c>
      <c r="D70" s="16" t="s">
        <v>1005</v>
      </c>
      <c r="E70" s="16" t="s">
        <v>1006</v>
      </c>
      <c r="F70" s="16" t="s">
        <v>996</v>
      </c>
      <c r="G70" s="16" t="s">
        <v>1007</v>
      </c>
      <c r="H70" s="16" t="s">
        <v>54</v>
      </c>
      <c r="I70" s="16" t="s">
        <v>32</v>
      </c>
      <c r="J70" s="16" t="s">
        <v>663</v>
      </c>
      <c r="K70" s="16" t="s">
        <v>318</v>
      </c>
      <c r="L70" s="16" t="s">
        <v>89</v>
      </c>
      <c r="M70" s="16" t="s">
        <v>100</v>
      </c>
      <c r="N70" s="16" t="s">
        <v>1008</v>
      </c>
      <c r="O70" s="17" t="s">
        <v>92</v>
      </c>
      <c r="P70" s="18" t="s">
        <v>93</v>
      </c>
      <c r="Q70" s="18"/>
      <c r="R70" s="18"/>
    </row>
    <row r="71" customFormat="false" ht="22.35" hidden="false" customHeight="false" outlineLevel="0" collapsed="false">
      <c r="A71" s="16" t="s">
        <v>1009</v>
      </c>
      <c r="B71" s="16" t="s">
        <v>45</v>
      </c>
      <c r="C71" s="16" t="s">
        <v>993</v>
      </c>
      <c r="D71" s="16" t="s">
        <v>1010</v>
      </c>
      <c r="E71" s="16" t="s">
        <v>1011</v>
      </c>
      <c r="F71" s="16" t="s">
        <v>996</v>
      </c>
      <c r="G71" s="16" t="s">
        <v>1012</v>
      </c>
      <c r="H71" s="16" t="s">
        <v>54</v>
      </c>
      <c r="I71" s="16" t="s">
        <v>32</v>
      </c>
      <c r="J71" s="16" t="s">
        <v>663</v>
      </c>
      <c r="K71" s="16" t="s">
        <v>318</v>
      </c>
      <c r="L71" s="16" t="s">
        <v>1013</v>
      </c>
      <c r="M71" s="16" t="s">
        <v>313</v>
      </c>
      <c r="N71" s="16" t="s">
        <v>1014</v>
      </c>
      <c r="O71" s="17" t="s">
        <v>92</v>
      </c>
      <c r="P71" s="18" t="s">
        <v>93</v>
      </c>
      <c r="Q71" s="18"/>
      <c r="R71" s="18"/>
    </row>
    <row r="72" customFormat="false" ht="22.35" hidden="false" customHeight="false" outlineLevel="0" collapsed="false">
      <c r="A72" s="16" t="s">
        <v>1015</v>
      </c>
      <c r="B72" s="16" t="s">
        <v>45</v>
      </c>
      <c r="C72" s="16" t="s">
        <v>993</v>
      </c>
      <c r="D72" s="16" t="s">
        <v>1016</v>
      </c>
      <c r="E72" s="16" t="s">
        <v>1017</v>
      </c>
      <c r="F72" s="16" t="s">
        <v>996</v>
      </c>
      <c r="G72" s="16" t="s">
        <v>1018</v>
      </c>
      <c r="H72" s="16" t="s">
        <v>56</v>
      </c>
      <c r="I72" s="16" t="s">
        <v>32</v>
      </c>
      <c r="J72" s="16" t="s">
        <v>663</v>
      </c>
      <c r="K72" s="16" t="s">
        <v>330</v>
      </c>
      <c r="L72" s="16" t="s">
        <v>1019</v>
      </c>
      <c r="M72" s="16" t="s">
        <v>332</v>
      </c>
      <c r="N72" s="16" t="s">
        <v>1020</v>
      </c>
      <c r="O72" s="17" t="s">
        <v>92</v>
      </c>
      <c r="P72" s="18" t="s">
        <v>93</v>
      </c>
      <c r="Q72" s="18"/>
      <c r="R72" s="18"/>
    </row>
    <row r="73" customFormat="false" ht="22.35" hidden="false" customHeight="false" outlineLevel="0" collapsed="false">
      <c r="A73" s="16" t="s">
        <v>1021</v>
      </c>
      <c r="B73" s="16" t="s">
        <v>45</v>
      </c>
      <c r="C73" s="16" t="s">
        <v>993</v>
      </c>
      <c r="D73" s="16" t="s">
        <v>1022</v>
      </c>
      <c r="E73" s="16" t="s">
        <v>1023</v>
      </c>
      <c r="F73" s="16" t="s">
        <v>996</v>
      </c>
      <c r="G73" s="16" t="s">
        <v>1024</v>
      </c>
      <c r="H73" s="16" t="s">
        <v>56</v>
      </c>
      <c r="I73" s="16" t="s">
        <v>33</v>
      </c>
      <c r="J73" s="16" t="s">
        <v>663</v>
      </c>
      <c r="K73" s="16" t="s">
        <v>330</v>
      </c>
      <c r="L73" s="16" t="s">
        <v>89</v>
      </c>
      <c r="M73" s="16" t="s">
        <v>100</v>
      </c>
      <c r="N73" s="16" t="s">
        <v>1025</v>
      </c>
      <c r="O73" s="17" t="s">
        <v>92</v>
      </c>
      <c r="P73" s="18" t="s">
        <v>93</v>
      </c>
      <c r="Q73" s="18"/>
      <c r="R73" s="18"/>
    </row>
    <row r="74" customFormat="false" ht="22.35" hidden="false" customHeight="false" outlineLevel="0" collapsed="false">
      <c r="A74" s="16" t="s">
        <v>1026</v>
      </c>
      <c r="B74" s="16" t="s">
        <v>45</v>
      </c>
      <c r="C74" s="16" t="s">
        <v>993</v>
      </c>
      <c r="D74" s="16" t="s">
        <v>1027</v>
      </c>
      <c r="E74" s="16" t="s">
        <v>1028</v>
      </c>
      <c r="F74" s="16" t="s">
        <v>996</v>
      </c>
      <c r="G74" s="16" t="s">
        <v>1029</v>
      </c>
      <c r="H74" s="16" t="s">
        <v>56</v>
      </c>
      <c r="I74" s="16" t="s">
        <v>33</v>
      </c>
      <c r="J74" s="16" t="s">
        <v>663</v>
      </c>
      <c r="K74" s="16" t="s">
        <v>318</v>
      </c>
      <c r="L74" s="16" t="s">
        <v>393</v>
      </c>
      <c r="M74" s="16" t="s">
        <v>100</v>
      </c>
      <c r="N74" s="16" t="s">
        <v>1003</v>
      </c>
      <c r="O74" s="17" t="s">
        <v>92</v>
      </c>
      <c r="P74" s="18" t="s">
        <v>93</v>
      </c>
      <c r="Q74" s="18"/>
      <c r="R74" s="18"/>
    </row>
    <row r="75" customFormat="false" ht="22.35" hidden="false" customHeight="false" outlineLevel="0" collapsed="false">
      <c r="A75" s="16" t="s">
        <v>1030</v>
      </c>
      <c r="B75" s="16" t="s">
        <v>45</v>
      </c>
      <c r="C75" s="16" t="s">
        <v>1031</v>
      </c>
      <c r="D75" s="16" t="s">
        <v>1032</v>
      </c>
      <c r="E75" s="16" t="s">
        <v>1033</v>
      </c>
      <c r="F75" s="16" t="s">
        <v>1034</v>
      </c>
      <c r="G75" s="16" t="s">
        <v>1035</v>
      </c>
      <c r="H75" s="16" t="s">
        <v>54</v>
      </c>
      <c r="I75" s="16" t="s">
        <v>31</v>
      </c>
      <c r="J75" s="16" t="s">
        <v>663</v>
      </c>
      <c r="K75" s="16" t="s">
        <v>330</v>
      </c>
      <c r="L75" s="16" t="s">
        <v>1036</v>
      </c>
      <c r="M75" s="16" t="s">
        <v>394</v>
      </c>
      <c r="N75" s="16" t="s">
        <v>1037</v>
      </c>
      <c r="O75" s="17" t="s">
        <v>92</v>
      </c>
      <c r="P75" s="18" t="s">
        <v>93</v>
      </c>
      <c r="Q75" s="18"/>
      <c r="R75" s="18"/>
    </row>
    <row r="76" customFormat="false" ht="22.35" hidden="false" customHeight="false" outlineLevel="0" collapsed="false">
      <c r="A76" s="16" t="s">
        <v>1038</v>
      </c>
      <c r="B76" s="16" t="s">
        <v>45</v>
      </c>
      <c r="C76" s="16" t="s">
        <v>1031</v>
      </c>
      <c r="D76" s="16" t="s">
        <v>1032</v>
      </c>
      <c r="E76" s="16" t="s">
        <v>1039</v>
      </c>
      <c r="F76" s="16" t="s">
        <v>1034</v>
      </c>
      <c r="G76" s="16" t="s">
        <v>1040</v>
      </c>
      <c r="H76" s="16" t="s">
        <v>56</v>
      </c>
      <c r="I76" s="16" t="s">
        <v>32</v>
      </c>
      <c r="J76" s="16" t="s">
        <v>663</v>
      </c>
      <c r="K76" s="16" t="s">
        <v>330</v>
      </c>
      <c r="L76" s="16" t="s">
        <v>725</v>
      </c>
      <c r="M76" s="16" t="s">
        <v>332</v>
      </c>
      <c r="N76" s="16" t="s">
        <v>1041</v>
      </c>
      <c r="O76" s="17" t="s">
        <v>92</v>
      </c>
      <c r="P76" s="18" t="s">
        <v>93</v>
      </c>
      <c r="Q76" s="18"/>
      <c r="R76" s="18"/>
    </row>
    <row r="77" customFormat="false" ht="22.35" hidden="false" customHeight="false" outlineLevel="0" collapsed="false">
      <c r="A77" s="16" t="s">
        <v>1042</v>
      </c>
      <c r="B77" s="16" t="s">
        <v>45</v>
      </c>
      <c r="C77" s="16" t="s">
        <v>1031</v>
      </c>
      <c r="D77" s="16" t="s">
        <v>1043</v>
      </c>
      <c r="E77" s="16" t="s">
        <v>1044</v>
      </c>
      <c r="F77" s="16" t="s">
        <v>1034</v>
      </c>
      <c r="G77" s="16" t="s">
        <v>1045</v>
      </c>
      <c r="H77" s="16" t="s">
        <v>54</v>
      </c>
      <c r="I77" s="16" t="s">
        <v>32</v>
      </c>
      <c r="J77" s="16" t="s">
        <v>663</v>
      </c>
      <c r="K77" s="16" t="s">
        <v>1046</v>
      </c>
      <c r="L77" s="16" t="s">
        <v>1047</v>
      </c>
      <c r="M77" s="16" t="s">
        <v>332</v>
      </c>
      <c r="N77" s="16" t="s">
        <v>1048</v>
      </c>
      <c r="O77" s="17" t="s">
        <v>92</v>
      </c>
      <c r="P77" s="18" t="s">
        <v>93</v>
      </c>
      <c r="Q77" s="18"/>
      <c r="R77" s="18"/>
    </row>
    <row r="78" customFormat="false" ht="22.35" hidden="false" customHeight="false" outlineLevel="0" collapsed="false">
      <c r="A78" s="16" t="s">
        <v>1049</v>
      </c>
      <c r="B78" s="16" t="s">
        <v>45</v>
      </c>
      <c r="C78" s="16" t="s">
        <v>1031</v>
      </c>
      <c r="D78" s="16" t="s">
        <v>1050</v>
      </c>
      <c r="E78" s="16" t="s">
        <v>1051</v>
      </c>
      <c r="F78" s="16" t="s">
        <v>1034</v>
      </c>
      <c r="G78" s="16" t="s">
        <v>1052</v>
      </c>
      <c r="H78" s="16" t="s">
        <v>54</v>
      </c>
      <c r="I78" s="16" t="s">
        <v>31</v>
      </c>
      <c r="J78" s="16" t="s">
        <v>663</v>
      </c>
      <c r="K78" s="16" t="s">
        <v>365</v>
      </c>
      <c r="L78" s="16" t="s">
        <v>349</v>
      </c>
      <c r="M78" s="16" t="s">
        <v>202</v>
      </c>
      <c r="N78" s="16" t="s">
        <v>1053</v>
      </c>
      <c r="O78" s="17" t="s">
        <v>92</v>
      </c>
      <c r="P78" s="18" t="s">
        <v>93</v>
      </c>
      <c r="Q78" s="18"/>
      <c r="R78" s="18"/>
    </row>
    <row r="79" customFormat="false" ht="22.35" hidden="false" customHeight="false" outlineLevel="0" collapsed="false">
      <c r="A79" s="16" t="s">
        <v>1054</v>
      </c>
      <c r="B79" s="16" t="s">
        <v>45</v>
      </c>
      <c r="C79" s="16" t="s">
        <v>1031</v>
      </c>
      <c r="D79" s="16" t="s">
        <v>1055</v>
      </c>
      <c r="E79" s="16" t="s">
        <v>1056</v>
      </c>
      <c r="F79" s="16" t="s">
        <v>1034</v>
      </c>
      <c r="G79" s="16" t="s">
        <v>1057</v>
      </c>
      <c r="H79" s="16" t="s">
        <v>54</v>
      </c>
      <c r="I79" s="16" t="s">
        <v>31</v>
      </c>
      <c r="J79" s="16" t="s">
        <v>663</v>
      </c>
      <c r="K79" s="16" t="s">
        <v>330</v>
      </c>
      <c r="L79" s="16" t="s">
        <v>481</v>
      </c>
      <c r="M79" s="16" t="s">
        <v>394</v>
      </c>
      <c r="N79" s="16" t="s">
        <v>1058</v>
      </c>
      <c r="O79" s="17" t="s">
        <v>92</v>
      </c>
      <c r="P79" s="18" t="s">
        <v>93</v>
      </c>
      <c r="Q79" s="18"/>
      <c r="R79" s="18"/>
    </row>
    <row r="80" customFormat="false" ht="22.35" hidden="false" customHeight="false" outlineLevel="0" collapsed="false">
      <c r="A80" s="16" t="s">
        <v>1059</v>
      </c>
      <c r="B80" s="16" t="s">
        <v>45</v>
      </c>
      <c r="C80" s="16" t="s">
        <v>1031</v>
      </c>
      <c r="D80" s="16" t="s">
        <v>1060</v>
      </c>
      <c r="E80" s="16" t="s">
        <v>1061</v>
      </c>
      <c r="F80" s="16" t="s">
        <v>1034</v>
      </c>
      <c r="G80" s="16" t="s">
        <v>1062</v>
      </c>
      <c r="H80" s="16" t="s">
        <v>56</v>
      </c>
      <c r="I80" s="16" t="s">
        <v>32</v>
      </c>
      <c r="J80" s="16" t="s">
        <v>990</v>
      </c>
      <c r="K80" s="16" t="s">
        <v>330</v>
      </c>
      <c r="L80" s="16" t="s">
        <v>1036</v>
      </c>
      <c r="M80" s="16" t="s">
        <v>394</v>
      </c>
      <c r="N80" s="16" t="s">
        <v>1063</v>
      </c>
      <c r="O80" s="17" t="s">
        <v>92</v>
      </c>
      <c r="P80" s="18" t="s">
        <v>93</v>
      </c>
      <c r="Q80" s="18"/>
      <c r="R80" s="18"/>
    </row>
    <row r="81" customFormat="false" ht="22.35" hidden="false" customHeight="false" outlineLevel="0" collapsed="false">
      <c r="A81" s="16" t="s">
        <v>1064</v>
      </c>
      <c r="B81" s="16" t="s">
        <v>45</v>
      </c>
      <c r="C81" s="16" t="s">
        <v>1031</v>
      </c>
      <c r="D81" s="16" t="s">
        <v>1065</v>
      </c>
      <c r="E81" s="16" t="s">
        <v>1066</v>
      </c>
      <c r="F81" s="16" t="s">
        <v>1034</v>
      </c>
      <c r="G81" s="16" t="s">
        <v>1067</v>
      </c>
      <c r="H81" s="16" t="s">
        <v>54</v>
      </c>
      <c r="I81" s="16" t="s">
        <v>31</v>
      </c>
      <c r="J81" s="16" t="s">
        <v>663</v>
      </c>
      <c r="K81" s="16" t="s">
        <v>1068</v>
      </c>
      <c r="L81" s="16" t="s">
        <v>89</v>
      </c>
      <c r="M81" s="16" t="s">
        <v>394</v>
      </c>
      <c r="N81" s="16" t="s">
        <v>1069</v>
      </c>
      <c r="O81" s="17" t="s">
        <v>92</v>
      </c>
      <c r="P81" s="18" t="s">
        <v>93</v>
      </c>
      <c r="Q81" s="18"/>
      <c r="R81" s="18"/>
    </row>
    <row r="82" customFormat="false" ht="22.35" hidden="false" customHeight="false" outlineLevel="0" collapsed="false">
      <c r="A82" s="16" t="s">
        <v>1070</v>
      </c>
      <c r="B82" s="16" t="s">
        <v>45</v>
      </c>
      <c r="C82" s="16" t="s">
        <v>1031</v>
      </c>
      <c r="D82" s="16" t="s">
        <v>1065</v>
      </c>
      <c r="E82" s="16" t="s">
        <v>1071</v>
      </c>
      <c r="F82" s="16" t="s">
        <v>1034</v>
      </c>
      <c r="G82" s="16" t="s">
        <v>1072</v>
      </c>
      <c r="H82" s="16" t="s">
        <v>54</v>
      </c>
      <c r="I82" s="16" t="s">
        <v>31</v>
      </c>
      <c r="J82" s="16" t="s">
        <v>663</v>
      </c>
      <c r="K82" s="16" t="s">
        <v>1068</v>
      </c>
      <c r="L82" s="16" t="s">
        <v>1073</v>
      </c>
      <c r="M82" s="16" t="s">
        <v>1074</v>
      </c>
      <c r="N82" s="16" t="s">
        <v>1075</v>
      </c>
      <c r="O82" s="17" t="s">
        <v>92</v>
      </c>
      <c r="P82" s="18" t="s">
        <v>93</v>
      </c>
      <c r="Q82" s="18"/>
      <c r="R82" s="18"/>
    </row>
    <row r="83" customFormat="false" ht="22.35" hidden="false" customHeight="false" outlineLevel="0" collapsed="false">
      <c r="A83" s="16" t="s">
        <v>1076</v>
      </c>
      <c r="B83" s="16" t="s">
        <v>45</v>
      </c>
      <c r="C83" s="16" t="s">
        <v>1031</v>
      </c>
      <c r="D83" s="16" t="s">
        <v>1077</v>
      </c>
      <c r="E83" s="16" t="s">
        <v>1078</v>
      </c>
      <c r="F83" s="16" t="s">
        <v>1034</v>
      </c>
      <c r="G83" s="16" t="s">
        <v>1079</v>
      </c>
      <c r="H83" s="16" t="s">
        <v>54</v>
      </c>
      <c r="I83" s="16" t="s">
        <v>32</v>
      </c>
      <c r="J83" s="16" t="s">
        <v>663</v>
      </c>
      <c r="K83" s="16" t="s">
        <v>354</v>
      </c>
      <c r="L83" s="16" t="s">
        <v>89</v>
      </c>
      <c r="M83" s="16" t="s">
        <v>394</v>
      </c>
      <c r="N83" s="16" t="s">
        <v>1080</v>
      </c>
      <c r="O83" s="17" t="s">
        <v>92</v>
      </c>
      <c r="P83" s="18" t="s">
        <v>93</v>
      </c>
      <c r="Q83" s="18"/>
      <c r="R83" s="18"/>
    </row>
    <row r="84" customFormat="false" ht="22.35" hidden="false" customHeight="false" outlineLevel="0" collapsed="false">
      <c r="A84" s="16" t="s">
        <v>1081</v>
      </c>
      <c r="B84" s="16" t="s">
        <v>45</v>
      </c>
      <c r="C84" s="16" t="s">
        <v>1031</v>
      </c>
      <c r="D84" s="16" t="s">
        <v>1077</v>
      </c>
      <c r="E84" s="16" t="s">
        <v>1082</v>
      </c>
      <c r="F84" s="16" t="s">
        <v>1034</v>
      </c>
      <c r="G84" s="16" t="s">
        <v>1083</v>
      </c>
      <c r="H84" s="16" t="s">
        <v>54</v>
      </c>
      <c r="I84" s="16" t="s">
        <v>33</v>
      </c>
      <c r="J84" s="16" t="s">
        <v>663</v>
      </c>
      <c r="K84" s="16" t="s">
        <v>354</v>
      </c>
      <c r="L84" s="16" t="s">
        <v>89</v>
      </c>
      <c r="M84" s="16" t="s">
        <v>100</v>
      </c>
      <c r="N84" s="16" t="s">
        <v>1084</v>
      </c>
      <c r="O84" s="17" t="s">
        <v>92</v>
      </c>
      <c r="P84" s="18" t="s">
        <v>93</v>
      </c>
      <c r="Q84" s="18"/>
      <c r="R84" s="18"/>
    </row>
    <row r="85" customFormat="false" ht="22.35" hidden="false" customHeight="false" outlineLevel="0" collapsed="false">
      <c r="A85" s="16" t="s">
        <v>1085</v>
      </c>
      <c r="B85" s="16" t="s">
        <v>45</v>
      </c>
      <c r="C85" s="16" t="s">
        <v>1031</v>
      </c>
      <c r="D85" s="16" t="s">
        <v>1077</v>
      </c>
      <c r="E85" s="16" t="s">
        <v>1086</v>
      </c>
      <c r="F85" s="16" t="s">
        <v>1034</v>
      </c>
      <c r="G85" s="16" t="s">
        <v>1087</v>
      </c>
      <c r="H85" s="16" t="s">
        <v>54</v>
      </c>
      <c r="I85" s="16" t="s">
        <v>31</v>
      </c>
      <c r="J85" s="16" t="s">
        <v>663</v>
      </c>
      <c r="K85" s="16" t="s">
        <v>803</v>
      </c>
      <c r="L85" s="16" t="s">
        <v>89</v>
      </c>
      <c r="M85" s="16" t="s">
        <v>100</v>
      </c>
      <c r="N85" s="16" t="s">
        <v>1088</v>
      </c>
      <c r="O85" s="17" t="s">
        <v>92</v>
      </c>
      <c r="P85" s="18" t="s">
        <v>93</v>
      </c>
      <c r="Q85" s="18"/>
      <c r="R85" s="18"/>
    </row>
    <row r="86" customFormat="false" ht="22.35" hidden="false" customHeight="false" outlineLevel="0" collapsed="false">
      <c r="A86" s="16" t="s">
        <v>1089</v>
      </c>
      <c r="B86" s="16" t="s">
        <v>45</v>
      </c>
      <c r="C86" s="16" t="s">
        <v>1031</v>
      </c>
      <c r="D86" s="16" t="s">
        <v>1090</v>
      </c>
      <c r="E86" s="16" t="s">
        <v>1091</v>
      </c>
      <c r="F86" s="16" t="s">
        <v>1034</v>
      </c>
      <c r="G86" s="16" t="s">
        <v>1092</v>
      </c>
      <c r="H86" s="16" t="s">
        <v>54</v>
      </c>
      <c r="I86" s="16" t="s">
        <v>32</v>
      </c>
      <c r="J86" s="16" t="s">
        <v>663</v>
      </c>
      <c r="K86" s="16" t="s">
        <v>354</v>
      </c>
      <c r="L86" s="16" t="s">
        <v>89</v>
      </c>
      <c r="M86" s="16" t="s">
        <v>394</v>
      </c>
      <c r="N86" s="16" t="s">
        <v>1093</v>
      </c>
      <c r="O86" s="17" t="s">
        <v>92</v>
      </c>
      <c r="P86" s="18" t="s">
        <v>93</v>
      </c>
      <c r="Q86" s="18"/>
      <c r="R86" s="18"/>
    </row>
    <row r="87" customFormat="false" ht="22.35" hidden="false" customHeight="false" outlineLevel="0" collapsed="false">
      <c r="A87" s="16" t="s">
        <v>1094</v>
      </c>
      <c r="B87" s="16" t="s">
        <v>45</v>
      </c>
      <c r="C87" s="16" t="s">
        <v>1031</v>
      </c>
      <c r="D87" s="16" t="s">
        <v>1090</v>
      </c>
      <c r="E87" s="16" t="s">
        <v>1095</v>
      </c>
      <c r="F87" s="16" t="s">
        <v>1034</v>
      </c>
      <c r="G87" s="16" t="s">
        <v>1096</v>
      </c>
      <c r="H87" s="16" t="s">
        <v>56</v>
      </c>
      <c r="I87" s="16" t="s">
        <v>32</v>
      </c>
      <c r="J87" s="16" t="s">
        <v>663</v>
      </c>
      <c r="K87" s="16" t="s">
        <v>330</v>
      </c>
      <c r="L87" s="16" t="s">
        <v>89</v>
      </c>
      <c r="M87" s="16" t="s">
        <v>394</v>
      </c>
      <c r="N87" s="16" t="s">
        <v>1097</v>
      </c>
      <c r="O87" s="17" t="s">
        <v>92</v>
      </c>
      <c r="P87" s="18" t="s">
        <v>93</v>
      </c>
      <c r="Q87" s="18"/>
      <c r="R87" s="18"/>
    </row>
    <row r="88" customFormat="false" ht="22.35" hidden="false" customHeight="false" outlineLevel="0" collapsed="false">
      <c r="A88" s="16" t="s">
        <v>1098</v>
      </c>
      <c r="B88" s="16" t="s">
        <v>45</v>
      </c>
      <c r="C88" s="16" t="s">
        <v>1031</v>
      </c>
      <c r="D88" s="16" t="s">
        <v>1090</v>
      </c>
      <c r="E88" s="16" t="s">
        <v>1099</v>
      </c>
      <c r="F88" s="16" t="s">
        <v>1034</v>
      </c>
      <c r="G88" s="16" t="s">
        <v>1100</v>
      </c>
      <c r="H88" s="16" t="s">
        <v>56</v>
      </c>
      <c r="I88" s="16" t="s">
        <v>33</v>
      </c>
      <c r="J88" s="16" t="s">
        <v>663</v>
      </c>
      <c r="K88" s="16" t="s">
        <v>354</v>
      </c>
      <c r="L88" s="16" t="s">
        <v>89</v>
      </c>
      <c r="M88" s="16" t="s">
        <v>100</v>
      </c>
      <c r="N88" s="16" t="s">
        <v>1101</v>
      </c>
      <c r="O88" s="17" t="s">
        <v>92</v>
      </c>
      <c r="P88" s="18" t="s">
        <v>93</v>
      </c>
      <c r="Q88" s="18"/>
      <c r="R88" s="18"/>
    </row>
    <row r="89" customFormat="false" ht="22.35" hidden="false" customHeight="false" outlineLevel="0" collapsed="false">
      <c r="A89" s="16" t="s">
        <v>1102</v>
      </c>
      <c r="B89" s="16" t="s">
        <v>45</v>
      </c>
      <c r="C89" s="16" t="s">
        <v>1031</v>
      </c>
      <c r="D89" s="16" t="s">
        <v>1090</v>
      </c>
      <c r="E89" s="16" t="s">
        <v>1103</v>
      </c>
      <c r="F89" s="16" t="s">
        <v>1034</v>
      </c>
      <c r="G89" s="16" t="s">
        <v>1104</v>
      </c>
      <c r="H89" s="16" t="s">
        <v>54</v>
      </c>
      <c r="I89" s="16" t="s">
        <v>32</v>
      </c>
      <c r="J89" s="16" t="s">
        <v>663</v>
      </c>
      <c r="K89" s="16" t="s">
        <v>330</v>
      </c>
      <c r="L89" s="16" t="s">
        <v>89</v>
      </c>
      <c r="M89" s="16" t="s">
        <v>394</v>
      </c>
      <c r="N89" s="16" t="s">
        <v>942</v>
      </c>
      <c r="O89" s="17" t="s">
        <v>92</v>
      </c>
      <c r="P89" s="18" t="s">
        <v>93</v>
      </c>
      <c r="Q89" s="18"/>
      <c r="R89" s="18"/>
    </row>
    <row r="90" customFormat="false" ht="22.35" hidden="false" customHeight="false" outlineLevel="0" collapsed="false">
      <c r="A90" s="16" t="s">
        <v>1105</v>
      </c>
      <c r="B90" s="16" t="s">
        <v>45</v>
      </c>
      <c r="C90" s="16" t="s">
        <v>1106</v>
      </c>
      <c r="D90" s="16" t="s">
        <v>1107</v>
      </c>
      <c r="E90" s="16" t="s">
        <v>1108</v>
      </c>
      <c r="F90" s="16" t="s">
        <v>1109</v>
      </c>
      <c r="G90" s="16" t="s">
        <v>1110</v>
      </c>
      <c r="H90" s="16" t="s">
        <v>56</v>
      </c>
      <c r="I90" s="16" t="s">
        <v>32</v>
      </c>
      <c r="J90" s="16" t="s">
        <v>663</v>
      </c>
      <c r="K90" s="16" t="s">
        <v>330</v>
      </c>
      <c r="L90" s="16" t="s">
        <v>89</v>
      </c>
      <c r="M90" s="16" t="s">
        <v>100</v>
      </c>
      <c r="N90" s="16" t="s">
        <v>1111</v>
      </c>
      <c r="O90" s="17" t="s">
        <v>92</v>
      </c>
      <c r="P90" s="18" t="s">
        <v>93</v>
      </c>
      <c r="Q90" s="18"/>
      <c r="R90" s="18"/>
    </row>
    <row r="91" customFormat="false" ht="22.35" hidden="false" customHeight="false" outlineLevel="0" collapsed="false">
      <c r="A91" s="16" t="s">
        <v>1112</v>
      </c>
      <c r="B91" s="16" t="s">
        <v>45</v>
      </c>
      <c r="C91" s="16" t="s">
        <v>1106</v>
      </c>
      <c r="D91" s="16" t="s">
        <v>1107</v>
      </c>
      <c r="E91" s="16" t="s">
        <v>1113</v>
      </c>
      <c r="F91" s="16" t="s">
        <v>1109</v>
      </c>
      <c r="G91" s="16" t="s">
        <v>1114</v>
      </c>
      <c r="H91" s="16" t="s">
        <v>56</v>
      </c>
      <c r="I91" s="16" t="s">
        <v>33</v>
      </c>
      <c r="J91" s="16" t="s">
        <v>663</v>
      </c>
      <c r="K91" s="16" t="s">
        <v>354</v>
      </c>
      <c r="L91" s="16" t="s">
        <v>89</v>
      </c>
      <c r="M91" s="16" t="s">
        <v>313</v>
      </c>
      <c r="N91" s="16" t="s">
        <v>1115</v>
      </c>
      <c r="O91" s="17" t="s">
        <v>92</v>
      </c>
      <c r="P91" s="18" t="s">
        <v>93</v>
      </c>
      <c r="Q91" s="18"/>
      <c r="R91" s="18"/>
    </row>
    <row r="92" customFormat="false" ht="22.35" hidden="false" customHeight="false" outlineLevel="0" collapsed="false">
      <c r="A92" s="16" t="s">
        <v>1116</v>
      </c>
      <c r="B92" s="16" t="s">
        <v>45</v>
      </c>
      <c r="C92" s="16" t="s">
        <v>1106</v>
      </c>
      <c r="D92" s="16" t="s">
        <v>1107</v>
      </c>
      <c r="E92" s="16" t="s">
        <v>1117</v>
      </c>
      <c r="F92" s="16" t="s">
        <v>1109</v>
      </c>
      <c r="G92" s="16" t="s">
        <v>1118</v>
      </c>
      <c r="H92" s="16" t="s">
        <v>54</v>
      </c>
      <c r="I92" s="16" t="s">
        <v>32</v>
      </c>
      <c r="J92" s="16" t="s">
        <v>663</v>
      </c>
      <c r="K92" s="16" t="s">
        <v>354</v>
      </c>
      <c r="L92" s="16" t="s">
        <v>1119</v>
      </c>
      <c r="M92" s="16" t="s">
        <v>1074</v>
      </c>
      <c r="N92" s="16" t="s">
        <v>1120</v>
      </c>
      <c r="O92" s="17" t="s">
        <v>92</v>
      </c>
      <c r="P92" s="18" t="s">
        <v>93</v>
      </c>
      <c r="Q92" s="18"/>
      <c r="R92" s="18"/>
    </row>
    <row r="93" customFormat="false" ht="22.35" hidden="false" customHeight="false" outlineLevel="0" collapsed="false">
      <c r="A93" s="16" t="s">
        <v>1121</v>
      </c>
      <c r="B93" s="16" t="s">
        <v>45</v>
      </c>
      <c r="C93" s="16" t="s">
        <v>1106</v>
      </c>
      <c r="D93" s="16" t="s">
        <v>1107</v>
      </c>
      <c r="E93" s="16" t="s">
        <v>1122</v>
      </c>
      <c r="F93" s="16" t="s">
        <v>1109</v>
      </c>
      <c r="G93" s="16" t="s">
        <v>1123</v>
      </c>
      <c r="H93" s="16" t="s">
        <v>56</v>
      </c>
      <c r="I93" s="16" t="s">
        <v>33</v>
      </c>
      <c r="J93" s="16" t="s">
        <v>663</v>
      </c>
      <c r="K93" s="16" t="s">
        <v>354</v>
      </c>
      <c r="L93" s="16" t="s">
        <v>89</v>
      </c>
      <c r="M93" s="16" t="s">
        <v>313</v>
      </c>
      <c r="N93" s="16" t="s">
        <v>1115</v>
      </c>
      <c r="O93" s="17" t="s">
        <v>92</v>
      </c>
      <c r="P93" s="18" t="s">
        <v>93</v>
      </c>
      <c r="Q93" s="18"/>
      <c r="R93" s="18"/>
    </row>
    <row r="94" customFormat="false" ht="22.35" hidden="false" customHeight="false" outlineLevel="0" collapsed="false">
      <c r="A94" s="16" t="s">
        <v>1124</v>
      </c>
      <c r="B94" s="16" t="s">
        <v>45</v>
      </c>
      <c r="C94" s="16" t="s">
        <v>1125</v>
      </c>
      <c r="D94" s="16" t="s">
        <v>1126</v>
      </c>
      <c r="E94" s="16" t="s">
        <v>1127</v>
      </c>
      <c r="F94" s="16" t="s">
        <v>1128</v>
      </c>
      <c r="G94" s="16" t="s">
        <v>1129</v>
      </c>
      <c r="H94" s="16" t="s">
        <v>57</v>
      </c>
      <c r="I94" s="16" t="s">
        <v>32</v>
      </c>
      <c r="J94" s="16" t="s">
        <v>663</v>
      </c>
      <c r="K94" s="16" t="s">
        <v>803</v>
      </c>
      <c r="L94" s="16" t="s">
        <v>89</v>
      </c>
      <c r="M94" s="16" t="s">
        <v>1074</v>
      </c>
      <c r="N94" s="16" t="s">
        <v>1130</v>
      </c>
      <c r="O94" s="17" t="s">
        <v>92</v>
      </c>
      <c r="P94" s="18" t="s">
        <v>93</v>
      </c>
      <c r="Q94" s="18"/>
      <c r="R94" s="18"/>
    </row>
    <row r="95" customFormat="false" ht="15" hidden="false" customHeight="false" outlineLevel="0" collapsed="false">
      <c r="A95" s="16" t="s">
        <v>1131</v>
      </c>
      <c r="B95" s="16" t="s">
        <v>45</v>
      </c>
      <c r="C95" s="16" t="s">
        <v>1125</v>
      </c>
      <c r="D95" s="16" t="s">
        <v>1126</v>
      </c>
      <c r="E95" s="16" t="s">
        <v>1132</v>
      </c>
      <c r="F95" s="16" t="s">
        <v>1128</v>
      </c>
      <c r="G95" s="16" t="s">
        <v>1133</v>
      </c>
      <c r="H95" s="16" t="s">
        <v>56</v>
      </c>
      <c r="I95" s="16" t="s">
        <v>33</v>
      </c>
      <c r="J95" s="16" t="s">
        <v>990</v>
      </c>
      <c r="K95" s="16" t="s">
        <v>803</v>
      </c>
      <c r="L95" s="16" t="s">
        <v>388</v>
      </c>
      <c r="M95" s="16" t="s">
        <v>1074</v>
      </c>
      <c r="N95" s="16" t="s">
        <v>1134</v>
      </c>
      <c r="O95" s="17" t="s">
        <v>92</v>
      </c>
      <c r="P95" s="18" t="s">
        <v>93</v>
      </c>
      <c r="Q95" s="18"/>
      <c r="R95" s="18"/>
    </row>
    <row r="96" customFormat="false" ht="22.35" hidden="false" customHeight="false" outlineLevel="0" collapsed="false">
      <c r="A96" s="16" t="s">
        <v>1135</v>
      </c>
      <c r="B96" s="16" t="s">
        <v>45</v>
      </c>
      <c r="C96" s="16" t="s">
        <v>1125</v>
      </c>
      <c r="D96" s="16" t="s">
        <v>1126</v>
      </c>
      <c r="E96" s="16" t="s">
        <v>1136</v>
      </c>
      <c r="F96" s="16" t="s">
        <v>1128</v>
      </c>
      <c r="G96" s="16" t="s">
        <v>1137</v>
      </c>
      <c r="H96" s="16" t="s">
        <v>54</v>
      </c>
      <c r="I96" s="16" t="s">
        <v>32</v>
      </c>
      <c r="J96" s="16" t="s">
        <v>663</v>
      </c>
      <c r="K96" s="16" t="s">
        <v>343</v>
      </c>
      <c r="L96" s="16" t="s">
        <v>1138</v>
      </c>
      <c r="M96" s="16" t="s">
        <v>1074</v>
      </c>
      <c r="N96" s="16" t="s">
        <v>1139</v>
      </c>
      <c r="O96" s="17" t="s">
        <v>92</v>
      </c>
      <c r="P96" s="18" t="s">
        <v>93</v>
      </c>
      <c r="Q96" s="18"/>
      <c r="R96" s="18"/>
    </row>
    <row r="97" customFormat="false" ht="22.35" hidden="false" customHeight="false" outlineLevel="0" collapsed="false">
      <c r="A97" s="16" t="s">
        <v>1140</v>
      </c>
      <c r="B97" s="16" t="s">
        <v>45</v>
      </c>
      <c r="C97" s="16" t="s">
        <v>1125</v>
      </c>
      <c r="D97" s="16" t="s">
        <v>1126</v>
      </c>
      <c r="E97" s="16" t="s">
        <v>1141</v>
      </c>
      <c r="F97" s="16" t="s">
        <v>1128</v>
      </c>
      <c r="G97" s="16" t="s">
        <v>1142</v>
      </c>
      <c r="H97" s="16" t="s">
        <v>54</v>
      </c>
      <c r="I97" s="16" t="s">
        <v>32</v>
      </c>
      <c r="J97" s="16" t="s">
        <v>663</v>
      </c>
      <c r="K97" s="16" t="s">
        <v>354</v>
      </c>
      <c r="L97" s="16" t="s">
        <v>1119</v>
      </c>
      <c r="M97" s="16" t="s">
        <v>1074</v>
      </c>
      <c r="N97" s="16" t="s">
        <v>1120</v>
      </c>
      <c r="O97" s="17" t="s">
        <v>92</v>
      </c>
      <c r="P97" s="18" t="s">
        <v>93</v>
      </c>
      <c r="Q97" s="18"/>
      <c r="R97" s="18"/>
    </row>
  </sheetData>
  <autoFilter ref="A1:R97"/>
  <conditionalFormatting sqref="I2:I97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dataValidations count="2">
    <dataValidation allowBlank="true" errorStyle="stop" operator="between" showDropDown="false" showErrorMessage="false" showInputMessage="false" sqref="P2:P97" type="list">
      <formula1>"Not started,In progress,Implemented,Partially implemented,Not applicable,Risk accepted"</formula1>
      <formula2>0</formula2>
    </dataValidation>
    <dataValidation allowBlank="false" errorStyle="stop" operator="between" showDropDown="false" showErrorMessage="false" showInputMessage="false" sqref="I2:I97" type="list">
      <formula1>"Critical,High,Medium,Low"</formula1>
      <formula2>0</formula2>
    </dataValidation>
  </dataValidations>
  <hyperlinks>
    <hyperlink ref="O2" r:id="rId1" display="Open spec"/>
    <hyperlink ref="O3" r:id="rId2" display="Open spec"/>
    <hyperlink ref="O4" r:id="rId3" display="Open spec"/>
    <hyperlink ref="O5" r:id="rId4" display="Open spec"/>
    <hyperlink ref="O6" r:id="rId5" display="Open spec"/>
    <hyperlink ref="O7" r:id="rId6" display="Open spec"/>
    <hyperlink ref="O8" r:id="rId7" display="Open spec"/>
    <hyperlink ref="O9" r:id="rId8" display="Open spec"/>
    <hyperlink ref="O10" r:id="rId9" display="Open spec"/>
    <hyperlink ref="O11" r:id="rId10" display="Open spec"/>
    <hyperlink ref="O12" r:id="rId11" display="Open spec"/>
    <hyperlink ref="O13" r:id="rId12" display="Open spec"/>
    <hyperlink ref="O14" r:id="rId13" display="Open spec"/>
    <hyperlink ref="O15" r:id="rId14" display="Open spec"/>
    <hyperlink ref="O16" r:id="rId15" display="Open spec"/>
    <hyperlink ref="O17" r:id="rId16" display="Open spec"/>
    <hyperlink ref="O18" r:id="rId17" display="Open spec"/>
    <hyperlink ref="O19" r:id="rId18" display="Open spec"/>
    <hyperlink ref="O20" r:id="rId19" display="Open spec"/>
    <hyperlink ref="O21" r:id="rId20" display="Open spec"/>
    <hyperlink ref="O22" r:id="rId21" display="Open spec"/>
    <hyperlink ref="O23" r:id="rId22" display="Open spec"/>
    <hyperlink ref="O24" r:id="rId23" display="Open spec"/>
    <hyperlink ref="O25" r:id="rId24" display="Open spec"/>
    <hyperlink ref="O26" r:id="rId25" display="Open spec"/>
    <hyperlink ref="O27" r:id="rId26" display="Open spec"/>
    <hyperlink ref="O28" r:id="rId27" display="Open spec"/>
    <hyperlink ref="O29" r:id="rId28" display="Open spec"/>
    <hyperlink ref="O30" r:id="rId29" display="Open spec"/>
    <hyperlink ref="O31" r:id="rId30" display="Open spec"/>
    <hyperlink ref="O32" r:id="rId31" display="Open spec"/>
    <hyperlink ref="O33" r:id="rId32" display="Open spec"/>
    <hyperlink ref="O34" r:id="rId33" display="Open spec"/>
    <hyperlink ref="O35" r:id="rId34" display="Open spec"/>
    <hyperlink ref="O36" r:id="rId35" display="Open spec"/>
    <hyperlink ref="O37" r:id="rId36" display="Open spec"/>
    <hyperlink ref="O38" r:id="rId37" display="Open spec"/>
    <hyperlink ref="O39" r:id="rId38" display="Open spec"/>
    <hyperlink ref="O40" r:id="rId39" display="Open spec"/>
    <hyperlink ref="O41" r:id="rId40" display="Open spec"/>
    <hyperlink ref="O42" r:id="rId41" display="Open spec"/>
    <hyperlink ref="O43" r:id="rId42" display="Open spec"/>
    <hyperlink ref="O44" r:id="rId43" display="Open spec"/>
    <hyperlink ref="O45" r:id="rId44" display="Open spec"/>
    <hyperlink ref="O46" r:id="rId45" display="Open spec"/>
    <hyperlink ref="O47" r:id="rId46" display="Open spec"/>
    <hyperlink ref="O48" r:id="rId47" display="Open spec"/>
    <hyperlink ref="O49" r:id="rId48" display="Open spec"/>
    <hyperlink ref="O50" r:id="rId49" display="Open spec"/>
    <hyperlink ref="O51" r:id="rId50" display="Open spec"/>
    <hyperlink ref="O52" r:id="rId51" display="Open spec"/>
    <hyperlink ref="O53" r:id="rId52" display="Open spec"/>
    <hyperlink ref="O54" r:id="rId53" display="Open spec"/>
    <hyperlink ref="O55" r:id="rId54" display="Open spec"/>
    <hyperlink ref="O56" r:id="rId55" display="Open spec"/>
    <hyperlink ref="O57" r:id="rId56" display="Open spec"/>
    <hyperlink ref="O58" r:id="rId57" display="Open spec"/>
    <hyperlink ref="O59" r:id="rId58" display="Open spec"/>
    <hyperlink ref="O60" r:id="rId59" display="Open spec"/>
    <hyperlink ref="O61" r:id="rId60" display="Open spec"/>
    <hyperlink ref="O62" r:id="rId61" display="Open spec"/>
    <hyperlink ref="O63" r:id="rId62" display="Open spec"/>
    <hyperlink ref="O64" r:id="rId63" display="Open spec"/>
    <hyperlink ref="O65" r:id="rId64" display="Open spec"/>
    <hyperlink ref="O66" r:id="rId65" display="Open spec"/>
    <hyperlink ref="O67" r:id="rId66" display="Open spec"/>
    <hyperlink ref="O68" r:id="rId67" display="Open spec"/>
    <hyperlink ref="O69" r:id="rId68" display="Open spec"/>
    <hyperlink ref="O70" r:id="rId69" display="Open spec"/>
    <hyperlink ref="O71" r:id="rId70" display="Open spec"/>
    <hyperlink ref="O72" r:id="rId71" display="Open spec"/>
    <hyperlink ref="O73" r:id="rId72" display="Open spec"/>
    <hyperlink ref="O74" r:id="rId73" display="Open spec"/>
    <hyperlink ref="O75" r:id="rId74" display="Open spec"/>
    <hyperlink ref="O76" r:id="rId75" display="Open spec"/>
    <hyperlink ref="O77" r:id="rId76" display="Open spec"/>
    <hyperlink ref="O78" r:id="rId77" display="Open spec"/>
    <hyperlink ref="O79" r:id="rId78" display="Open spec"/>
    <hyperlink ref="O80" r:id="rId79" display="Open spec"/>
    <hyperlink ref="O81" r:id="rId80" display="Open spec"/>
    <hyperlink ref="O82" r:id="rId81" display="Open spec"/>
    <hyperlink ref="O83" r:id="rId82" display="Open spec"/>
    <hyperlink ref="O84" r:id="rId83" display="Open spec"/>
    <hyperlink ref="O85" r:id="rId84" display="Open spec"/>
    <hyperlink ref="O86" r:id="rId85" display="Open spec"/>
    <hyperlink ref="O87" r:id="rId86" display="Open spec"/>
    <hyperlink ref="O88" r:id="rId87" display="Open spec"/>
    <hyperlink ref="O89" r:id="rId88" display="Open spec"/>
    <hyperlink ref="O90" r:id="rId89" display="Open spec"/>
    <hyperlink ref="O91" r:id="rId90" display="Open spec"/>
    <hyperlink ref="O92" r:id="rId91" display="Open spec"/>
    <hyperlink ref="O93" r:id="rId92" display="Open spec"/>
    <hyperlink ref="O94" r:id="rId93" display="Open spec"/>
    <hyperlink ref="O95" r:id="rId94" display="Open spec"/>
    <hyperlink ref="O96" r:id="rId95" display="Open spec"/>
    <hyperlink ref="O97" r:id="rId96" display="Open sp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7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4" min="14" style="0" width="44"/>
    <col collapsed="false" customWidth="true" hidden="fals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24"/>
  </cols>
  <sheetData>
    <row r="1" customFormat="false" ht="31.5" hidden="false" customHeight="true" outlineLevel="0" collapsed="false">
      <c r="A1" s="8" t="s">
        <v>64</v>
      </c>
      <c r="B1" s="8" t="s">
        <v>28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</row>
    <row r="2" customFormat="false" ht="22.35" hidden="false" customHeight="false" outlineLevel="0" collapsed="false">
      <c r="A2" s="16" t="s">
        <v>1143</v>
      </c>
      <c r="B2" s="16" t="s">
        <v>47</v>
      </c>
      <c r="C2" s="16" t="s">
        <v>1144</v>
      </c>
      <c r="D2" s="16" t="s">
        <v>1145</v>
      </c>
      <c r="E2" s="16" t="s">
        <v>1146</v>
      </c>
      <c r="F2" s="16" t="s">
        <v>1147</v>
      </c>
      <c r="G2" s="16" t="s">
        <v>1148</v>
      </c>
      <c r="H2" s="16" t="s">
        <v>56</v>
      </c>
      <c r="I2" s="16" t="s">
        <v>34</v>
      </c>
      <c r="J2" s="16" t="s">
        <v>1149</v>
      </c>
      <c r="K2" s="16" t="s">
        <v>577</v>
      </c>
      <c r="L2" s="16" t="s">
        <v>593</v>
      </c>
      <c r="M2" s="16" t="s">
        <v>100</v>
      </c>
      <c r="N2" s="16" t="s">
        <v>1150</v>
      </c>
      <c r="O2" s="17" t="s">
        <v>92</v>
      </c>
      <c r="P2" s="18" t="s">
        <v>93</v>
      </c>
      <c r="Q2" s="18"/>
      <c r="R2" s="18"/>
    </row>
    <row r="3" customFormat="false" ht="22.35" hidden="false" customHeight="false" outlineLevel="0" collapsed="false">
      <c r="A3" s="16" t="s">
        <v>1151</v>
      </c>
      <c r="B3" s="16" t="s">
        <v>47</v>
      </c>
      <c r="C3" s="16" t="s">
        <v>1144</v>
      </c>
      <c r="D3" s="16" t="s">
        <v>1145</v>
      </c>
      <c r="E3" s="16" t="s">
        <v>1152</v>
      </c>
      <c r="F3" s="16" t="s">
        <v>1147</v>
      </c>
      <c r="G3" s="16" t="s">
        <v>1153</v>
      </c>
      <c r="H3" s="16" t="s">
        <v>56</v>
      </c>
      <c r="I3" s="16" t="s">
        <v>34</v>
      </c>
      <c r="J3" s="16" t="s">
        <v>1149</v>
      </c>
      <c r="K3" s="16" t="s">
        <v>577</v>
      </c>
      <c r="L3" s="16" t="s">
        <v>593</v>
      </c>
      <c r="M3" s="16" t="s">
        <v>100</v>
      </c>
      <c r="N3" s="16" t="s">
        <v>1154</v>
      </c>
      <c r="O3" s="17" t="s">
        <v>92</v>
      </c>
      <c r="P3" s="18" t="s">
        <v>93</v>
      </c>
      <c r="Q3" s="18"/>
      <c r="R3" s="18"/>
    </row>
    <row r="4" customFormat="false" ht="22.35" hidden="false" customHeight="false" outlineLevel="0" collapsed="false">
      <c r="A4" s="16" t="s">
        <v>1155</v>
      </c>
      <c r="B4" s="16" t="s">
        <v>47</v>
      </c>
      <c r="C4" s="16" t="s">
        <v>1144</v>
      </c>
      <c r="D4" s="16" t="s">
        <v>1156</v>
      </c>
      <c r="E4" s="16" t="s">
        <v>1157</v>
      </c>
      <c r="F4" s="16" t="s">
        <v>1147</v>
      </c>
      <c r="G4" s="16" t="s">
        <v>1158</v>
      </c>
      <c r="H4" s="16" t="s">
        <v>56</v>
      </c>
      <c r="I4" s="16" t="s">
        <v>34</v>
      </c>
      <c r="J4" s="16" t="s">
        <v>1149</v>
      </c>
      <c r="K4" s="16" t="s">
        <v>577</v>
      </c>
      <c r="L4" s="16" t="s">
        <v>593</v>
      </c>
      <c r="M4" s="16" t="s">
        <v>100</v>
      </c>
      <c r="N4" s="16" t="s">
        <v>1159</v>
      </c>
      <c r="O4" s="17" t="s">
        <v>92</v>
      </c>
      <c r="P4" s="18" t="s">
        <v>93</v>
      </c>
      <c r="Q4" s="18"/>
      <c r="R4" s="18"/>
    </row>
    <row r="5" customFormat="false" ht="22.35" hidden="false" customHeight="false" outlineLevel="0" collapsed="false">
      <c r="A5" s="16" t="s">
        <v>1160</v>
      </c>
      <c r="B5" s="16" t="s">
        <v>47</v>
      </c>
      <c r="C5" s="16" t="s">
        <v>1144</v>
      </c>
      <c r="D5" s="16" t="s">
        <v>1156</v>
      </c>
      <c r="E5" s="16" t="s">
        <v>1161</v>
      </c>
      <c r="F5" s="16" t="s">
        <v>1147</v>
      </c>
      <c r="G5" s="16" t="s">
        <v>1162</v>
      </c>
      <c r="H5" s="16" t="s">
        <v>54</v>
      </c>
      <c r="I5" s="16" t="s">
        <v>33</v>
      </c>
      <c r="J5" s="16" t="s">
        <v>1149</v>
      </c>
      <c r="K5" s="16" t="s">
        <v>577</v>
      </c>
      <c r="L5" s="16" t="s">
        <v>593</v>
      </c>
      <c r="M5" s="16" t="s">
        <v>100</v>
      </c>
      <c r="N5" s="16" t="s">
        <v>1163</v>
      </c>
      <c r="O5" s="17" t="s">
        <v>92</v>
      </c>
      <c r="P5" s="18" t="s">
        <v>93</v>
      </c>
      <c r="Q5" s="18"/>
      <c r="R5" s="18"/>
    </row>
    <row r="6" customFormat="false" ht="22.35" hidden="false" customHeight="false" outlineLevel="0" collapsed="false">
      <c r="A6" s="16" t="s">
        <v>1164</v>
      </c>
      <c r="B6" s="16" t="s">
        <v>47</v>
      </c>
      <c r="C6" s="16" t="s">
        <v>1144</v>
      </c>
      <c r="D6" s="16" t="s">
        <v>1165</v>
      </c>
      <c r="E6" s="16" t="s">
        <v>1166</v>
      </c>
      <c r="F6" s="16" t="s">
        <v>1147</v>
      </c>
      <c r="G6" s="16" t="s">
        <v>1167</v>
      </c>
      <c r="H6" s="16" t="s">
        <v>56</v>
      </c>
      <c r="I6" s="16" t="s">
        <v>33</v>
      </c>
      <c r="J6" s="16" t="s">
        <v>1149</v>
      </c>
      <c r="K6" s="16" t="s">
        <v>577</v>
      </c>
      <c r="L6" s="16" t="s">
        <v>741</v>
      </c>
      <c r="M6" s="16" t="s">
        <v>100</v>
      </c>
      <c r="N6" s="16" t="s">
        <v>808</v>
      </c>
      <c r="O6" s="17" t="s">
        <v>92</v>
      </c>
      <c r="P6" s="18" t="s">
        <v>93</v>
      </c>
      <c r="Q6" s="18"/>
      <c r="R6" s="18"/>
    </row>
    <row r="7" customFormat="false" ht="22.35" hidden="false" customHeight="false" outlineLevel="0" collapsed="false">
      <c r="A7" s="16" t="s">
        <v>1168</v>
      </c>
      <c r="B7" s="16" t="s">
        <v>47</v>
      </c>
      <c r="C7" s="16" t="s">
        <v>1144</v>
      </c>
      <c r="D7" s="16" t="s">
        <v>1165</v>
      </c>
      <c r="E7" s="16" t="s">
        <v>1169</v>
      </c>
      <c r="F7" s="16" t="s">
        <v>1147</v>
      </c>
      <c r="G7" s="16" t="s">
        <v>1170</v>
      </c>
      <c r="H7" s="16" t="s">
        <v>56</v>
      </c>
      <c r="I7" s="16" t="s">
        <v>34</v>
      </c>
      <c r="J7" s="16" t="s">
        <v>1149</v>
      </c>
      <c r="K7" s="16" t="s">
        <v>577</v>
      </c>
      <c r="L7" s="16" t="s">
        <v>593</v>
      </c>
      <c r="M7" s="16" t="s">
        <v>100</v>
      </c>
      <c r="N7" s="16" t="s">
        <v>1171</v>
      </c>
      <c r="O7" s="17" t="s">
        <v>92</v>
      </c>
      <c r="P7" s="18" t="s">
        <v>93</v>
      </c>
      <c r="Q7" s="18"/>
      <c r="R7" s="18"/>
    </row>
    <row r="8" customFormat="false" ht="22.35" hidden="false" customHeight="false" outlineLevel="0" collapsed="false">
      <c r="A8" s="16" t="s">
        <v>1172</v>
      </c>
      <c r="B8" s="16" t="s">
        <v>47</v>
      </c>
      <c r="C8" s="16" t="s">
        <v>1144</v>
      </c>
      <c r="D8" s="16" t="s">
        <v>1165</v>
      </c>
      <c r="E8" s="16" t="s">
        <v>1173</v>
      </c>
      <c r="F8" s="16" t="s">
        <v>1147</v>
      </c>
      <c r="G8" s="16" t="s">
        <v>1174</v>
      </c>
      <c r="H8" s="16" t="s">
        <v>60</v>
      </c>
      <c r="I8" s="16" t="s">
        <v>33</v>
      </c>
      <c r="J8" s="16" t="s">
        <v>1149</v>
      </c>
      <c r="K8" s="16" t="s">
        <v>426</v>
      </c>
      <c r="L8" s="16" t="s">
        <v>741</v>
      </c>
      <c r="M8" s="16" t="s">
        <v>100</v>
      </c>
      <c r="N8" s="16" t="s">
        <v>1175</v>
      </c>
      <c r="O8" s="17" t="s">
        <v>92</v>
      </c>
      <c r="P8" s="18" t="s">
        <v>93</v>
      </c>
      <c r="Q8" s="18"/>
      <c r="R8" s="18"/>
    </row>
    <row r="9" customFormat="false" ht="22.35" hidden="false" customHeight="false" outlineLevel="0" collapsed="false">
      <c r="A9" s="16" t="s">
        <v>1176</v>
      </c>
      <c r="B9" s="16" t="s">
        <v>47</v>
      </c>
      <c r="C9" s="16" t="s">
        <v>1144</v>
      </c>
      <c r="D9" s="16" t="s">
        <v>1165</v>
      </c>
      <c r="E9" s="16" t="s">
        <v>1177</v>
      </c>
      <c r="F9" s="16" t="s">
        <v>1147</v>
      </c>
      <c r="G9" s="16" t="s">
        <v>1178</v>
      </c>
      <c r="H9" s="16" t="s">
        <v>56</v>
      </c>
      <c r="I9" s="16" t="s">
        <v>33</v>
      </c>
      <c r="J9" s="16" t="s">
        <v>1149</v>
      </c>
      <c r="K9" s="16" t="s">
        <v>558</v>
      </c>
      <c r="L9" s="16" t="s">
        <v>593</v>
      </c>
      <c r="M9" s="16" t="s">
        <v>100</v>
      </c>
      <c r="N9" s="16" t="s">
        <v>869</v>
      </c>
      <c r="O9" s="17" t="s">
        <v>92</v>
      </c>
      <c r="P9" s="18" t="s">
        <v>93</v>
      </c>
      <c r="Q9" s="18"/>
      <c r="R9" s="18"/>
    </row>
    <row r="10" customFormat="false" ht="22.35" hidden="false" customHeight="false" outlineLevel="0" collapsed="false">
      <c r="A10" s="16" t="s">
        <v>1179</v>
      </c>
      <c r="B10" s="16" t="s">
        <v>47</v>
      </c>
      <c r="C10" s="16" t="s">
        <v>1144</v>
      </c>
      <c r="D10" s="16" t="s">
        <v>1180</v>
      </c>
      <c r="E10" s="16" t="s">
        <v>1181</v>
      </c>
      <c r="F10" s="16" t="s">
        <v>1147</v>
      </c>
      <c r="G10" s="16" t="s">
        <v>1182</v>
      </c>
      <c r="H10" s="16" t="s">
        <v>56</v>
      </c>
      <c r="I10" s="16" t="s">
        <v>33</v>
      </c>
      <c r="J10" s="16" t="s">
        <v>1149</v>
      </c>
      <c r="K10" s="16" t="s">
        <v>577</v>
      </c>
      <c r="L10" s="16" t="s">
        <v>593</v>
      </c>
      <c r="M10" s="16" t="s">
        <v>100</v>
      </c>
      <c r="N10" s="16" t="s">
        <v>627</v>
      </c>
      <c r="O10" s="17" t="s">
        <v>92</v>
      </c>
      <c r="P10" s="18" t="s">
        <v>93</v>
      </c>
      <c r="Q10" s="18"/>
      <c r="R10" s="18"/>
    </row>
    <row r="11" customFormat="false" ht="22.35" hidden="false" customHeight="false" outlineLevel="0" collapsed="false">
      <c r="A11" s="16" t="s">
        <v>1183</v>
      </c>
      <c r="B11" s="16" t="s">
        <v>47</v>
      </c>
      <c r="C11" s="16" t="s">
        <v>1144</v>
      </c>
      <c r="D11" s="16" t="s">
        <v>1184</v>
      </c>
      <c r="E11" s="16" t="s">
        <v>1185</v>
      </c>
      <c r="F11" s="16" t="s">
        <v>1147</v>
      </c>
      <c r="G11" s="16" t="s">
        <v>1186</v>
      </c>
      <c r="H11" s="16" t="s">
        <v>54</v>
      </c>
      <c r="I11" s="16" t="s">
        <v>32</v>
      </c>
      <c r="J11" s="16" t="s">
        <v>1149</v>
      </c>
      <c r="K11" s="16" t="s">
        <v>1187</v>
      </c>
      <c r="L11" s="16" t="s">
        <v>122</v>
      </c>
      <c r="M11" s="16" t="s">
        <v>100</v>
      </c>
      <c r="N11" s="16" t="s">
        <v>1188</v>
      </c>
      <c r="O11" s="17" t="s">
        <v>92</v>
      </c>
      <c r="P11" s="18" t="s">
        <v>93</v>
      </c>
      <c r="Q11" s="18"/>
      <c r="R11" s="18"/>
    </row>
    <row r="12" customFormat="false" ht="22.35" hidden="false" customHeight="false" outlineLevel="0" collapsed="false">
      <c r="A12" s="16" t="s">
        <v>1189</v>
      </c>
      <c r="B12" s="16" t="s">
        <v>47</v>
      </c>
      <c r="C12" s="16" t="s">
        <v>1144</v>
      </c>
      <c r="D12" s="16" t="s">
        <v>1184</v>
      </c>
      <c r="E12" s="16" t="s">
        <v>1190</v>
      </c>
      <c r="F12" s="16" t="s">
        <v>1147</v>
      </c>
      <c r="G12" s="16" t="s">
        <v>1191</v>
      </c>
      <c r="H12" s="16" t="s">
        <v>56</v>
      </c>
      <c r="I12" s="16" t="s">
        <v>33</v>
      </c>
      <c r="J12" s="16" t="s">
        <v>1149</v>
      </c>
      <c r="K12" s="16" t="s">
        <v>558</v>
      </c>
      <c r="L12" s="16" t="s">
        <v>1192</v>
      </c>
      <c r="M12" s="16" t="s">
        <v>100</v>
      </c>
      <c r="N12" s="16" t="s">
        <v>1193</v>
      </c>
      <c r="O12" s="17" t="s">
        <v>92</v>
      </c>
      <c r="P12" s="18" t="s">
        <v>93</v>
      </c>
      <c r="Q12" s="18"/>
      <c r="R12" s="18"/>
    </row>
    <row r="13" customFormat="false" ht="22.35" hidden="false" customHeight="false" outlineLevel="0" collapsed="false">
      <c r="A13" s="16" t="s">
        <v>1194</v>
      </c>
      <c r="B13" s="16" t="s">
        <v>47</v>
      </c>
      <c r="C13" s="16" t="s">
        <v>1144</v>
      </c>
      <c r="D13" s="16" t="s">
        <v>1184</v>
      </c>
      <c r="E13" s="16" t="s">
        <v>1195</v>
      </c>
      <c r="F13" s="16" t="s">
        <v>1147</v>
      </c>
      <c r="G13" s="16" t="s">
        <v>1196</v>
      </c>
      <c r="H13" s="16" t="s">
        <v>54</v>
      </c>
      <c r="I13" s="16" t="s">
        <v>31</v>
      </c>
      <c r="J13" s="16" t="s">
        <v>1149</v>
      </c>
      <c r="K13" s="16" t="s">
        <v>207</v>
      </c>
      <c r="L13" s="16" t="s">
        <v>741</v>
      </c>
      <c r="M13" s="16" t="s">
        <v>100</v>
      </c>
      <c r="N13" s="16" t="s">
        <v>1197</v>
      </c>
      <c r="O13" s="17" t="s">
        <v>92</v>
      </c>
      <c r="P13" s="18" t="s">
        <v>93</v>
      </c>
      <c r="Q13" s="18"/>
      <c r="R13" s="18"/>
    </row>
    <row r="14" customFormat="false" ht="22.35" hidden="false" customHeight="false" outlineLevel="0" collapsed="false">
      <c r="A14" s="16" t="s">
        <v>1198</v>
      </c>
      <c r="B14" s="16" t="s">
        <v>47</v>
      </c>
      <c r="C14" s="16" t="s">
        <v>1144</v>
      </c>
      <c r="D14" s="16" t="s">
        <v>1199</v>
      </c>
      <c r="E14" s="16" t="s">
        <v>1200</v>
      </c>
      <c r="F14" s="16" t="s">
        <v>1147</v>
      </c>
      <c r="G14" s="16" t="s">
        <v>1201</v>
      </c>
      <c r="H14" s="16" t="s">
        <v>54</v>
      </c>
      <c r="I14" s="16" t="s">
        <v>32</v>
      </c>
      <c r="J14" s="16" t="s">
        <v>1149</v>
      </c>
      <c r="K14" s="16" t="s">
        <v>179</v>
      </c>
      <c r="L14" s="16" t="s">
        <v>1202</v>
      </c>
      <c r="M14" s="16" t="s">
        <v>100</v>
      </c>
      <c r="N14" s="16" t="s">
        <v>1203</v>
      </c>
      <c r="O14" s="17" t="s">
        <v>92</v>
      </c>
      <c r="P14" s="18" t="s">
        <v>93</v>
      </c>
      <c r="Q14" s="18"/>
      <c r="R14" s="18"/>
    </row>
    <row r="15" customFormat="false" ht="22.35" hidden="false" customHeight="false" outlineLevel="0" collapsed="false">
      <c r="A15" s="16" t="s">
        <v>1204</v>
      </c>
      <c r="B15" s="16" t="s">
        <v>47</v>
      </c>
      <c r="C15" s="16" t="s">
        <v>1144</v>
      </c>
      <c r="D15" s="16" t="s">
        <v>1199</v>
      </c>
      <c r="E15" s="16" t="s">
        <v>1205</v>
      </c>
      <c r="F15" s="16" t="s">
        <v>1147</v>
      </c>
      <c r="G15" s="16" t="s">
        <v>1206</v>
      </c>
      <c r="H15" s="16" t="s">
        <v>54</v>
      </c>
      <c r="I15" s="16" t="s">
        <v>34</v>
      </c>
      <c r="J15" s="16" t="s">
        <v>1149</v>
      </c>
      <c r="K15" s="16" t="s">
        <v>179</v>
      </c>
      <c r="L15" s="16" t="s">
        <v>272</v>
      </c>
      <c r="M15" s="16" t="s">
        <v>100</v>
      </c>
      <c r="N15" s="16" t="s">
        <v>1207</v>
      </c>
      <c r="O15" s="17" t="s">
        <v>92</v>
      </c>
      <c r="P15" s="18" t="s">
        <v>93</v>
      </c>
      <c r="Q15" s="18"/>
      <c r="R15" s="18"/>
    </row>
    <row r="16" customFormat="false" ht="22.35" hidden="false" customHeight="false" outlineLevel="0" collapsed="false">
      <c r="A16" s="16" t="s">
        <v>1208</v>
      </c>
      <c r="B16" s="16" t="s">
        <v>47</v>
      </c>
      <c r="C16" s="16" t="s">
        <v>1144</v>
      </c>
      <c r="D16" s="16" t="s">
        <v>1199</v>
      </c>
      <c r="E16" s="16" t="s">
        <v>1209</v>
      </c>
      <c r="F16" s="16" t="s">
        <v>1147</v>
      </c>
      <c r="G16" s="16" t="s">
        <v>1210</v>
      </c>
      <c r="H16" s="16" t="s">
        <v>54</v>
      </c>
      <c r="I16" s="16" t="s">
        <v>33</v>
      </c>
      <c r="J16" s="16" t="s">
        <v>1149</v>
      </c>
      <c r="K16" s="16" t="s">
        <v>179</v>
      </c>
      <c r="L16" s="16" t="s">
        <v>272</v>
      </c>
      <c r="M16" s="16" t="s">
        <v>100</v>
      </c>
      <c r="N16" s="16" t="s">
        <v>1211</v>
      </c>
      <c r="O16" s="17" t="s">
        <v>92</v>
      </c>
      <c r="P16" s="18" t="s">
        <v>93</v>
      </c>
      <c r="Q16" s="18"/>
      <c r="R16" s="18"/>
    </row>
    <row r="17" customFormat="false" ht="22.35" hidden="false" customHeight="false" outlineLevel="0" collapsed="false">
      <c r="A17" s="16" t="s">
        <v>1212</v>
      </c>
      <c r="B17" s="16" t="s">
        <v>47</v>
      </c>
      <c r="C17" s="16" t="s">
        <v>1144</v>
      </c>
      <c r="D17" s="16" t="s">
        <v>1199</v>
      </c>
      <c r="E17" s="16" t="s">
        <v>1213</v>
      </c>
      <c r="F17" s="16" t="s">
        <v>1147</v>
      </c>
      <c r="G17" s="16" t="s">
        <v>1214</v>
      </c>
      <c r="H17" s="16" t="s">
        <v>56</v>
      </c>
      <c r="I17" s="16" t="s">
        <v>33</v>
      </c>
      <c r="J17" s="16" t="s">
        <v>1149</v>
      </c>
      <c r="K17" s="16" t="s">
        <v>426</v>
      </c>
      <c r="L17" s="16" t="s">
        <v>272</v>
      </c>
      <c r="M17" s="16" t="s">
        <v>100</v>
      </c>
      <c r="N17" s="16" t="s">
        <v>1215</v>
      </c>
      <c r="O17" s="17" t="s">
        <v>92</v>
      </c>
      <c r="P17" s="18" t="s">
        <v>93</v>
      </c>
      <c r="Q17" s="18"/>
      <c r="R17" s="18"/>
    </row>
    <row r="18" customFormat="false" ht="22.35" hidden="false" customHeight="false" outlineLevel="0" collapsed="false">
      <c r="A18" s="16" t="s">
        <v>1216</v>
      </c>
      <c r="B18" s="16" t="s">
        <v>47</v>
      </c>
      <c r="C18" s="16" t="s">
        <v>1144</v>
      </c>
      <c r="D18" s="16" t="s">
        <v>1199</v>
      </c>
      <c r="E18" s="16" t="s">
        <v>1217</v>
      </c>
      <c r="F18" s="16" t="s">
        <v>1147</v>
      </c>
      <c r="G18" s="16" t="s">
        <v>1218</v>
      </c>
      <c r="H18" s="16" t="s">
        <v>56</v>
      </c>
      <c r="I18" s="16" t="s">
        <v>33</v>
      </c>
      <c r="J18" s="16" t="s">
        <v>1149</v>
      </c>
      <c r="K18" s="16" t="s">
        <v>343</v>
      </c>
      <c r="L18" s="16" t="s">
        <v>593</v>
      </c>
      <c r="M18" s="16" t="s">
        <v>100</v>
      </c>
      <c r="N18" s="16" t="s">
        <v>1219</v>
      </c>
      <c r="O18" s="17" t="s">
        <v>92</v>
      </c>
      <c r="P18" s="18" t="s">
        <v>93</v>
      </c>
      <c r="Q18" s="18"/>
      <c r="R18" s="18"/>
    </row>
    <row r="19" customFormat="false" ht="22.35" hidden="false" customHeight="false" outlineLevel="0" collapsed="false">
      <c r="A19" s="16" t="s">
        <v>1220</v>
      </c>
      <c r="B19" s="16" t="s">
        <v>47</v>
      </c>
      <c r="C19" s="16" t="s">
        <v>1144</v>
      </c>
      <c r="D19" s="16" t="s">
        <v>1221</v>
      </c>
      <c r="E19" s="16" t="s">
        <v>1222</v>
      </c>
      <c r="F19" s="16" t="s">
        <v>1147</v>
      </c>
      <c r="G19" s="16" t="s">
        <v>1223</v>
      </c>
      <c r="H19" s="16" t="s">
        <v>54</v>
      </c>
      <c r="I19" s="16" t="s">
        <v>33</v>
      </c>
      <c r="J19" s="16" t="s">
        <v>1149</v>
      </c>
      <c r="K19" s="16" t="s">
        <v>577</v>
      </c>
      <c r="L19" s="16" t="s">
        <v>593</v>
      </c>
      <c r="M19" s="16" t="s">
        <v>100</v>
      </c>
      <c r="N19" s="16" t="s">
        <v>1224</v>
      </c>
      <c r="O19" s="17" t="s">
        <v>92</v>
      </c>
      <c r="P19" s="18" t="s">
        <v>93</v>
      </c>
      <c r="Q19" s="18"/>
      <c r="R19" s="18"/>
    </row>
    <row r="20" customFormat="false" ht="22.35" hidden="false" customHeight="false" outlineLevel="0" collapsed="false">
      <c r="A20" s="16" t="s">
        <v>1225</v>
      </c>
      <c r="B20" s="16" t="s">
        <v>47</v>
      </c>
      <c r="C20" s="16" t="s">
        <v>1144</v>
      </c>
      <c r="D20" s="16" t="s">
        <v>1221</v>
      </c>
      <c r="E20" s="16" t="s">
        <v>1226</v>
      </c>
      <c r="F20" s="16" t="s">
        <v>1147</v>
      </c>
      <c r="G20" s="16" t="s">
        <v>1227</v>
      </c>
      <c r="H20" s="16" t="s">
        <v>56</v>
      </c>
      <c r="I20" s="16" t="s">
        <v>33</v>
      </c>
      <c r="J20" s="16" t="s">
        <v>1149</v>
      </c>
      <c r="K20" s="16" t="s">
        <v>577</v>
      </c>
      <c r="L20" s="16" t="s">
        <v>593</v>
      </c>
      <c r="M20" s="16" t="s">
        <v>100</v>
      </c>
      <c r="N20" s="16" t="s">
        <v>627</v>
      </c>
      <c r="O20" s="17" t="s">
        <v>92</v>
      </c>
      <c r="P20" s="18" t="s">
        <v>93</v>
      </c>
      <c r="Q20" s="18"/>
      <c r="R20" s="18"/>
    </row>
    <row r="21" customFormat="false" ht="22.35" hidden="false" customHeight="false" outlineLevel="0" collapsed="false">
      <c r="A21" s="16" t="s">
        <v>1228</v>
      </c>
      <c r="B21" s="16" t="s">
        <v>47</v>
      </c>
      <c r="C21" s="16" t="s">
        <v>1144</v>
      </c>
      <c r="D21" s="16" t="s">
        <v>1229</v>
      </c>
      <c r="E21" s="16" t="s">
        <v>1230</v>
      </c>
      <c r="F21" s="16" t="s">
        <v>1147</v>
      </c>
      <c r="G21" s="16" t="s">
        <v>1231</v>
      </c>
      <c r="H21" s="16" t="s">
        <v>56</v>
      </c>
      <c r="I21" s="16" t="s">
        <v>34</v>
      </c>
      <c r="J21" s="16" t="s">
        <v>1149</v>
      </c>
      <c r="K21" s="16" t="s">
        <v>577</v>
      </c>
      <c r="L21" s="16" t="s">
        <v>593</v>
      </c>
      <c r="M21" s="16" t="s">
        <v>100</v>
      </c>
      <c r="N21" s="16" t="s">
        <v>627</v>
      </c>
      <c r="O21" s="17" t="s">
        <v>92</v>
      </c>
      <c r="P21" s="18" t="s">
        <v>93</v>
      </c>
      <c r="Q21" s="18"/>
      <c r="R21" s="18"/>
    </row>
    <row r="22" customFormat="false" ht="22.35" hidden="false" customHeight="false" outlineLevel="0" collapsed="false">
      <c r="A22" s="16" t="s">
        <v>1232</v>
      </c>
      <c r="B22" s="16" t="s">
        <v>47</v>
      </c>
      <c r="C22" s="16" t="s">
        <v>1144</v>
      </c>
      <c r="D22" s="16" t="s">
        <v>1233</v>
      </c>
      <c r="E22" s="16" t="s">
        <v>1234</v>
      </c>
      <c r="F22" s="16" t="s">
        <v>1147</v>
      </c>
      <c r="G22" s="16" t="s">
        <v>1235</v>
      </c>
      <c r="H22" s="16" t="s">
        <v>54</v>
      </c>
      <c r="I22" s="16" t="s">
        <v>33</v>
      </c>
      <c r="J22" s="16" t="s">
        <v>1149</v>
      </c>
      <c r="K22" s="16" t="s">
        <v>1236</v>
      </c>
      <c r="L22" s="16" t="s">
        <v>89</v>
      </c>
      <c r="M22" s="16" t="s">
        <v>100</v>
      </c>
      <c r="N22" s="16" t="s">
        <v>1237</v>
      </c>
      <c r="O22" s="17" t="s">
        <v>92</v>
      </c>
      <c r="P22" s="18" t="s">
        <v>93</v>
      </c>
      <c r="Q22" s="18"/>
      <c r="R22" s="18"/>
    </row>
    <row r="23" customFormat="false" ht="22.35" hidden="false" customHeight="false" outlineLevel="0" collapsed="false">
      <c r="A23" s="16" t="s">
        <v>1238</v>
      </c>
      <c r="B23" s="16" t="s">
        <v>47</v>
      </c>
      <c r="C23" s="16" t="s">
        <v>1144</v>
      </c>
      <c r="D23" s="16" t="s">
        <v>1233</v>
      </c>
      <c r="E23" s="16" t="s">
        <v>1239</v>
      </c>
      <c r="F23" s="16" t="s">
        <v>1147</v>
      </c>
      <c r="G23" s="16" t="s">
        <v>1240</v>
      </c>
      <c r="H23" s="16" t="s">
        <v>56</v>
      </c>
      <c r="I23" s="16" t="s">
        <v>33</v>
      </c>
      <c r="J23" s="16" t="s">
        <v>1149</v>
      </c>
      <c r="K23" s="16" t="s">
        <v>282</v>
      </c>
      <c r="L23" s="16" t="s">
        <v>89</v>
      </c>
      <c r="M23" s="16" t="s">
        <v>100</v>
      </c>
      <c r="N23" s="16" t="s">
        <v>955</v>
      </c>
      <c r="O23" s="17" t="s">
        <v>92</v>
      </c>
      <c r="P23" s="18" t="s">
        <v>93</v>
      </c>
      <c r="Q23" s="18"/>
      <c r="R23" s="18"/>
    </row>
    <row r="24" customFormat="false" ht="22.35" hidden="false" customHeight="false" outlineLevel="0" collapsed="false">
      <c r="A24" s="16" t="s">
        <v>1241</v>
      </c>
      <c r="B24" s="16" t="s">
        <v>47</v>
      </c>
      <c r="C24" s="16" t="s">
        <v>1144</v>
      </c>
      <c r="D24" s="16" t="s">
        <v>1233</v>
      </c>
      <c r="E24" s="16" t="s">
        <v>1242</v>
      </c>
      <c r="F24" s="16" t="s">
        <v>1147</v>
      </c>
      <c r="G24" s="16" t="s">
        <v>1243</v>
      </c>
      <c r="H24" s="16" t="s">
        <v>54</v>
      </c>
      <c r="I24" s="16" t="s">
        <v>33</v>
      </c>
      <c r="J24" s="16" t="s">
        <v>1149</v>
      </c>
      <c r="K24" s="16" t="s">
        <v>171</v>
      </c>
      <c r="L24" s="16" t="s">
        <v>89</v>
      </c>
      <c r="M24" s="16" t="s">
        <v>100</v>
      </c>
      <c r="N24" s="16" t="s">
        <v>1244</v>
      </c>
      <c r="O24" s="17" t="s">
        <v>92</v>
      </c>
      <c r="P24" s="18" t="s">
        <v>93</v>
      </c>
      <c r="Q24" s="18"/>
      <c r="R24" s="18"/>
    </row>
    <row r="25" customFormat="false" ht="22.35" hidden="false" customHeight="false" outlineLevel="0" collapsed="false">
      <c r="A25" s="16" t="s">
        <v>1245</v>
      </c>
      <c r="B25" s="16" t="s">
        <v>47</v>
      </c>
      <c r="C25" s="16" t="s">
        <v>1246</v>
      </c>
      <c r="D25" s="16" t="s">
        <v>1247</v>
      </c>
      <c r="E25" s="16" t="s">
        <v>1248</v>
      </c>
      <c r="F25" s="16" t="s">
        <v>1249</v>
      </c>
      <c r="G25" s="16" t="s">
        <v>1250</v>
      </c>
      <c r="H25" s="16" t="s">
        <v>54</v>
      </c>
      <c r="I25" s="16" t="s">
        <v>32</v>
      </c>
      <c r="J25" s="16" t="s">
        <v>1149</v>
      </c>
      <c r="K25" s="16" t="s">
        <v>577</v>
      </c>
      <c r="L25" s="16" t="s">
        <v>553</v>
      </c>
      <c r="M25" s="16" t="s">
        <v>100</v>
      </c>
      <c r="N25" s="16" t="s">
        <v>1251</v>
      </c>
      <c r="O25" s="17" t="s">
        <v>92</v>
      </c>
      <c r="P25" s="18" t="s">
        <v>93</v>
      </c>
      <c r="Q25" s="18"/>
      <c r="R25" s="18"/>
    </row>
    <row r="26" customFormat="false" ht="22.35" hidden="false" customHeight="false" outlineLevel="0" collapsed="false">
      <c r="A26" s="16" t="s">
        <v>1252</v>
      </c>
      <c r="B26" s="16" t="s">
        <v>47</v>
      </c>
      <c r="C26" s="16" t="s">
        <v>1246</v>
      </c>
      <c r="D26" s="16" t="s">
        <v>1247</v>
      </c>
      <c r="E26" s="16" t="s">
        <v>1253</v>
      </c>
      <c r="F26" s="16" t="s">
        <v>1249</v>
      </c>
      <c r="G26" s="16" t="s">
        <v>1254</v>
      </c>
      <c r="H26" s="16" t="s">
        <v>56</v>
      </c>
      <c r="I26" s="16" t="s">
        <v>33</v>
      </c>
      <c r="J26" s="16" t="s">
        <v>1149</v>
      </c>
      <c r="K26" s="16" t="s">
        <v>577</v>
      </c>
      <c r="L26" s="16" t="s">
        <v>553</v>
      </c>
      <c r="M26" s="16" t="s">
        <v>100</v>
      </c>
      <c r="N26" s="16" t="s">
        <v>1255</v>
      </c>
      <c r="O26" s="17" t="s">
        <v>92</v>
      </c>
      <c r="P26" s="18" t="s">
        <v>93</v>
      </c>
      <c r="Q26" s="18"/>
      <c r="R26" s="18"/>
    </row>
    <row r="27" customFormat="false" ht="22.35" hidden="false" customHeight="false" outlineLevel="0" collapsed="false">
      <c r="A27" s="16" t="s">
        <v>1256</v>
      </c>
      <c r="B27" s="16" t="s">
        <v>47</v>
      </c>
      <c r="C27" s="16" t="s">
        <v>1246</v>
      </c>
      <c r="D27" s="16" t="s">
        <v>1247</v>
      </c>
      <c r="E27" s="16" t="s">
        <v>1257</v>
      </c>
      <c r="F27" s="16" t="s">
        <v>1249</v>
      </c>
      <c r="G27" s="16" t="s">
        <v>1258</v>
      </c>
      <c r="H27" s="16" t="s">
        <v>56</v>
      </c>
      <c r="I27" s="16" t="s">
        <v>32</v>
      </c>
      <c r="J27" s="16" t="s">
        <v>1149</v>
      </c>
      <c r="K27" s="16" t="s">
        <v>577</v>
      </c>
      <c r="L27" s="16" t="s">
        <v>553</v>
      </c>
      <c r="M27" s="16" t="s">
        <v>100</v>
      </c>
      <c r="N27" s="16" t="s">
        <v>1259</v>
      </c>
      <c r="O27" s="17" t="s">
        <v>92</v>
      </c>
      <c r="P27" s="18" t="s">
        <v>93</v>
      </c>
      <c r="Q27" s="18"/>
      <c r="R27" s="18"/>
    </row>
    <row r="28" customFormat="false" ht="22.35" hidden="false" customHeight="false" outlineLevel="0" collapsed="false">
      <c r="A28" s="16" t="s">
        <v>1260</v>
      </c>
      <c r="B28" s="16" t="s">
        <v>47</v>
      </c>
      <c r="C28" s="16" t="s">
        <v>1246</v>
      </c>
      <c r="D28" s="16" t="s">
        <v>1247</v>
      </c>
      <c r="E28" s="16" t="s">
        <v>1261</v>
      </c>
      <c r="F28" s="16" t="s">
        <v>1249</v>
      </c>
      <c r="G28" s="16" t="s">
        <v>1262</v>
      </c>
      <c r="H28" s="16" t="s">
        <v>54</v>
      </c>
      <c r="I28" s="16" t="s">
        <v>33</v>
      </c>
      <c r="J28" s="16" t="s">
        <v>1149</v>
      </c>
      <c r="K28" s="16" t="s">
        <v>577</v>
      </c>
      <c r="L28" s="16" t="s">
        <v>553</v>
      </c>
      <c r="M28" s="16" t="s">
        <v>100</v>
      </c>
      <c r="N28" s="16" t="s">
        <v>1263</v>
      </c>
      <c r="O28" s="17" t="s">
        <v>92</v>
      </c>
      <c r="P28" s="18" t="s">
        <v>93</v>
      </c>
      <c r="Q28" s="18"/>
      <c r="R28" s="18"/>
    </row>
    <row r="29" customFormat="false" ht="22.35" hidden="false" customHeight="false" outlineLevel="0" collapsed="false">
      <c r="A29" s="16" t="s">
        <v>1264</v>
      </c>
      <c r="B29" s="16" t="s">
        <v>47</v>
      </c>
      <c r="C29" s="16" t="s">
        <v>1246</v>
      </c>
      <c r="D29" s="16" t="s">
        <v>1247</v>
      </c>
      <c r="E29" s="16" t="s">
        <v>1265</v>
      </c>
      <c r="F29" s="16" t="s">
        <v>1249</v>
      </c>
      <c r="G29" s="16" t="s">
        <v>1266</v>
      </c>
      <c r="H29" s="16" t="s">
        <v>54</v>
      </c>
      <c r="I29" s="16" t="s">
        <v>32</v>
      </c>
      <c r="J29" s="16" t="s">
        <v>1149</v>
      </c>
      <c r="K29" s="16" t="s">
        <v>577</v>
      </c>
      <c r="L29" s="16" t="s">
        <v>553</v>
      </c>
      <c r="M29" s="16" t="s">
        <v>100</v>
      </c>
      <c r="N29" s="16" t="s">
        <v>1267</v>
      </c>
      <c r="O29" s="17" t="s">
        <v>92</v>
      </c>
      <c r="P29" s="18" t="s">
        <v>93</v>
      </c>
      <c r="Q29" s="18"/>
      <c r="R29" s="18"/>
    </row>
    <row r="30" customFormat="false" ht="22.35" hidden="false" customHeight="false" outlineLevel="0" collapsed="false">
      <c r="A30" s="16" t="s">
        <v>1268</v>
      </c>
      <c r="B30" s="16" t="s">
        <v>47</v>
      </c>
      <c r="C30" s="16" t="s">
        <v>1246</v>
      </c>
      <c r="D30" s="16" t="s">
        <v>1247</v>
      </c>
      <c r="E30" s="16" t="s">
        <v>1269</v>
      </c>
      <c r="F30" s="16" t="s">
        <v>1249</v>
      </c>
      <c r="G30" s="16" t="s">
        <v>1270</v>
      </c>
      <c r="H30" s="16" t="s">
        <v>54</v>
      </c>
      <c r="I30" s="16" t="s">
        <v>33</v>
      </c>
      <c r="J30" s="16" t="s">
        <v>1149</v>
      </c>
      <c r="K30" s="16" t="s">
        <v>577</v>
      </c>
      <c r="L30" s="16" t="s">
        <v>553</v>
      </c>
      <c r="M30" s="16" t="s">
        <v>100</v>
      </c>
      <c r="N30" s="16" t="s">
        <v>1271</v>
      </c>
      <c r="O30" s="17" t="s">
        <v>92</v>
      </c>
      <c r="P30" s="18" t="s">
        <v>93</v>
      </c>
      <c r="Q30" s="18"/>
      <c r="R30" s="18"/>
    </row>
    <row r="31" customFormat="false" ht="22.35" hidden="false" customHeight="false" outlineLevel="0" collapsed="false">
      <c r="A31" s="16" t="s">
        <v>1272</v>
      </c>
      <c r="B31" s="16" t="s">
        <v>47</v>
      </c>
      <c r="C31" s="16" t="s">
        <v>1246</v>
      </c>
      <c r="D31" s="16" t="s">
        <v>1247</v>
      </c>
      <c r="E31" s="16" t="s">
        <v>1273</v>
      </c>
      <c r="F31" s="16" t="s">
        <v>1249</v>
      </c>
      <c r="G31" s="16" t="s">
        <v>1274</v>
      </c>
      <c r="H31" s="16" t="s">
        <v>56</v>
      </c>
      <c r="I31" s="16" t="s">
        <v>34</v>
      </c>
      <c r="J31" s="16" t="s">
        <v>1149</v>
      </c>
      <c r="K31" s="16" t="s">
        <v>577</v>
      </c>
      <c r="L31" s="16" t="s">
        <v>553</v>
      </c>
      <c r="M31" s="16" t="s">
        <v>100</v>
      </c>
      <c r="N31" s="16" t="s">
        <v>1275</v>
      </c>
      <c r="O31" s="17" t="s">
        <v>92</v>
      </c>
      <c r="P31" s="18" t="s">
        <v>93</v>
      </c>
      <c r="Q31" s="18"/>
      <c r="R31" s="18"/>
    </row>
    <row r="32" customFormat="false" ht="22.35" hidden="false" customHeight="false" outlineLevel="0" collapsed="false">
      <c r="A32" s="16" t="s">
        <v>1276</v>
      </c>
      <c r="B32" s="16" t="s">
        <v>47</v>
      </c>
      <c r="C32" s="16" t="s">
        <v>1246</v>
      </c>
      <c r="D32" s="16" t="s">
        <v>1247</v>
      </c>
      <c r="E32" s="16" t="s">
        <v>1277</v>
      </c>
      <c r="F32" s="16" t="s">
        <v>1249</v>
      </c>
      <c r="G32" s="16" t="s">
        <v>1278</v>
      </c>
      <c r="H32" s="16" t="s">
        <v>56</v>
      </c>
      <c r="I32" s="16" t="s">
        <v>34</v>
      </c>
      <c r="J32" s="16" t="s">
        <v>1149</v>
      </c>
      <c r="K32" s="16" t="s">
        <v>577</v>
      </c>
      <c r="L32" s="16" t="s">
        <v>553</v>
      </c>
      <c r="M32" s="16" t="s">
        <v>100</v>
      </c>
      <c r="N32" s="16" t="s">
        <v>1279</v>
      </c>
      <c r="O32" s="17" t="s">
        <v>92</v>
      </c>
      <c r="P32" s="18" t="s">
        <v>93</v>
      </c>
      <c r="Q32" s="18"/>
      <c r="R32" s="18"/>
    </row>
    <row r="33" customFormat="false" ht="22.35" hidden="false" customHeight="false" outlineLevel="0" collapsed="false">
      <c r="A33" s="16" t="s">
        <v>1280</v>
      </c>
      <c r="B33" s="16" t="s">
        <v>47</v>
      </c>
      <c r="C33" s="16" t="s">
        <v>1246</v>
      </c>
      <c r="D33" s="16" t="s">
        <v>1281</v>
      </c>
      <c r="E33" s="16" t="s">
        <v>1282</v>
      </c>
      <c r="F33" s="16" t="s">
        <v>1249</v>
      </c>
      <c r="G33" s="16" t="s">
        <v>1283</v>
      </c>
      <c r="H33" s="16" t="s">
        <v>54</v>
      </c>
      <c r="I33" s="16" t="s">
        <v>31</v>
      </c>
      <c r="J33" s="16" t="s">
        <v>1149</v>
      </c>
      <c r="K33" s="16" t="s">
        <v>552</v>
      </c>
      <c r="L33" s="16" t="s">
        <v>553</v>
      </c>
      <c r="M33" s="16" t="s">
        <v>100</v>
      </c>
      <c r="N33" s="16" t="s">
        <v>1284</v>
      </c>
      <c r="O33" s="17" t="s">
        <v>92</v>
      </c>
      <c r="P33" s="18" t="s">
        <v>93</v>
      </c>
      <c r="Q33" s="18"/>
      <c r="R33" s="18"/>
    </row>
    <row r="34" customFormat="false" ht="22.35" hidden="false" customHeight="false" outlineLevel="0" collapsed="false">
      <c r="A34" s="16" t="s">
        <v>1285</v>
      </c>
      <c r="B34" s="16" t="s">
        <v>47</v>
      </c>
      <c r="C34" s="16" t="s">
        <v>1246</v>
      </c>
      <c r="D34" s="16" t="s">
        <v>1281</v>
      </c>
      <c r="E34" s="16" t="s">
        <v>1286</v>
      </c>
      <c r="F34" s="16" t="s">
        <v>1249</v>
      </c>
      <c r="G34" s="16" t="s">
        <v>1287</v>
      </c>
      <c r="H34" s="16" t="s">
        <v>54</v>
      </c>
      <c r="I34" s="16" t="s">
        <v>32</v>
      </c>
      <c r="J34" s="16" t="s">
        <v>1149</v>
      </c>
      <c r="K34" s="16" t="s">
        <v>558</v>
      </c>
      <c r="L34" s="16" t="s">
        <v>553</v>
      </c>
      <c r="M34" s="16" t="s">
        <v>100</v>
      </c>
      <c r="N34" s="16" t="s">
        <v>1288</v>
      </c>
      <c r="O34" s="17" t="s">
        <v>92</v>
      </c>
      <c r="P34" s="18" t="s">
        <v>93</v>
      </c>
      <c r="Q34" s="18"/>
      <c r="R34" s="18"/>
    </row>
    <row r="35" customFormat="false" ht="22.35" hidden="false" customHeight="false" outlineLevel="0" collapsed="false">
      <c r="A35" s="16" t="s">
        <v>1289</v>
      </c>
      <c r="B35" s="16" t="s">
        <v>47</v>
      </c>
      <c r="C35" s="16" t="s">
        <v>1246</v>
      </c>
      <c r="D35" s="16" t="s">
        <v>1281</v>
      </c>
      <c r="E35" s="16" t="s">
        <v>1290</v>
      </c>
      <c r="F35" s="16" t="s">
        <v>1249</v>
      </c>
      <c r="G35" s="16" t="s">
        <v>1291</v>
      </c>
      <c r="H35" s="16" t="s">
        <v>54</v>
      </c>
      <c r="I35" s="16" t="s">
        <v>32</v>
      </c>
      <c r="J35" s="16" t="s">
        <v>1149</v>
      </c>
      <c r="K35" s="16" t="s">
        <v>558</v>
      </c>
      <c r="L35" s="16" t="s">
        <v>553</v>
      </c>
      <c r="M35" s="16" t="s">
        <v>100</v>
      </c>
      <c r="N35" s="16" t="s">
        <v>1292</v>
      </c>
      <c r="O35" s="17" t="s">
        <v>92</v>
      </c>
      <c r="P35" s="18" t="s">
        <v>93</v>
      </c>
      <c r="Q35" s="18"/>
      <c r="R35" s="18"/>
    </row>
    <row r="36" customFormat="false" ht="22.35" hidden="false" customHeight="false" outlineLevel="0" collapsed="false">
      <c r="A36" s="16" t="s">
        <v>1293</v>
      </c>
      <c r="B36" s="16" t="s">
        <v>47</v>
      </c>
      <c r="C36" s="16" t="s">
        <v>1246</v>
      </c>
      <c r="D36" s="16" t="s">
        <v>1281</v>
      </c>
      <c r="E36" s="16" t="s">
        <v>1294</v>
      </c>
      <c r="F36" s="16" t="s">
        <v>1249</v>
      </c>
      <c r="G36" s="16" t="s">
        <v>1295</v>
      </c>
      <c r="H36" s="16" t="s">
        <v>61</v>
      </c>
      <c r="I36" s="16" t="s">
        <v>33</v>
      </c>
      <c r="J36" s="16" t="s">
        <v>1149</v>
      </c>
      <c r="K36" s="16" t="s">
        <v>387</v>
      </c>
      <c r="L36" s="16" t="s">
        <v>147</v>
      </c>
      <c r="M36" s="16" t="s">
        <v>100</v>
      </c>
      <c r="N36" s="16" t="s">
        <v>1296</v>
      </c>
      <c r="O36" s="17" t="s">
        <v>92</v>
      </c>
      <c r="P36" s="18" t="s">
        <v>93</v>
      </c>
      <c r="Q36" s="18"/>
      <c r="R36" s="18"/>
    </row>
    <row r="37" customFormat="false" ht="22.35" hidden="false" customHeight="false" outlineLevel="0" collapsed="false">
      <c r="A37" s="16" t="s">
        <v>1297</v>
      </c>
      <c r="B37" s="16" t="s">
        <v>47</v>
      </c>
      <c r="C37" s="16" t="s">
        <v>1246</v>
      </c>
      <c r="D37" s="16" t="s">
        <v>1281</v>
      </c>
      <c r="E37" s="16" t="s">
        <v>1298</v>
      </c>
      <c r="F37" s="16" t="s">
        <v>1249</v>
      </c>
      <c r="G37" s="16" t="s">
        <v>1299</v>
      </c>
      <c r="H37" s="16" t="s">
        <v>54</v>
      </c>
      <c r="I37" s="16" t="s">
        <v>31</v>
      </c>
      <c r="J37" s="16" t="s">
        <v>1149</v>
      </c>
      <c r="K37" s="16" t="s">
        <v>1300</v>
      </c>
      <c r="L37" s="16" t="s">
        <v>1301</v>
      </c>
      <c r="M37" s="16" t="s">
        <v>100</v>
      </c>
      <c r="N37" s="16" t="s">
        <v>1302</v>
      </c>
      <c r="O37" s="17" t="s">
        <v>92</v>
      </c>
      <c r="P37" s="18" t="s">
        <v>93</v>
      </c>
      <c r="Q37" s="18"/>
      <c r="R37" s="18"/>
    </row>
    <row r="38" customFormat="false" ht="22.35" hidden="false" customHeight="false" outlineLevel="0" collapsed="false">
      <c r="A38" s="16" t="s">
        <v>1303</v>
      </c>
      <c r="B38" s="16" t="s">
        <v>47</v>
      </c>
      <c r="C38" s="16" t="s">
        <v>1304</v>
      </c>
      <c r="D38" s="16" t="s">
        <v>1305</v>
      </c>
      <c r="E38" s="16" t="s">
        <v>1306</v>
      </c>
      <c r="F38" s="16" t="s">
        <v>1307</v>
      </c>
      <c r="G38" s="16" t="s">
        <v>1308</v>
      </c>
      <c r="H38" s="16" t="s">
        <v>54</v>
      </c>
      <c r="I38" s="16" t="s">
        <v>32</v>
      </c>
      <c r="J38" s="16" t="s">
        <v>1149</v>
      </c>
      <c r="K38" s="16" t="s">
        <v>577</v>
      </c>
      <c r="L38" s="16" t="s">
        <v>1309</v>
      </c>
      <c r="M38" s="16" t="s">
        <v>100</v>
      </c>
      <c r="N38" s="16" t="s">
        <v>1310</v>
      </c>
      <c r="O38" s="17" t="s">
        <v>92</v>
      </c>
      <c r="P38" s="18" t="s">
        <v>93</v>
      </c>
      <c r="Q38" s="18"/>
      <c r="R38" s="18"/>
    </row>
    <row r="39" customFormat="false" ht="22.35" hidden="false" customHeight="false" outlineLevel="0" collapsed="false">
      <c r="A39" s="16" t="s">
        <v>1311</v>
      </c>
      <c r="B39" s="16" t="s">
        <v>47</v>
      </c>
      <c r="C39" s="16" t="s">
        <v>1304</v>
      </c>
      <c r="D39" s="16" t="s">
        <v>1305</v>
      </c>
      <c r="E39" s="16" t="s">
        <v>1312</v>
      </c>
      <c r="F39" s="16" t="s">
        <v>1307</v>
      </c>
      <c r="G39" s="16" t="s">
        <v>1313</v>
      </c>
      <c r="H39" s="16" t="s">
        <v>54</v>
      </c>
      <c r="I39" s="16" t="s">
        <v>33</v>
      </c>
      <c r="J39" s="16" t="s">
        <v>1149</v>
      </c>
      <c r="K39" s="16" t="s">
        <v>146</v>
      </c>
      <c r="L39" s="16" t="s">
        <v>1309</v>
      </c>
      <c r="M39" s="16" t="s">
        <v>100</v>
      </c>
      <c r="N39" s="16" t="s">
        <v>1314</v>
      </c>
      <c r="O39" s="17" t="s">
        <v>92</v>
      </c>
      <c r="P39" s="18" t="s">
        <v>93</v>
      </c>
      <c r="Q39" s="18"/>
      <c r="R39" s="18"/>
    </row>
    <row r="40" customFormat="false" ht="22.35" hidden="false" customHeight="false" outlineLevel="0" collapsed="false">
      <c r="A40" s="16" t="s">
        <v>1315</v>
      </c>
      <c r="B40" s="16" t="s">
        <v>47</v>
      </c>
      <c r="C40" s="16" t="s">
        <v>1304</v>
      </c>
      <c r="D40" s="16" t="s">
        <v>1316</v>
      </c>
      <c r="E40" s="16" t="s">
        <v>1317</v>
      </c>
      <c r="F40" s="16" t="s">
        <v>1307</v>
      </c>
      <c r="G40" s="16" t="s">
        <v>1318</v>
      </c>
      <c r="H40" s="16" t="s">
        <v>54</v>
      </c>
      <c r="I40" s="16" t="s">
        <v>32</v>
      </c>
      <c r="J40" s="16" t="s">
        <v>1149</v>
      </c>
      <c r="K40" s="16" t="s">
        <v>179</v>
      </c>
      <c r="L40" s="16" t="s">
        <v>272</v>
      </c>
      <c r="M40" s="16" t="s">
        <v>100</v>
      </c>
      <c r="N40" s="16" t="s">
        <v>1319</v>
      </c>
      <c r="O40" s="17" t="s">
        <v>92</v>
      </c>
      <c r="P40" s="18" t="s">
        <v>93</v>
      </c>
      <c r="Q40" s="18"/>
      <c r="R40" s="18"/>
    </row>
    <row r="41" customFormat="false" ht="22.35" hidden="false" customHeight="false" outlineLevel="0" collapsed="false">
      <c r="A41" s="16" t="s">
        <v>1320</v>
      </c>
      <c r="B41" s="16" t="s">
        <v>47</v>
      </c>
      <c r="C41" s="16" t="s">
        <v>1304</v>
      </c>
      <c r="D41" s="16" t="s">
        <v>1316</v>
      </c>
      <c r="E41" s="16" t="s">
        <v>1321</v>
      </c>
      <c r="F41" s="16" t="s">
        <v>1307</v>
      </c>
      <c r="G41" s="16" t="s">
        <v>1322</v>
      </c>
      <c r="H41" s="16" t="s">
        <v>60</v>
      </c>
      <c r="I41" s="16" t="s">
        <v>33</v>
      </c>
      <c r="J41" s="16" t="s">
        <v>1149</v>
      </c>
      <c r="K41" s="16" t="s">
        <v>426</v>
      </c>
      <c r="L41" s="16" t="s">
        <v>272</v>
      </c>
      <c r="M41" s="16" t="s">
        <v>100</v>
      </c>
      <c r="N41" s="16" t="s">
        <v>1323</v>
      </c>
      <c r="O41" s="17" t="s">
        <v>92</v>
      </c>
      <c r="P41" s="18" t="s">
        <v>93</v>
      </c>
      <c r="Q41" s="18"/>
      <c r="R41" s="18"/>
    </row>
    <row r="42" customFormat="false" ht="22.35" hidden="false" customHeight="false" outlineLevel="0" collapsed="false">
      <c r="A42" s="16" t="s">
        <v>1324</v>
      </c>
      <c r="B42" s="16" t="s">
        <v>47</v>
      </c>
      <c r="C42" s="16" t="s">
        <v>1304</v>
      </c>
      <c r="D42" s="16" t="s">
        <v>1325</v>
      </c>
      <c r="E42" s="16" t="s">
        <v>1326</v>
      </c>
      <c r="F42" s="16" t="s">
        <v>1307</v>
      </c>
      <c r="G42" s="16" t="s">
        <v>1327</v>
      </c>
      <c r="H42" s="16" t="s">
        <v>60</v>
      </c>
      <c r="I42" s="16" t="s">
        <v>32</v>
      </c>
      <c r="J42" s="16" t="s">
        <v>1149</v>
      </c>
      <c r="K42" s="16" t="s">
        <v>1328</v>
      </c>
      <c r="L42" s="16" t="s">
        <v>272</v>
      </c>
      <c r="M42" s="16" t="s">
        <v>100</v>
      </c>
      <c r="N42" s="16" t="s">
        <v>1329</v>
      </c>
      <c r="O42" s="17" t="s">
        <v>92</v>
      </c>
      <c r="P42" s="18" t="s">
        <v>93</v>
      </c>
      <c r="Q42" s="18"/>
      <c r="R42" s="18"/>
    </row>
    <row r="43" customFormat="false" ht="22.35" hidden="false" customHeight="false" outlineLevel="0" collapsed="false">
      <c r="A43" s="16" t="s">
        <v>1330</v>
      </c>
      <c r="B43" s="16" t="s">
        <v>47</v>
      </c>
      <c r="C43" s="16" t="s">
        <v>1331</v>
      </c>
      <c r="D43" s="16" t="s">
        <v>1332</v>
      </c>
      <c r="E43" s="16" t="s">
        <v>1333</v>
      </c>
      <c r="F43" s="16" t="s">
        <v>1334</v>
      </c>
      <c r="G43" s="16" t="s">
        <v>1335</v>
      </c>
      <c r="H43" s="16" t="s">
        <v>56</v>
      </c>
      <c r="I43" s="16" t="s">
        <v>34</v>
      </c>
      <c r="J43" s="16" t="s">
        <v>1149</v>
      </c>
      <c r="K43" s="16" t="s">
        <v>387</v>
      </c>
      <c r="L43" s="16" t="s">
        <v>147</v>
      </c>
      <c r="M43" s="16" t="s">
        <v>100</v>
      </c>
      <c r="N43" s="16" t="s">
        <v>1336</v>
      </c>
      <c r="O43" s="17" t="s">
        <v>92</v>
      </c>
      <c r="P43" s="18" t="s">
        <v>93</v>
      </c>
      <c r="Q43" s="18"/>
      <c r="R43" s="18"/>
    </row>
    <row r="44" customFormat="false" ht="22.35" hidden="false" customHeight="false" outlineLevel="0" collapsed="false">
      <c r="A44" s="16" t="s">
        <v>1337</v>
      </c>
      <c r="B44" s="16" t="s">
        <v>47</v>
      </c>
      <c r="C44" s="16" t="s">
        <v>1331</v>
      </c>
      <c r="D44" s="16" t="s">
        <v>1338</v>
      </c>
      <c r="E44" s="16" t="s">
        <v>1339</v>
      </c>
      <c r="F44" s="16" t="s">
        <v>1334</v>
      </c>
      <c r="G44" s="16" t="s">
        <v>1340</v>
      </c>
      <c r="H44" s="16" t="s">
        <v>60</v>
      </c>
      <c r="I44" s="16" t="s">
        <v>33</v>
      </c>
      <c r="J44" s="16" t="s">
        <v>1149</v>
      </c>
      <c r="K44" s="16" t="s">
        <v>387</v>
      </c>
      <c r="L44" s="16" t="s">
        <v>147</v>
      </c>
      <c r="M44" s="16" t="s">
        <v>100</v>
      </c>
      <c r="N44" s="16" t="s">
        <v>1341</v>
      </c>
      <c r="O44" s="17" t="s">
        <v>92</v>
      </c>
      <c r="P44" s="18" t="s">
        <v>93</v>
      </c>
      <c r="Q44" s="18"/>
      <c r="R44" s="18"/>
    </row>
    <row r="45" customFormat="false" ht="22.35" hidden="false" customHeight="false" outlineLevel="0" collapsed="false">
      <c r="A45" s="16" t="s">
        <v>1342</v>
      </c>
      <c r="B45" s="16" t="s">
        <v>47</v>
      </c>
      <c r="C45" s="16" t="s">
        <v>1331</v>
      </c>
      <c r="D45" s="16" t="s">
        <v>1343</v>
      </c>
      <c r="E45" s="16" t="s">
        <v>1344</v>
      </c>
      <c r="F45" s="16" t="s">
        <v>1334</v>
      </c>
      <c r="G45" s="16" t="s">
        <v>1345</v>
      </c>
      <c r="H45" s="16" t="s">
        <v>60</v>
      </c>
      <c r="I45" s="16" t="s">
        <v>33</v>
      </c>
      <c r="J45" s="16" t="s">
        <v>1149</v>
      </c>
      <c r="K45" s="16" t="s">
        <v>426</v>
      </c>
      <c r="L45" s="16" t="s">
        <v>427</v>
      </c>
      <c r="M45" s="16" t="s">
        <v>100</v>
      </c>
      <c r="N45" s="16" t="s">
        <v>1346</v>
      </c>
      <c r="O45" s="17" t="s">
        <v>92</v>
      </c>
      <c r="P45" s="18" t="s">
        <v>93</v>
      </c>
      <c r="Q45" s="18"/>
      <c r="R45" s="18"/>
    </row>
    <row r="46" customFormat="false" ht="22.35" hidden="false" customHeight="false" outlineLevel="0" collapsed="false">
      <c r="A46" s="16" t="s">
        <v>1347</v>
      </c>
      <c r="B46" s="16" t="s">
        <v>47</v>
      </c>
      <c r="C46" s="16" t="s">
        <v>1331</v>
      </c>
      <c r="D46" s="16" t="s">
        <v>1348</v>
      </c>
      <c r="E46" s="16" t="s">
        <v>1349</v>
      </c>
      <c r="F46" s="16" t="s">
        <v>1334</v>
      </c>
      <c r="G46" s="16" t="s">
        <v>1350</v>
      </c>
      <c r="H46" s="16" t="s">
        <v>54</v>
      </c>
      <c r="I46" s="16" t="s">
        <v>32</v>
      </c>
      <c r="J46" s="16" t="s">
        <v>1149</v>
      </c>
      <c r="K46" s="16" t="s">
        <v>140</v>
      </c>
      <c r="L46" s="16" t="s">
        <v>1351</v>
      </c>
      <c r="M46" s="16" t="s">
        <v>100</v>
      </c>
      <c r="N46" s="16" t="s">
        <v>1352</v>
      </c>
      <c r="O46" s="17" t="s">
        <v>92</v>
      </c>
      <c r="P46" s="18" t="s">
        <v>93</v>
      </c>
      <c r="Q46" s="18"/>
      <c r="R46" s="18"/>
    </row>
    <row r="47" customFormat="false" ht="22.35" hidden="false" customHeight="false" outlineLevel="0" collapsed="false">
      <c r="A47" s="16" t="s">
        <v>1353</v>
      </c>
      <c r="B47" s="16" t="s">
        <v>47</v>
      </c>
      <c r="C47" s="16" t="s">
        <v>1331</v>
      </c>
      <c r="D47" s="16" t="s">
        <v>1348</v>
      </c>
      <c r="E47" s="16" t="s">
        <v>1354</v>
      </c>
      <c r="F47" s="16" t="s">
        <v>1334</v>
      </c>
      <c r="G47" s="16" t="s">
        <v>1355</v>
      </c>
      <c r="H47" s="16" t="s">
        <v>56</v>
      </c>
      <c r="I47" s="16" t="s">
        <v>33</v>
      </c>
      <c r="J47" s="16" t="s">
        <v>1149</v>
      </c>
      <c r="K47" s="16" t="s">
        <v>776</v>
      </c>
      <c r="L47" s="16" t="s">
        <v>436</v>
      </c>
      <c r="M47" s="16" t="s">
        <v>100</v>
      </c>
      <c r="N47" s="16" t="s">
        <v>1356</v>
      </c>
      <c r="O47" s="17" t="s">
        <v>92</v>
      </c>
      <c r="P47" s="18" t="s">
        <v>93</v>
      </c>
      <c r="Q47" s="18"/>
      <c r="R47" s="18"/>
    </row>
    <row r="48" customFormat="false" ht="22.35" hidden="false" customHeight="false" outlineLevel="0" collapsed="false">
      <c r="A48" s="16" t="s">
        <v>1357</v>
      </c>
      <c r="B48" s="16" t="s">
        <v>47</v>
      </c>
      <c r="C48" s="16" t="s">
        <v>1331</v>
      </c>
      <c r="D48" s="16" t="s">
        <v>1348</v>
      </c>
      <c r="E48" s="16" t="s">
        <v>1358</v>
      </c>
      <c r="F48" s="16" t="s">
        <v>1334</v>
      </c>
      <c r="G48" s="16" t="s">
        <v>1359</v>
      </c>
      <c r="H48" s="16" t="s">
        <v>56</v>
      </c>
      <c r="I48" s="16" t="s">
        <v>32</v>
      </c>
      <c r="J48" s="16" t="s">
        <v>1149</v>
      </c>
      <c r="K48" s="16" t="s">
        <v>371</v>
      </c>
      <c r="L48" s="16" t="s">
        <v>372</v>
      </c>
      <c r="M48" s="16" t="s">
        <v>100</v>
      </c>
      <c r="N48" s="16" t="s">
        <v>1360</v>
      </c>
      <c r="O48" s="17" t="s">
        <v>92</v>
      </c>
      <c r="P48" s="18" t="s">
        <v>93</v>
      </c>
      <c r="Q48" s="18"/>
      <c r="R48" s="18"/>
    </row>
    <row r="49" customFormat="false" ht="22.35" hidden="false" customHeight="false" outlineLevel="0" collapsed="false">
      <c r="A49" s="16" t="s">
        <v>1361</v>
      </c>
      <c r="B49" s="16" t="s">
        <v>47</v>
      </c>
      <c r="C49" s="16" t="s">
        <v>1331</v>
      </c>
      <c r="D49" s="16" t="s">
        <v>1362</v>
      </c>
      <c r="E49" s="16" t="s">
        <v>1363</v>
      </c>
      <c r="F49" s="16" t="s">
        <v>1334</v>
      </c>
      <c r="G49" s="16" t="s">
        <v>1364</v>
      </c>
      <c r="H49" s="16" t="s">
        <v>54</v>
      </c>
      <c r="I49" s="16" t="s">
        <v>32</v>
      </c>
      <c r="J49" s="16" t="s">
        <v>1149</v>
      </c>
      <c r="K49" s="16" t="s">
        <v>171</v>
      </c>
      <c r="L49" s="16" t="s">
        <v>1365</v>
      </c>
      <c r="M49" s="16" t="s">
        <v>100</v>
      </c>
      <c r="N49" s="16" t="s">
        <v>1366</v>
      </c>
      <c r="O49" s="17" t="s">
        <v>92</v>
      </c>
      <c r="P49" s="18" t="s">
        <v>93</v>
      </c>
      <c r="Q49" s="18"/>
      <c r="R49" s="18"/>
    </row>
    <row r="50" customFormat="false" ht="22.35" hidden="false" customHeight="false" outlineLevel="0" collapsed="false">
      <c r="A50" s="16" t="s">
        <v>1367</v>
      </c>
      <c r="B50" s="16" t="s">
        <v>47</v>
      </c>
      <c r="C50" s="16" t="s">
        <v>1331</v>
      </c>
      <c r="D50" s="16" t="s">
        <v>1362</v>
      </c>
      <c r="E50" s="16" t="s">
        <v>1368</v>
      </c>
      <c r="F50" s="16" t="s">
        <v>1334</v>
      </c>
      <c r="G50" s="16" t="s">
        <v>1369</v>
      </c>
      <c r="H50" s="16" t="s">
        <v>54</v>
      </c>
      <c r="I50" s="16" t="s">
        <v>31</v>
      </c>
      <c r="J50" s="16" t="s">
        <v>1149</v>
      </c>
      <c r="K50" s="16" t="s">
        <v>714</v>
      </c>
      <c r="L50" s="16" t="s">
        <v>186</v>
      </c>
      <c r="M50" s="16" t="s">
        <v>100</v>
      </c>
      <c r="N50" s="16" t="s">
        <v>1370</v>
      </c>
      <c r="O50" s="17" t="s">
        <v>92</v>
      </c>
      <c r="P50" s="18" t="s">
        <v>93</v>
      </c>
      <c r="Q50" s="18"/>
      <c r="R50" s="18"/>
    </row>
    <row r="51" customFormat="false" ht="22.35" hidden="false" customHeight="false" outlineLevel="0" collapsed="false">
      <c r="A51" s="16" t="s">
        <v>1371</v>
      </c>
      <c r="B51" s="16" t="s">
        <v>47</v>
      </c>
      <c r="C51" s="16" t="s">
        <v>1331</v>
      </c>
      <c r="D51" s="16" t="s">
        <v>1362</v>
      </c>
      <c r="E51" s="16" t="s">
        <v>1372</v>
      </c>
      <c r="F51" s="16" t="s">
        <v>1334</v>
      </c>
      <c r="G51" s="16" t="s">
        <v>1373</v>
      </c>
      <c r="H51" s="16" t="s">
        <v>54</v>
      </c>
      <c r="I51" s="16" t="s">
        <v>31</v>
      </c>
      <c r="J51" s="16" t="s">
        <v>1149</v>
      </c>
      <c r="K51" s="16" t="s">
        <v>1374</v>
      </c>
      <c r="L51" s="16" t="s">
        <v>1375</v>
      </c>
      <c r="M51" s="16" t="s">
        <v>100</v>
      </c>
      <c r="N51" s="16" t="s">
        <v>1376</v>
      </c>
      <c r="O51" s="17" t="s">
        <v>92</v>
      </c>
      <c r="P51" s="18" t="s">
        <v>93</v>
      </c>
      <c r="Q51" s="18"/>
      <c r="R51" s="18"/>
    </row>
    <row r="52" customFormat="false" ht="22.35" hidden="false" customHeight="false" outlineLevel="0" collapsed="false">
      <c r="A52" s="16" t="s">
        <v>1377</v>
      </c>
      <c r="B52" s="16" t="s">
        <v>47</v>
      </c>
      <c r="C52" s="16" t="s">
        <v>1331</v>
      </c>
      <c r="D52" s="16" t="s">
        <v>1378</v>
      </c>
      <c r="E52" s="16" t="s">
        <v>1379</v>
      </c>
      <c r="F52" s="16" t="s">
        <v>1334</v>
      </c>
      <c r="G52" s="16" t="s">
        <v>1380</v>
      </c>
      <c r="H52" s="16" t="s">
        <v>58</v>
      </c>
      <c r="I52" s="16" t="s">
        <v>34</v>
      </c>
      <c r="J52" s="16" t="s">
        <v>1149</v>
      </c>
      <c r="K52" s="16" t="s">
        <v>219</v>
      </c>
      <c r="L52" s="16" t="s">
        <v>220</v>
      </c>
      <c r="M52" s="16" t="s">
        <v>100</v>
      </c>
      <c r="N52" s="16" t="s">
        <v>1381</v>
      </c>
      <c r="O52" s="17" t="s">
        <v>92</v>
      </c>
      <c r="P52" s="18" t="s">
        <v>93</v>
      </c>
      <c r="Q52" s="18"/>
      <c r="R52" s="18"/>
    </row>
    <row r="53" customFormat="false" ht="22.35" hidden="false" customHeight="false" outlineLevel="0" collapsed="false">
      <c r="A53" s="16" t="s">
        <v>1382</v>
      </c>
      <c r="B53" s="16" t="s">
        <v>47</v>
      </c>
      <c r="C53" s="16" t="s">
        <v>1331</v>
      </c>
      <c r="D53" s="16" t="s">
        <v>1383</v>
      </c>
      <c r="E53" s="16" t="s">
        <v>1384</v>
      </c>
      <c r="F53" s="16" t="s">
        <v>1334</v>
      </c>
      <c r="G53" s="16" t="s">
        <v>1385</v>
      </c>
      <c r="H53" s="16" t="s">
        <v>54</v>
      </c>
      <c r="I53" s="16" t="s">
        <v>33</v>
      </c>
      <c r="J53" s="16" t="s">
        <v>1149</v>
      </c>
      <c r="K53" s="16" t="s">
        <v>1386</v>
      </c>
      <c r="L53" s="16" t="s">
        <v>115</v>
      </c>
      <c r="M53" s="16" t="s">
        <v>100</v>
      </c>
      <c r="N53" s="16" t="s">
        <v>1387</v>
      </c>
      <c r="O53" s="17" t="s">
        <v>92</v>
      </c>
      <c r="P53" s="18" t="s">
        <v>93</v>
      </c>
      <c r="Q53" s="18"/>
      <c r="R53" s="18"/>
    </row>
    <row r="54" customFormat="false" ht="22.35" hidden="false" customHeight="false" outlineLevel="0" collapsed="false">
      <c r="A54" s="16" t="s">
        <v>1388</v>
      </c>
      <c r="B54" s="16" t="s">
        <v>47</v>
      </c>
      <c r="C54" s="16" t="s">
        <v>1331</v>
      </c>
      <c r="D54" s="16" t="s">
        <v>565</v>
      </c>
      <c r="E54" s="16" t="s">
        <v>1389</v>
      </c>
      <c r="F54" s="16" t="s">
        <v>1334</v>
      </c>
      <c r="G54" s="16" t="s">
        <v>1390</v>
      </c>
      <c r="H54" s="16" t="s">
        <v>54</v>
      </c>
      <c r="I54" s="16" t="s">
        <v>32</v>
      </c>
      <c r="J54" s="16" t="s">
        <v>1149</v>
      </c>
      <c r="K54" s="16" t="s">
        <v>568</v>
      </c>
      <c r="L54" s="16" t="s">
        <v>569</v>
      </c>
      <c r="M54" s="16" t="s">
        <v>100</v>
      </c>
      <c r="N54" s="16" t="s">
        <v>1391</v>
      </c>
      <c r="O54" s="17" t="s">
        <v>92</v>
      </c>
      <c r="P54" s="18" t="s">
        <v>93</v>
      </c>
      <c r="Q54" s="18"/>
      <c r="R54" s="18"/>
    </row>
    <row r="55" customFormat="false" ht="22.35" hidden="false" customHeight="false" outlineLevel="0" collapsed="false">
      <c r="A55" s="16" t="s">
        <v>1392</v>
      </c>
      <c r="B55" s="16" t="s">
        <v>47</v>
      </c>
      <c r="C55" s="16" t="s">
        <v>1331</v>
      </c>
      <c r="D55" s="16" t="s">
        <v>565</v>
      </c>
      <c r="E55" s="16" t="s">
        <v>1393</v>
      </c>
      <c r="F55" s="16" t="s">
        <v>1334</v>
      </c>
      <c r="G55" s="16" t="s">
        <v>1394</v>
      </c>
      <c r="H55" s="16" t="s">
        <v>56</v>
      </c>
      <c r="I55" s="16" t="s">
        <v>32</v>
      </c>
      <c r="J55" s="16" t="s">
        <v>1149</v>
      </c>
      <c r="K55" s="16" t="s">
        <v>568</v>
      </c>
      <c r="L55" s="16" t="s">
        <v>569</v>
      </c>
      <c r="M55" s="16" t="s">
        <v>100</v>
      </c>
      <c r="N55" s="16" t="s">
        <v>1395</v>
      </c>
      <c r="O55" s="17" t="s">
        <v>92</v>
      </c>
      <c r="P55" s="18" t="s">
        <v>93</v>
      </c>
      <c r="Q55" s="18"/>
      <c r="R55" s="18"/>
    </row>
    <row r="56" customFormat="false" ht="22.35" hidden="false" customHeight="false" outlineLevel="0" collapsed="false">
      <c r="A56" s="16" t="s">
        <v>1396</v>
      </c>
      <c r="B56" s="16" t="s">
        <v>47</v>
      </c>
      <c r="C56" s="16" t="s">
        <v>1331</v>
      </c>
      <c r="D56" s="16" t="s">
        <v>368</v>
      </c>
      <c r="E56" s="16" t="s">
        <v>1397</v>
      </c>
      <c r="F56" s="16" t="s">
        <v>1334</v>
      </c>
      <c r="G56" s="16" t="s">
        <v>1398</v>
      </c>
      <c r="H56" s="16" t="s">
        <v>54</v>
      </c>
      <c r="I56" s="16" t="s">
        <v>31</v>
      </c>
      <c r="J56" s="16" t="s">
        <v>1149</v>
      </c>
      <c r="K56" s="16" t="s">
        <v>371</v>
      </c>
      <c r="L56" s="16" t="s">
        <v>761</v>
      </c>
      <c r="M56" s="16" t="s">
        <v>100</v>
      </c>
      <c r="N56" s="16" t="s">
        <v>1399</v>
      </c>
      <c r="O56" s="17" t="s">
        <v>92</v>
      </c>
      <c r="P56" s="18" t="s">
        <v>93</v>
      </c>
      <c r="Q56" s="18"/>
      <c r="R56" s="18"/>
    </row>
    <row r="57" customFormat="false" ht="22.35" hidden="false" customHeight="false" outlineLevel="0" collapsed="false">
      <c r="A57" s="16" t="s">
        <v>1400</v>
      </c>
      <c r="B57" s="16" t="s">
        <v>47</v>
      </c>
      <c r="C57" s="16" t="s">
        <v>1331</v>
      </c>
      <c r="D57" s="16" t="s">
        <v>368</v>
      </c>
      <c r="E57" s="16" t="s">
        <v>1401</v>
      </c>
      <c r="F57" s="16" t="s">
        <v>1334</v>
      </c>
      <c r="G57" s="16" t="s">
        <v>1402</v>
      </c>
      <c r="H57" s="16" t="s">
        <v>56</v>
      </c>
      <c r="I57" s="16" t="s">
        <v>32</v>
      </c>
      <c r="J57" s="16" t="s">
        <v>1149</v>
      </c>
      <c r="K57" s="16" t="s">
        <v>751</v>
      </c>
      <c r="L57" s="16" t="s">
        <v>372</v>
      </c>
      <c r="M57" s="16" t="s">
        <v>100</v>
      </c>
      <c r="N57" s="16" t="s">
        <v>1403</v>
      </c>
      <c r="O57" s="17" t="s">
        <v>92</v>
      </c>
      <c r="P57" s="18" t="s">
        <v>93</v>
      </c>
      <c r="Q57" s="18"/>
      <c r="R57" s="18"/>
    </row>
    <row r="58" customFormat="false" ht="22.35" hidden="false" customHeight="false" outlineLevel="0" collapsed="false">
      <c r="A58" s="16" t="s">
        <v>1404</v>
      </c>
      <c r="B58" s="16" t="s">
        <v>47</v>
      </c>
      <c r="C58" s="16" t="s">
        <v>1405</v>
      </c>
      <c r="D58" s="16" t="s">
        <v>1406</v>
      </c>
      <c r="E58" s="16" t="s">
        <v>1407</v>
      </c>
      <c r="F58" s="16" t="s">
        <v>1408</v>
      </c>
      <c r="G58" s="16" t="s">
        <v>1409</v>
      </c>
      <c r="H58" s="16" t="s">
        <v>60</v>
      </c>
      <c r="I58" s="16" t="s">
        <v>33</v>
      </c>
      <c r="J58" s="16" t="s">
        <v>1149</v>
      </c>
      <c r="K58" s="16" t="s">
        <v>1410</v>
      </c>
      <c r="L58" s="16" t="s">
        <v>1411</v>
      </c>
      <c r="M58" s="16" t="s">
        <v>100</v>
      </c>
      <c r="N58" s="16" t="s">
        <v>1412</v>
      </c>
      <c r="O58" s="17" t="s">
        <v>92</v>
      </c>
      <c r="P58" s="18" t="s">
        <v>93</v>
      </c>
      <c r="Q58" s="18"/>
      <c r="R58" s="18"/>
    </row>
    <row r="59" customFormat="false" ht="22.35" hidden="false" customHeight="false" outlineLevel="0" collapsed="false">
      <c r="A59" s="16" t="s">
        <v>1413</v>
      </c>
      <c r="B59" s="16" t="s">
        <v>47</v>
      </c>
      <c r="C59" s="16" t="s">
        <v>1405</v>
      </c>
      <c r="D59" s="16" t="s">
        <v>1406</v>
      </c>
      <c r="E59" s="16" t="s">
        <v>1414</v>
      </c>
      <c r="F59" s="16" t="s">
        <v>1408</v>
      </c>
      <c r="G59" s="16" t="s">
        <v>1415</v>
      </c>
      <c r="H59" s="16" t="s">
        <v>54</v>
      </c>
      <c r="I59" s="16" t="s">
        <v>33</v>
      </c>
      <c r="J59" s="16" t="s">
        <v>1149</v>
      </c>
      <c r="K59" s="16" t="s">
        <v>387</v>
      </c>
      <c r="L59" s="16" t="s">
        <v>147</v>
      </c>
      <c r="M59" s="16" t="s">
        <v>100</v>
      </c>
      <c r="N59" s="16" t="s">
        <v>1416</v>
      </c>
      <c r="O59" s="17" t="s">
        <v>92</v>
      </c>
      <c r="P59" s="18" t="s">
        <v>93</v>
      </c>
      <c r="Q59" s="18"/>
      <c r="R59" s="18"/>
    </row>
    <row r="60" customFormat="false" ht="22.35" hidden="false" customHeight="false" outlineLevel="0" collapsed="false">
      <c r="A60" s="16" t="s">
        <v>1417</v>
      </c>
      <c r="B60" s="16" t="s">
        <v>47</v>
      </c>
      <c r="C60" s="16" t="s">
        <v>1405</v>
      </c>
      <c r="D60" s="16" t="s">
        <v>1406</v>
      </c>
      <c r="E60" s="16" t="s">
        <v>1418</v>
      </c>
      <c r="F60" s="16" t="s">
        <v>1408</v>
      </c>
      <c r="G60" s="16" t="s">
        <v>1419</v>
      </c>
      <c r="H60" s="16" t="s">
        <v>54</v>
      </c>
      <c r="I60" s="16" t="s">
        <v>32</v>
      </c>
      <c r="J60" s="16" t="s">
        <v>1149</v>
      </c>
      <c r="K60" s="16" t="s">
        <v>140</v>
      </c>
      <c r="L60" s="16" t="s">
        <v>141</v>
      </c>
      <c r="M60" s="16" t="s">
        <v>100</v>
      </c>
      <c r="N60" s="16" t="s">
        <v>1420</v>
      </c>
      <c r="O60" s="17" t="s">
        <v>92</v>
      </c>
      <c r="P60" s="18" t="s">
        <v>93</v>
      </c>
      <c r="Q60" s="18"/>
      <c r="R60" s="18"/>
    </row>
    <row r="61" customFormat="false" ht="22.35" hidden="false" customHeight="false" outlineLevel="0" collapsed="false">
      <c r="A61" s="16" t="s">
        <v>1421</v>
      </c>
      <c r="B61" s="16" t="s">
        <v>47</v>
      </c>
      <c r="C61" s="16" t="s">
        <v>1405</v>
      </c>
      <c r="D61" s="16" t="s">
        <v>1422</v>
      </c>
      <c r="E61" s="16" t="s">
        <v>1423</v>
      </c>
      <c r="F61" s="16" t="s">
        <v>1408</v>
      </c>
      <c r="G61" s="16" t="s">
        <v>1424</v>
      </c>
      <c r="H61" s="16" t="s">
        <v>54</v>
      </c>
      <c r="I61" s="16" t="s">
        <v>31</v>
      </c>
      <c r="J61" s="16" t="s">
        <v>1149</v>
      </c>
      <c r="K61" s="16" t="s">
        <v>235</v>
      </c>
      <c r="L61" s="16" t="s">
        <v>272</v>
      </c>
      <c r="M61" s="16" t="s">
        <v>100</v>
      </c>
      <c r="N61" s="16" t="s">
        <v>1425</v>
      </c>
      <c r="O61" s="17" t="s">
        <v>92</v>
      </c>
      <c r="P61" s="18" t="s">
        <v>93</v>
      </c>
      <c r="Q61" s="18"/>
      <c r="R61" s="18"/>
    </row>
    <row r="62" customFormat="false" ht="22.35" hidden="false" customHeight="false" outlineLevel="0" collapsed="false">
      <c r="A62" s="16" t="s">
        <v>1426</v>
      </c>
      <c r="B62" s="16" t="s">
        <v>47</v>
      </c>
      <c r="C62" s="16" t="s">
        <v>1405</v>
      </c>
      <c r="D62" s="16" t="s">
        <v>1422</v>
      </c>
      <c r="E62" s="16" t="s">
        <v>1427</v>
      </c>
      <c r="F62" s="16" t="s">
        <v>1408</v>
      </c>
      <c r="G62" s="16" t="s">
        <v>1428</v>
      </c>
      <c r="H62" s="16" t="s">
        <v>54</v>
      </c>
      <c r="I62" s="16" t="s">
        <v>32</v>
      </c>
      <c r="J62" s="16" t="s">
        <v>1149</v>
      </c>
      <c r="K62" s="16" t="s">
        <v>426</v>
      </c>
      <c r="L62" s="16" t="s">
        <v>272</v>
      </c>
      <c r="M62" s="16" t="s">
        <v>100</v>
      </c>
      <c r="N62" s="16" t="s">
        <v>1429</v>
      </c>
      <c r="O62" s="17" t="s">
        <v>92</v>
      </c>
      <c r="P62" s="18" t="s">
        <v>93</v>
      </c>
      <c r="Q62" s="18"/>
      <c r="R62" s="18"/>
    </row>
    <row r="63" customFormat="false" ht="22.35" hidden="false" customHeight="false" outlineLevel="0" collapsed="false">
      <c r="A63" s="16" t="s">
        <v>1430</v>
      </c>
      <c r="B63" s="16" t="s">
        <v>47</v>
      </c>
      <c r="C63" s="16" t="s">
        <v>1405</v>
      </c>
      <c r="D63" s="16" t="s">
        <v>1422</v>
      </c>
      <c r="E63" s="16" t="s">
        <v>510</v>
      </c>
      <c r="F63" s="16" t="s">
        <v>1408</v>
      </c>
      <c r="G63" s="16" t="s">
        <v>1431</v>
      </c>
      <c r="H63" s="16" t="s">
        <v>54</v>
      </c>
      <c r="I63" s="16" t="s">
        <v>33</v>
      </c>
      <c r="J63" s="16" t="s">
        <v>1149</v>
      </c>
      <c r="K63" s="16" t="s">
        <v>426</v>
      </c>
      <c r="L63" s="16" t="s">
        <v>272</v>
      </c>
      <c r="M63" s="16" t="s">
        <v>100</v>
      </c>
      <c r="N63" s="16" t="s">
        <v>1432</v>
      </c>
      <c r="O63" s="17" t="s">
        <v>92</v>
      </c>
      <c r="P63" s="18" t="s">
        <v>93</v>
      </c>
      <c r="Q63" s="18"/>
      <c r="R63" s="18"/>
    </row>
    <row r="64" customFormat="false" ht="22.35" hidden="false" customHeight="false" outlineLevel="0" collapsed="false">
      <c r="A64" s="16" t="s">
        <v>1433</v>
      </c>
      <c r="B64" s="16" t="s">
        <v>47</v>
      </c>
      <c r="C64" s="16" t="s">
        <v>1405</v>
      </c>
      <c r="D64" s="16" t="s">
        <v>1422</v>
      </c>
      <c r="E64" s="16" t="s">
        <v>1434</v>
      </c>
      <c r="F64" s="16" t="s">
        <v>1408</v>
      </c>
      <c r="G64" s="16" t="s">
        <v>1435</v>
      </c>
      <c r="H64" s="16" t="s">
        <v>54</v>
      </c>
      <c r="I64" s="16" t="s">
        <v>33</v>
      </c>
      <c r="J64" s="16" t="s">
        <v>1149</v>
      </c>
      <c r="K64" s="16" t="s">
        <v>387</v>
      </c>
      <c r="L64" s="16" t="s">
        <v>272</v>
      </c>
      <c r="M64" s="16" t="s">
        <v>100</v>
      </c>
      <c r="N64" s="16" t="s">
        <v>1436</v>
      </c>
      <c r="O64" s="17" t="s">
        <v>92</v>
      </c>
      <c r="P64" s="18" t="s">
        <v>93</v>
      </c>
      <c r="Q64" s="18"/>
      <c r="R64" s="18"/>
    </row>
    <row r="65" customFormat="false" ht="22.35" hidden="false" customHeight="false" outlineLevel="0" collapsed="false">
      <c r="A65" s="16" t="s">
        <v>1437</v>
      </c>
      <c r="B65" s="16" t="s">
        <v>47</v>
      </c>
      <c r="C65" s="16" t="s">
        <v>1405</v>
      </c>
      <c r="D65" s="16" t="s">
        <v>1422</v>
      </c>
      <c r="E65" s="16" t="s">
        <v>1438</v>
      </c>
      <c r="F65" s="16" t="s">
        <v>1408</v>
      </c>
      <c r="G65" s="16" t="s">
        <v>1439</v>
      </c>
      <c r="H65" s="16" t="s">
        <v>54</v>
      </c>
      <c r="I65" s="16" t="s">
        <v>34</v>
      </c>
      <c r="J65" s="16" t="s">
        <v>1149</v>
      </c>
      <c r="K65" s="16" t="s">
        <v>426</v>
      </c>
      <c r="L65" s="16" t="s">
        <v>272</v>
      </c>
      <c r="M65" s="16" t="s">
        <v>100</v>
      </c>
      <c r="N65" s="16" t="s">
        <v>1436</v>
      </c>
      <c r="O65" s="17" t="s">
        <v>92</v>
      </c>
      <c r="P65" s="18" t="s">
        <v>93</v>
      </c>
      <c r="Q65" s="18"/>
      <c r="R65" s="18"/>
    </row>
    <row r="66" customFormat="false" ht="22.35" hidden="false" customHeight="false" outlineLevel="0" collapsed="false">
      <c r="A66" s="16" t="s">
        <v>1440</v>
      </c>
      <c r="B66" s="16" t="s">
        <v>47</v>
      </c>
      <c r="C66" s="16" t="s">
        <v>1405</v>
      </c>
      <c r="D66" s="16" t="s">
        <v>1422</v>
      </c>
      <c r="E66" s="16" t="s">
        <v>1441</v>
      </c>
      <c r="F66" s="16" t="s">
        <v>1408</v>
      </c>
      <c r="G66" s="16" t="s">
        <v>1442</v>
      </c>
      <c r="H66" s="16" t="s">
        <v>54</v>
      </c>
      <c r="I66" s="16" t="s">
        <v>33</v>
      </c>
      <c r="J66" s="16" t="s">
        <v>1149</v>
      </c>
      <c r="K66" s="16" t="s">
        <v>179</v>
      </c>
      <c r="L66" s="16" t="s">
        <v>272</v>
      </c>
      <c r="M66" s="16" t="s">
        <v>100</v>
      </c>
      <c r="N66" s="16" t="s">
        <v>1443</v>
      </c>
      <c r="O66" s="17" t="s">
        <v>92</v>
      </c>
      <c r="P66" s="18" t="s">
        <v>93</v>
      </c>
      <c r="Q66" s="18"/>
      <c r="R66" s="18"/>
    </row>
    <row r="67" customFormat="false" ht="22.35" hidden="false" customHeight="false" outlineLevel="0" collapsed="false">
      <c r="A67" s="16" t="s">
        <v>1444</v>
      </c>
      <c r="B67" s="16" t="s">
        <v>47</v>
      </c>
      <c r="C67" s="16" t="s">
        <v>1405</v>
      </c>
      <c r="D67" s="16" t="s">
        <v>1422</v>
      </c>
      <c r="E67" s="16" t="s">
        <v>1445</v>
      </c>
      <c r="F67" s="16" t="s">
        <v>1408</v>
      </c>
      <c r="G67" s="16" t="s">
        <v>1446</v>
      </c>
      <c r="H67" s="16" t="s">
        <v>54</v>
      </c>
      <c r="I67" s="16" t="s">
        <v>34</v>
      </c>
      <c r="J67" s="16" t="s">
        <v>1149</v>
      </c>
      <c r="K67" s="16" t="s">
        <v>387</v>
      </c>
      <c r="L67" s="16" t="s">
        <v>147</v>
      </c>
      <c r="M67" s="16" t="s">
        <v>100</v>
      </c>
      <c r="N67" s="16" t="s">
        <v>1436</v>
      </c>
      <c r="O67" s="17" t="s">
        <v>92</v>
      </c>
      <c r="P67" s="18" t="s">
        <v>93</v>
      </c>
      <c r="Q67" s="18"/>
      <c r="R67" s="18"/>
    </row>
    <row r="68" customFormat="false" ht="22.35" hidden="false" customHeight="false" outlineLevel="0" collapsed="false">
      <c r="A68" s="16" t="s">
        <v>1447</v>
      </c>
      <c r="B68" s="16" t="s">
        <v>47</v>
      </c>
      <c r="C68" s="16" t="s">
        <v>1405</v>
      </c>
      <c r="D68" s="16" t="s">
        <v>473</v>
      </c>
      <c r="E68" s="16" t="s">
        <v>1448</v>
      </c>
      <c r="F68" s="16" t="s">
        <v>1408</v>
      </c>
      <c r="G68" s="16" t="s">
        <v>1449</v>
      </c>
      <c r="H68" s="16" t="s">
        <v>54</v>
      </c>
      <c r="I68" s="16" t="s">
        <v>31</v>
      </c>
      <c r="J68" s="16" t="s">
        <v>1149</v>
      </c>
      <c r="K68" s="16" t="s">
        <v>330</v>
      </c>
      <c r="L68" s="16" t="s">
        <v>1019</v>
      </c>
      <c r="M68" s="16" t="s">
        <v>332</v>
      </c>
      <c r="N68" s="16" t="s">
        <v>1450</v>
      </c>
      <c r="O68" s="17" t="s">
        <v>92</v>
      </c>
      <c r="P68" s="18" t="s">
        <v>93</v>
      </c>
      <c r="Q68" s="18"/>
      <c r="R68" s="18"/>
    </row>
    <row r="69" customFormat="false" ht="22.35" hidden="false" customHeight="false" outlineLevel="0" collapsed="false">
      <c r="A69" s="16" t="s">
        <v>1451</v>
      </c>
      <c r="B69" s="16" t="s">
        <v>47</v>
      </c>
      <c r="C69" s="16" t="s">
        <v>1405</v>
      </c>
      <c r="D69" s="16" t="s">
        <v>473</v>
      </c>
      <c r="E69" s="16" t="s">
        <v>1452</v>
      </c>
      <c r="F69" s="16" t="s">
        <v>1408</v>
      </c>
      <c r="G69" s="16" t="s">
        <v>1453</v>
      </c>
      <c r="H69" s="16" t="s">
        <v>56</v>
      </c>
      <c r="I69" s="16" t="s">
        <v>31</v>
      </c>
      <c r="J69" s="16" t="s">
        <v>1149</v>
      </c>
      <c r="K69" s="16" t="s">
        <v>330</v>
      </c>
      <c r="L69" s="16" t="s">
        <v>481</v>
      </c>
      <c r="M69" s="16" t="s">
        <v>394</v>
      </c>
      <c r="N69" s="16" t="s">
        <v>1454</v>
      </c>
      <c r="O69" s="17" t="s">
        <v>92</v>
      </c>
      <c r="P69" s="18" t="s">
        <v>93</v>
      </c>
      <c r="Q69" s="18"/>
      <c r="R69" s="18"/>
    </row>
    <row r="70" customFormat="false" ht="22.35" hidden="false" customHeight="false" outlineLevel="0" collapsed="false">
      <c r="A70" s="16" t="s">
        <v>1455</v>
      </c>
      <c r="B70" s="16" t="s">
        <v>47</v>
      </c>
      <c r="C70" s="16" t="s">
        <v>1405</v>
      </c>
      <c r="D70" s="16" t="s">
        <v>473</v>
      </c>
      <c r="E70" s="16" t="s">
        <v>1456</v>
      </c>
      <c r="F70" s="16" t="s">
        <v>1408</v>
      </c>
      <c r="G70" s="16" t="s">
        <v>1457</v>
      </c>
      <c r="H70" s="16" t="s">
        <v>54</v>
      </c>
      <c r="I70" s="16" t="s">
        <v>31</v>
      </c>
      <c r="J70" s="16" t="s">
        <v>1149</v>
      </c>
      <c r="K70" s="16" t="s">
        <v>1458</v>
      </c>
      <c r="L70" s="16" t="s">
        <v>1459</v>
      </c>
      <c r="M70" s="16" t="s">
        <v>307</v>
      </c>
      <c r="N70" s="16" t="s">
        <v>1460</v>
      </c>
      <c r="O70" s="17" t="s">
        <v>92</v>
      </c>
      <c r="P70" s="18" t="s">
        <v>93</v>
      </c>
      <c r="Q70" s="18"/>
      <c r="R70" s="18"/>
    </row>
  </sheetData>
  <autoFilter ref="A1:R70"/>
  <conditionalFormatting sqref="I2:I70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dataValidations count="2">
    <dataValidation allowBlank="true" errorStyle="stop" operator="between" showDropDown="false" showErrorMessage="false" showInputMessage="false" sqref="P2:P70" type="list">
      <formula1>"Not started,In progress,Implemented,Partially implemented,Not applicable,Risk accepted"</formula1>
      <formula2>0</formula2>
    </dataValidation>
    <dataValidation allowBlank="false" errorStyle="stop" operator="between" showDropDown="false" showErrorMessage="false" showInputMessage="false" sqref="I2:I70" type="list">
      <formula1>"Critical,High,Medium,Low"</formula1>
      <formula2>0</formula2>
    </dataValidation>
  </dataValidations>
  <hyperlinks>
    <hyperlink ref="O2" r:id="rId1" location="req-use-clear-names" display="Open spec"/>
    <hyperlink ref="O3" r:id="rId2" location="req-use-glossary" display="Open spec"/>
    <hyperlink ref="O4" r:id="rId3" location="req-use-language-styleguide" display="Open spec"/>
    <hyperlink ref="O5" r:id="rId4" location="req-use-styleguide" display="Open spec"/>
    <hyperlink ref="O6" r:id="rId5" location="req-use-modular-code" display="Open spec"/>
    <hyperlink ref="O7" r:id="rId6" location="req-use-concise-methods" display="Open spec"/>
    <hyperlink ref="O8" r:id="rId7" location="req-document-dependencies" display="Open spec"/>
    <hyperlink ref="O9" r:id="rId8" location="req-use-open-source" display="Open spec"/>
    <hyperlink ref="O10" r:id="rId9" location="req-use-consistent-steps" display="Open spec"/>
    <hyperlink ref="O11" r:id="rId10" location="req-document-external-dependencies" display="Open spec"/>
    <hyperlink ref="O12" r:id="rId11" location="req-manage-dependencies-externally" display="Open spec"/>
    <hyperlink ref="O13" r:id="rId12" location="req-use-oracles-carefully" display="Open spec"/>
    <hyperlink ref="O14" r:id="rId13" location="req-use-version-control" display="Open spec"/>
    <hyperlink ref="O15" r:id="rId14" location="req-make-atomic-commits" display="Open spec"/>
    <hyperlink ref="O16" r:id="rId15" location="req-tag-releases" display="Open spec"/>
    <hyperlink ref="O17" r:id="rId16" location="req-tag-verifiable-source" display="Open spec"/>
    <hyperlink ref="O18" r:id="rId17" location="req-log-automation" display="Open spec"/>
    <hyperlink ref="O19" r:id="rId18" location="req-document-public-api" display="Open spec"/>
    <hyperlink ref="O20" r:id="rId19" location="req-document-sensitive-functions" display="Open spec"/>
    <hyperlink ref="O21" r:id="rId20" location="req-explain-functions-inline" display="Open spec"/>
    <hyperlink ref="O22" r:id="rId21" location="req-document-cryptography" display="Open spec"/>
    <hyperlink ref="O23" r:id="rId22" location="req-allow-cryptography-upgrades" display="Open spec"/>
    <hyperlink ref="O24" r:id="rId23" location="req-assess-cryptography-risk" display="Open spec"/>
    <hyperlink ref="O25" r:id="rId24" location="req-provide-tests" display="Open spec"/>
    <hyperlink ref="O26" r:id="rId25" location="req-independent-tests" display="Open spec"/>
    <hyperlink ref="O27" r:id="rId26" location="req-define-invariants" display="Open spec"/>
    <hyperlink ref="O28" r:id="rId27" location="req-updated-test-suite" display="Open spec"/>
    <hyperlink ref="O29" r:id="rId28" location="req-test-edge-cases" display="Open spec"/>
    <hyperlink ref="O30" r:id="rId29" location="req-run-tests-locally" display="Open spec"/>
    <hyperlink ref="O31" r:id="rId30" location="req-use-test-helpers" display="Open spec"/>
    <hyperlink ref="O32" r:id="rId31" location="req-use-testing-standards" display="Open spec"/>
    <hyperlink ref="O33" r:id="rId32" location="req-security-audit" display="Open spec"/>
    <hyperlink ref="O34" r:id="rId33" location="req-independent-auditors" display="Open spec"/>
    <hyperlink ref="O35" r:id="rId34" location="req-scope-audit-sufficiently" display="Open spec"/>
    <hyperlink ref="O36" r:id="rId35" location="req-publish-code-audits" display="Open spec"/>
    <hyperlink ref="O37" r:id="rId36" location="req-reaudit-changes" display="Open spec"/>
    <hyperlink ref="O38" r:id="rId37" location="req-use-testnets" display="Open spec"/>
    <hyperlink ref="O39" r:id="rId38" location="req-document-networks" display="Open spec"/>
    <hyperlink ref="O40" r:id="rId39" location="req-deterministic-compilation" display="Open spec"/>
    <hyperlink ref="O41" r:id="rId40" location="req-provide-compilation-metadata" display="Open spec"/>
    <hyperlink ref="O42" r:id="rId41" location="req-pub-verification" display="Open spec"/>
    <hyperlink ref="O43" r:id="rId42" location="req-publish-source" display="Open spec"/>
    <hyperlink ref="O44" r:id="rId43" location="req-document-overall-system" display="Open spec"/>
    <hyperlink ref="O45" r:id="rId44" location="req-identify-contracts-used" display="Open spec"/>
    <hyperlink ref="O46" r:id="rId45" location="req-identify-security-contact" display="Open spec"/>
    <hyperlink ref="O47" r:id="rId46" location="req-document-security-contact" display="Open spec"/>
    <hyperlink ref="O48" r:id="rId47" location="req-24-7-security-response" display="Open spec"/>
    <hyperlink ref="O49" r:id="rId48" location="req-assess-risk-regularly" display="Open spec"/>
    <hyperlink ref="O50" r:id="rId49" location="req-use-monitoring" display="Open spec"/>
    <hyperlink ref="O51" r:id="rId50" location="req-monitoring-triggers-response" display="Open spec"/>
    <hyperlink ref="O52" r:id="rId51" location="req-use-transaction-screening" display="Open spec"/>
    <hyperlink ref="O53" r:id="rId52" location="req-update-security-process" display="Open spec"/>
    <hyperlink ref="O54" r:id="rId53" location="req-vulnerability-disclosure" display="Open spec"/>
    <hyperlink ref="O55" r:id="rId54" location="req-bug-bounty" display="Open spec"/>
    <hyperlink ref="O56" r:id="rId55" location="req-plan-incident-response" display="Open spec"/>
    <hyperlink ref="O57" r:id="rId56" location="req-maintain-incident-response" display="Open spec"/>
    <hyperlink ref="O58" r:id="rId57" location="req-document-governance" display="Open spec"/>
    <hyperlink ref="O59" r:id="rId58" location="req-update-documentation" display="Open spec"/>
    <hyperlink ref="O60" r:id="rId59" location="req-identify-governance-participants" display="Open spec"/>
    <hyperlink ref="O61" r:id="rId60" location="req-use-safeguards" display="Open spec"/>
    <hyperlink ref="O62" r:id="rId61" location="req-document-upgradability" display="Open spec"/>
    <hyperlink ref="O63" r:id="rId62" location="req-document-upgradable-components" display="Open spec"/>
    <hyperlink ref="O64" r:id="rId63" location="req-document-upgrade-safeguards" display="Open spec"/>
    <hyperlink ref="O65" r:id="rId64" location="req-document-upgrade-logic" display="Open spec"/>
    <hyperlink ref="O66" r:id="rId65" location="req-document-upgrade-process" display="Open spec"/>
    <hyperlink ref="O67" r:id="rId66" location="req-document-upgrade-comms" display="Open spec"/>
    <hyperlink ref="O68" r:id="rId67" location="req-limit-privileged-roles" display="Open spec"/>
    <hyperlink ref="O69" r:id="rId68" location="req-decentralize-privileged-roles" display="Open spec"/>
    <hyperlink ref="O70" r:id="rId69" location="req-secure-privileged-roles" display="Open sp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4" min="14" style="0" width="44"/>
    <col collapsed="false" customWidth="true" hidden="fals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24"/>
  </cols>
  <sheetData>
    <row r="1" customFormat="false" ht="31.5" hidden="false" customHeight="true" outlineLevel="0" collapsed="false">
      <c r="A1" s="8" t="s">
        <v>64</v>
      </c>
      <c r="B1" s="8" t="s">
        <v>28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</row>
    <row r="2" customFormat="false" ht="22.35" hidden="false" customHeight="false" outlineLevel="0" collapsed="false">
      <c r="A2" s="16" t="s">
        <v>1461</v>
      </c>
      <c r="B2" s="16" t="s">
        <v>50</v>
      </c>
      <c r="C2" s="16" t="s">
        <v>1462</v>
      </c>
      <c r="D2" s="16" t="s">
        <v>1463</v>
      </c>
      <c r="E2" s="16" t="s">
        <v>1464</v>
      </c>
      <c r="F2" s="16" t="s">
        <v>1465</v>
      </c>
      <c r="G2" s="16" t="s">
        <v>1466</v>
      </c>
      <c r="H2" s="16" t="s">
        <v>56</v>
      </c>
      <c r="I2" s="16" t="s">
        <v>32</v>
      </c>
      <c r="J2" s="16" t="s">
        <v>1467</v>
      </c>
      <c r="K2" s="16" t="s">
        <v>1468</v>
      </c>
      <c r="L2" s="16" t="s">
        <v>1469</v>
      </c>
      <c r="M2" s="16" t="s">
        <v>100</v>
      </c>
      <c r="N2" s="16" t="s">
        <v>1470</v>
      </c>
      <c r="O2" s="17" t="s">
        <v>92</v>
      </c>
      <c r="P2" s="18" t="s">
        <v>93</v>
      </c>
      <c r="Q2" s="18"/>
      <c r="R2" s="18"/>
    </row>
    <row r="3" customFormat="false" ht="22.35" hidden="false" customHeight="false" outlineLevel="0" collapsed="false">
      <c r="A3" s="16" t="s">
        <v>1471</v>
      </c>
      <c r="B3" s="16" t="s">
        <v>50</v>
      </c>
      <c r="C3" s="16" t="s">
        <v>1462</v>
      </c>
      <c r="D3" s="16" t="s">
        <v>1463</v>
      </c>
      <c r="E3" s="16" t="s">
        <v>1472</v>
      </c>
      <c r="F3" s="16" t="s">
        <v>1465</v>
      </c>
      <c r="G3" s="16" t="s">
        <v>1473</v>
      </c>
      <c r="H3" s="16" t="s">
        <v>56</v>
      </c>
      <c r="I3" s="16" t="s">
        <v>32</v>
      </c>
      <c r="J3" s="16" t="s">
        <v>1467</v>
      </c>
      <c r="K3" s="16" t="s">
        <v>1474</v>
      </c>
      <c r="L3" s="16" t="s">
        <v>1475</v>
      </c>
      <c r="M3" s="16" t="s">
        <v>100</v>
      </c>
      <c r="N3" s="16" t="s">
        <v>1476</v>
      </c>
      <c r="O3" s="17" t="s">
        <v>92</v>
      </c>
      <c r="P3" s="18" t="s">
        <v>93</v>
      </c>
      <c r="Q3" s="18"/>
      <c r="R3" s="18"/>
    </row>
    <row r="4" customFormat="false" ht="22.35" hidden="false" customHeight="false" outlineLevel="0" collapsed="false">
      <c r="A4" s="16" t="s">
        <v>1477</v>
      </c>
      <c r="B4" s="16" t="s">
        <v>50</v>
      </c>
      <c r="C4" s="16" t="s">
        <v>1462</v>
      </c>
      <c r="D4" s="16" t="s">
        <v>1478</v>
      </c>
      <c r="E4" s="16" t="s">
        <v>1479</v>
      </c>
      <c r="F4" s="16" t="s">
        <v>1465</v>
      </c>
      <c r="G4" s="16" t="s">
        <v>1480</v>
      </c>
      <c r="H4" s="16" t="s">
        <v>56</v>
      </c>
      <c r="I4" s="16" t="s">
        <v>33</v>
      </c>
      <c r="J4" s="16" t="s">
        <v>1467</v>
      </c>
      <c r="K4" s="16" t="s">
        <v>1481</v>
      </c>
      <c r="L4" s="16" t="s">
        <v>1482</v>
      </c>
      <c r="M4" s="16" t="s">
        <v>100</v>
      </c>
      <c r="N4" s="16" t="s">
        <v>1483</v>
      </c>
      <c r="O4" s="17" t="s">
        <v>92</v>
      </c>
      <c r="P4" s="18" t="s">
        <v>93</v>
      </c>
      <c r="Q4" s="18"/>
      <c r="R4" s="18"/>
    </row>
    <row r="5" customFormat="false" ht="15" hidden="false" customHeight="false" outlineLevel="0" collapsed="false">
      <c r="A5" s="16" t="s">
        <v>1484</v>
      </c>
      <c r="B5" s="16" t="s">
        <v>50</v>
      </c>
      <c r="C5" s="16" t="s">
        <v>1462</v>
      </c>
      <c r="D5" s="16" t="s">
        <v>1485</v>
      </c>
      <c r="E5" s="16" t="s">
        <v>1486</v>
      </c>
      <c r="F5" s="16" t="s">
        <v>1465</v>
      </c>
      <c r="G5" s="16" t="s">
        <v>1487</v>
      </c>
      <c r="H5" s="16" t="s">
        <v>56</v>
      </c>
      <c r="I5" s="16" t="s">
        <v>33</v>
      </c>
      <c r="J5" s="16" t="s">
        <v>1467</v>
      </c>
      <c r="K5" s="16" t="s">
        <v>1488</v>
      </c>
      <c r="L5" s="16" t="s">
        <v>1489</v>
      </c>
      <c r="M5" s="16" t="s">
        <v>100</v>
      </c>
      <c r="N5" s="16" t="s">
        <v>1490</v>
      </c>
      <c r="O5" s="17" t="s">
        <v>92</v>
      </c>
      <c r="P5" s="18" t="s">
        <v>93</v>
      </c>
      <c r="Q5" s="18"/>
      <c r="R5" s="18"/>
    </row>
    <row r="6" customFormat="false" ht="15" hidden="false" customHeight="false" outlineLevel="0" collapsed="false">
      <c r="A6" s="16" t="s">
        <v>1491</v>
      </c>
      <c r="B6" s="16" t="s">
        <v>50</v>
      </c>
      <c r="C6" s="16" t="s">
        <v>1462</v>
      </c>
      <c r="D6" s="16" t="s">
        <v>1492</v>
      </c>
      <c r="E6" s="16" t="s">
        <v>1493</v>
      </c>
      <c r="F6" s="16" t="s">
        <v>1465</v>
      </c>
      <c r="G6" s="16" t="s">
        <v>1494</v>
      </c>
      <c r="H6" s="16" t="s">
        <v>56</v>
      </c>
      <c r="I6" s="16" t="s">
        <v>34</v>
      </c>
      <c r="J6" s="16" t="s">
        <v>1467</v>
      </c>
      <c r="K6" s="16" t="s">
        <v>387</v>
      </c>
      <c r="L6" s="16" t="s">
        <v>388</v>
      </c>
      <c r="M6" s="16" t="s">
        <v>100</v>
      </c>
      <c r="N6" s="16" t="s">
        <v>1495</v>
      </c>
      <c r="O6" s="17" t="s">
        <v>92</v>
      </c>
      <c r="P6" s="18" t="s">
        <v>93</v>
      </c>
      <c r="Q6" s="18"/>
      <c r="R6" s="18"/>
    </row>
    <row r="7" customFormat="false" ht="15" hidden="false" customHeight="false" outlineLevel="0" collapsed="false">
      <c r="A7" s="16" t="s">
        <v>1496</v>
      </c>
      <c r="B7" s="16" t="s">
        <v>50</v>
      </c>
      <c r="C7" s="16" t="s">
        <v>1462</v>
      </c>
      <c r="D7" s="16" t="s">
        <v>1497</v>
      </c>
      <c r="E7" s="16" t="s">
        <v>1498</v>
      </c>
      <c r="F7" s="16" t="s">
        <v>1465</v>
      </c>
      <c r="G7" s="16" t="s">
        <v>1499</v>
      </c>
      <c r="H7" s="16" t="s">
        <v>56</v>
      </c>
      <c r="I7" s="16" t="s">
        <v>32</v>
      </c>
      <c r="J7" s="16" t="s">
        <v>1467</v>
      </c>
      <c r="K7" s="16" t="s">
        <v>159</v>
      </c>
      <c r="L7" s="16" t="s">
        <v>160</v>
      </c>
      <c r="M7" s="16" t="s">
        <v>100</v>
      </c>
      <c r="N7" s="16" t="s">
        <v>1500</v>
      </c>
      <c r="O7" s="17" t="s">
        <v>92</v>
      </c>
      <c r="P7" s="18" t="s">
        <v>93</v>
      </c>
      <c r="Q7" s="18"/>
      <c r="R7" s="18"/>
    </row>
    <row r="8" customFormat="false" ht="22.35" hidden="false" customHeight="false" outlineLevel="0" collapsed="false">
      <c r="A8" s="16" t="s">
        <v>1501</v>
      </c>
      <c r="B8" s="16" t="s">
        <v>50</v>
      </c>
      <c r="C8" s="16" t="s">
        <v>1462</v>
      </c>
      <c r="D8" s="16" t="s">
        <v>1502</v>
      </c>
      <c r="E8" s="16" t="s">
        <v>1503</v>
      </c>
      <c r="F8" s="16" t="s">
        <v>1465</v>
      </c>
      <c r="G8" s="16" t="s">
        <v>1504</v>
      </c>
      <c r="H8" s="16" t="s">
        <v>56</v>
      </c>
      <c r="I8" s="16" t="s">
        <v>32</v>
      </c>
      <c r="J8" s="16" t="s">
        <v>1467</v>
      </c>
      <c r="K8" s="16" t="s">
        <v>1505</v>
      </c>
      <c r="L8" s="16" t="s">
        <v>1506</v>
      </c>
      <c r="M8" s="16" t="s">
        <v>100</v>
      </c>
      <c r="N8" s="16" t="s">
        <v>1507</v>
      </c>
      <c r="O8" s="17" t="s">
        <v>92</v>
      </c>
      <c r="P8" s="18" t="s">
        <v>93</v>
      </c>
      <c r="Q8" s="18"/>
      <c r="R8" s="18"/>
    </row>
    <row r="9" customFormat="false" ht="15" hidden="false" customHeight="false" outlineLevel="0" collapsed="false">
      <c r="A9" s="16" t="s">
        <v>1508</v>
      </c>
      <c r="B9" s="16" t="s">
        <v>50</v>
      </c>
      <c r="C9" s="16" t="s">
        <v>1462</v>
      </c>
      <c r="D9" s="16" t="s">
        <v>1509</v>
      </c>
      <c r="E9" s="16" t="s">
        <v>1510</v>
      </c>
      <c r="F9" s="16" t="s">
        <v>1465</v>
      </c>
      <c r="G9" s="16" t="s">
        <v>1511</v>
      </c>
      <c r="H9" s="16" t="s">
        <v>56</v>
      </c>
      <c r="I9" s="16" t="s">
        <v>33</v>
      </c>
      <c r="J9" s="16" t="s">
        <v>1467</v>
      </c>
      <c r="K9" s="16" t="s">
        <v>735</v>
      </c>
      <c r="L9" s="16" t="s">
        <v>89</v>
      </c>
      <c r="M9" s="16" t="s">
        <v>100</v>
      </c>
      <c r="N9" s="16" t="s">
        <v>1512</v>
      </c>
      <c r="O9" s="17" t="s">
        <v>92</v>
      </c>
      <c r="P9" s="18" t="s">
        <v>93</v>
      </c>
      <c r="Q9" s="18"/>
      <c r="R9" s="18"/>
    </row>
    <row r="10" customFormat="false" ht="15" hidden="false" customHeight="false" outlineLevel="0" collapsed="false">
      <c r="A10" s="16" t="s">
        <v>1513</v>
      </c>
      <c r="B10" s="16" t="s">
        <v>50</v>
      </c>
      <c r="C10" s="16" t="s">
        <v>1514</v>
      </c>
      <c r="D10" s="16" t="s">
        <v>104</v>
      </c>
      <c r="E10" s="16" t="s">
        <v>1515</v>
      </c>
      <c r="F10" s="16" t="s">
        <v>1516</v>
      </c>
      <c r="G10" s="16" t="s">
        <v>1517</v>
      </c>
      <c r="H10" s="16" t="s">
        <v>56</v>
      </c>
      <c r="I10" s="16" t="s">
        <v>32</v>
      </c>
      <c r="J10" s="16" t="s">
        <v>1467</v>
      </c>
      <c r="K10" s="16" t="s">
        <v>171</v>
      </c>
      <c r="L10" s="16" t="s">
        <v>1518</v>
      </c>
      <c r="M10" s="16" t="s">
        <v>100</v>
      </c>
      <c r="N10" s="16" t="s">
        <v>1519</v>
      </c>
      <c r="O10" s="17" t="s">
        <v>92</v>
      </c>
      <c r="P10" s="18" t="s">
        <v>93</v>
      </c>
      <c r="Q10" s="18"/>
      <c r="R10" s="18"/>
    </row>
    <row r="11" customFormat="false" ht="22.35" hidden="false" customHeight="false" outlineLevel="0" collapsed="false">
      <c r="A11" s="16" t="s">
        <v>1520</v>
      </c>
      <c r="B11" s="16" t="s">
        <v>50</v>
      </c>
      <c r="C11" s="16" t="s">
        <v>1514</v>
      </c>
      <c r="D11" s="16" t="s">
        <v>1521</v>
      </c>
      <c r="E11" s="16" t="s">
        <v>1522</v>
      </c>
      <c r="F11" s="16" t="s">
        <v>1516</v>
      </c>
      <c r="G11" s="16" t="s">
        <v>1523</v>
      </c>
      <c r="H11" s="16" t="s">
        <v>56</v>
      </c>
      <c r="I11" s="16" t="s">
        <v>31</v>
      </c>
      <c r="J11" s="16" t="s">
        <v>1524</v>
      </c>
      <c r="K11" s="16" t="s">
        <v>1525</v>
      </c>
      <c r="L11" s="16" t="s">
        <v>1526</v>
      </c>
      <c r="M11" s="16" t="s">
        <v>469</v>
      </c>
      <c r="N11" s="16" t="s">
        <v>1527</v>
      </c>
      <c r="O11" s="17" t="s">
        <v>92</v>
      </c>
      <c r="P11" s="18" t="s">
        <v>93</v>
      </c>
      <c r="Q11" s="18"/>
      <c r="R11" s="18"/>
    </row>
    <row r="12" customFormat="false" ht="22.35" hidden="false" customHeight="false" outlineLevel="0" collapsed="false">
      <c r="A12" s="16" t="s">
        <v>1528</v>
      </c>
      <c r="B12" s="16" t="s">
        <v>50</v>
      </c>
      <c r="C12" s="16" t="s">
        <v>1514</v>
      </c>
      <c r="D12" s="16" t="s">
        <v>1529</v>
      </c>
      <c r="E12" s="16" t="s">
        <v>1530</v>
      </c>
      <c r="F12" s="16" t="s">
        <v>1516</v>
      </c>
      <c r="G12" s="16" t="s">
        <v>1531</v>
      </c>
      <c r="H12" s="16" t="s">
        <v>56</v>
      </c>
      <c r="I12" s="16" t="s">
        <v>32</v>
      </c>
      <c r="J12" s="16" t="s">
        <v>1467</v>
      </c>
      <c r="K12" s="16" t="s">
        <v>1532</v>
      </c>
      <c r="L12" s="16" t="s">
        <v>115</v>
      </c>
      <c r="M12" s="16" t="s">
        <v>100</v>
      </c>
      <c r="N12" s="16" t="s">
        <v>1533</v>
      </c>
      <c r="O12" s="17" t="s">
        <v>92</v>
      </c>
      <c r="P12" s="18" t="s">
        <v>93</v>
      </c>
      <c r="Q12" s="18"/>
      <c r="R12" s="18"/>
    </row>
    <row r="13" customFormat="false" ht="22.35" hidden="false" customHeight="false" outlineLevel="0" collapsed="false">
      <c r="A13" s="16" t="s">
        <v>1534</v>
      </c>
      <c r="B13" s="16" t="s">
        <v>50</v>
      </c>
      <c r="C13" s="16" t="s">
        <v>1514</v>
      </c>
      <c r="D13" s="16" t="s">
        <v>1535</v>
      </c>
      <c r="E13" s="16" t="s">
        <v>1536</v>
      </c>
      <c r="F13" s="16" t="s">
        <v>1516</v>
      </c>
      <c r="G13" s="16" t="s">
        <v>1537</v>
      </c>
      <c r="H13" s="16" t="s">
        <v>56</v>
      </c>
      <c r="I13" s="16" t="s">
        <v>32</v>
      </c>
      <c r="J13" s="16" t="s">
        <v>1467</v>
      </c>
      <c r="K13" s="16" t="s">
        <v>1538</v>
      </c>
      <c r="L13" s="16" t="s">
        <v>115</v>
      </c>
      <c r="M13" s="16" t="s">
        <v>100</v>
      </c>
      <c r="N13" s="16" t="s">
        <v>1539</v>
      </c>
      <c r="O13" s="17" t="s">
        <v>92</v>
      </c>
      <c r="P13" s="18" t="s">
        <v>93</v>
      </c>
      <c r="Q13" s="18"/>
      <c r="R13" s="18"/>
    </row>
    <row r="14" customFormat="false" ht="15" hidden="false" customHeight="false" outlineLevel="0" collapsed="false">
      <c r="A14" s="16" t="s">
        <v>1540</v>
      </c>
      <c r="B14" s="16" t="s">
        <v>50</v>
      </c>
      <c r="C14" s="16" t="s">
        <v>1514</v>
      </c>
      <c r="D14" s="16" t="s">
        <v>1535</v>
      </c>
      <c r="E14" s="16" t="s">
        <v>1541</v>
      </c>
      <c r="F14" s="16" t="s">
        <v>1516</v>
      </c>
      <c r="G14" s="16" t="s">
        <v>1542</v>
      </c>
      <c r="H14" s="16" t="s">
        <v>56</v>
      </c>
      <c r="I14" s="16" t="s">
        <v>33</v>
      </c>
      <c r="J14" s="16" t="s">
        <v>1467</v>
      </c>
      <c r="K14" s="16" t="s">
        <v>1543</v>
      </c>
      <c r="L14" s="16" t="s">
        <v>1544</v>
      </c>
      <c r="M14" s="16" t="s">
        <v>100</v>
      </c>
      <c r="N14" s="16" t="s">
        <v>1545</v>
      </c>
      <c r="O14" s="17" t="s">
        <v>92</v>
      </c>
      <c r="P14" s="18" t="s">
        <v>93</v>
      </c>
      <c r="Q14" s="18"/>
      <c r="R14" s="18"/>
    </row>
    <row r="15" customFormat="false" ht="15" hidden="false" customHeight="false" outlineLevel="0" collapsed="false">
      <c r="A15" s="16" t="s">
        <v>1546</v>
      </c>
      <c r="B15" s="16" t="s">
        <v>50</v>
      </c>
      <c r="C15" s="16" t="s">
        <v>1514</v>
      </c>
      <c r="D15" s="16" t="s">
        <v>1535</v>
      </c>
      <c r="E15" s="16" t="s">
        <v>1547</v>
      </c>
      <c r="F15" s="16" t="s">
        <v>1516</v>
      </c>
      <c r="G15" s="16" t="s">
        <v>1548</v>
      </c>
      <c r="H15" s="16" t="s">
        <v>56</v>
      </c>
      <c r="I15" s="16" t="s">
        <v>33</v>
      </c>
      <c r="J15" s="16" t="s">
        <v>1467</v>
      </c>
      <c r="K15" s="16" t="s">
        <v>1538</v>
      </c>
      <c r="L15" s="16" t="s">
        <v>1549</v>
      </c>
      <c r="M15" s="16" t="s">
        <v>100</v>
      </c>
      <c r="N15" s="16" t="s">
        <v>1550</v>
      </c>
      <c r="O15" s="17" t="s">
        <v>92</v>
      </c>
      <c r="P15" s="18" t="s">
        <v>93</v>
      </c>
      <c r="Q15" s="18"/>
      <c r="R15" s="18"/>
    </row>
    <row r="16" customFormat="false" ht="22.35" hidden="false" customHeight="false" outlineLevel="0" collapsed="false">
      <c r="A16" s="16" t="s">
        <v>1551</v>
      </c>
      <c r="B16" s="16" t="s">
        <v>50</v>
      </c>
      <c r="C16" s="16" t="s">
        <v>1514</v>
      </c>
      <c r="D16" s="16" t="s">
        <v>1552</v>
      </c>
      <c r="E16" s="16" t="s">
        <v>1553</v>
      </c>
      <c r="F16" s="16" t="s">
        <v>1516</v>
      </c>
      <c r="G16" s="16" t="s">
        <v>1554</v>
      </c>
      <c r="H16" s="16" t="s">
        <v>56</v>
      </c>
      <c r="I16" s="16" t="s">
        <v>33</v>
      </c>
      <c r="J16" s="16" t="s">
        <v>1467</v>
      </c>
      <c r="K16" s="16" t="s">
        <v>520</v>
      </c>
      <c r="L16" s="16" t="s">
        <v>553</v>
      </c>
      <c r="M16" s="16" t="s">
        <v>100</v>
      </c>
      <c r="N16" s="16" t="s">
        <v>1555</v>
      </c>
      <c r="O16" s="17" t="s">
        <v>92</v>
      </c>
      <c r="P16" s="18" t="s">
        <v>93</v>
      </c>
      <c r="Q16" s="18"/>
      <c r="R16" s="18"/>
    </row>
    <row r="17" customFormat="false" ht="15" hidden="false" customHeight="false" outlineLevel="0" collapsed="false">
      <c r="A17" s="16" t="s">
        <v>1556</v>
      </c>
      <c r="B17" s="16" t="s">
        <v>50</v>
      </c>
      <c r="C17" s="16" t="s">
        <v>1514</v>
      </c>
      <c r="D17" s="16" t="s">
        <v>1552</v>
      </c>
      <c r="E17" s="16" t="s">
        <v>1557</v>
      </c>
      <c r="F17" s="16" t="s">
        <v>1516</v>
      </c>
      <c r="G17" s="16" t="s">
        <v>1558</v>
      </c>
      <c r="H17" s="16" t="s">
        <v>56</v>
      </c>
      <c r="I17" s="16" t="s">
        <v>32</v>
      </c>
      <c r="J17" s="16" t="s">
        <v>1467</v>
      </c>
      <c r="K17" s="16" t="s">
        <v>577</v>
      </c>
      <c r="L17" s="16" t="s">
        <v>1559</v>
      </c>
      <c r="M17" s="16" t="s">
        <v>100</v>
      </c>
      <c r="N17" s="16" t="s">
        <v>1560</v>
      </c>
      <c r="O17" s="17" t="s">
        <v>92</v>
      </c>
      <c r="P17" s="18" t="s">
        <v>93</v>
      </c>
      <c r="Q17" s="18"/>
      <c r="R17" s="18"/>
    </row>
    <row r="18" customFormat="false" ht="15" hidden="false" customHeight="false" outlineLevel="0" collapsed="false">
      <c r="A18" s="16" t="s">
        <v>1561</v>
      </c>
      <c r="B18" s="16" t="s">
        <v>50</v>
      </c>
      <c r="C18" s="16" t="s">
        <v>1514</v>
      </c>
      <c r="D18" s="16" t="s">
        <v>1552</v>
      </c>
      <c r="E18" s="16" t="s">
        <v>1562</v>
      </c>
      <c r="F18" s="16" t="s">
        <v>1516</v>
      </c>
      <c r="G18" s="16" t="s">
        <v>1563</v>
      </c>
      <c r="H18" s="16" t="s">
        <v>56</v>
      </c>
      <c r="I18" s="16" t="s">
        <v>32</v>
      </c>
      <c r="J18" s="16" t="s">
        <v>1467</v>
      </c>
      <c r="K18" s="16" t="s">
        <v>1564</v>
      </c>
      <c r="L18" s="16" t="s">
        <v>569</v>
      </c>
      <c r="M18" s="16" t="s">
        <v>100</v>
      </c>
      <c r="N18" s="16" t="s">
        <v>1565</v>
      </c>
      <c r="O18" s="17" t="s">
        <v>92</v>
      </c>
      <c r="P18" s="18" t="s">
        <v>93</v>
      </c>
      <c r="Q18" s="18"/>
      <c r="R18" s="18"/>
    </row>
    <row r="19" customFormat="false" ht="22.35" hidden="false" customHeight="false" outlineLevel="0" collapsed="false">
      <c r="A19" s="16" t="s">
        <v>1566</v>
      </c>
      <c r="B19" s="16" t="s">
        <v>50</v>
      </c>
      <c r="C19" s="16" t="s">
        <v>1514</v>
      </c>
      <c r="D19" s="16" t="s">
        <v>1567</v>
      </c>
      <c r="E19" s="16" t="s">
        <v>1568</v>
      </c>
      <c r="F19" s="16" t="s">
        <v>1516</v>
      </c>
      <c r="G19" s="16" t="s">
        <v>1569</v>
      </c>
      <c r="H19" s="16" t="s">
        <v>56</v>
      </c>
      <c r="I19" s="16" t="s">
        <v>32</v>
      </c>
      <c r="J19" s="16" t="s">
        <v>1467</v>
      </c>
      <c r="K19" s="16" t="s">
        <v>1570</v>
      </c>
      <c r="L19" s="16" t="s">
        <v>569</v>
      </c>
      <c r="M19" s="16" t="s">
        <v>100</v>
      </c>
      <c r="N19" s="16" t="s">
        <v>1571</v>
      </c>
      <c r="O19" s="17" t="s">
        <v>92</v>
      </c>
      <c r="P19" s="18" t="s">
        <v>93</v>
      </c>
      <c r="Q19" s="18"/>
      <c r="R19" s="18"/>
    </row>
    <row r="20" customFormat="false" ht="15" hidden="false" customHeight="false" outlineLevel="0" collapsed="false">
      <c r="A20" s="16" t="s">
        <v>1572</v>
      </c>
      <c r="B20" s="16" t="s">
        <v>50</v>
      </c>
      <c r="C20" s="16" t="s">
        <v>1573</v>
      </c>
      <c r="D20" s="16" t="s">
        <v>301</v>
      </c>
      <c r="E20" s="16" t="s">
        <v>1574</v>
      </c>
      <c r="F20" s="16" t="s">
        <v>1575</v>
      </c>
      <c r="G20" s="16" t="s">
        <v>1576</v>
      </c>
      <c r="H20" s="16" t="s">
        <v>56</v>
      </c>
      <c r="I20" s="16" t="s">
        <v>32</v>
      </c>
      <c r="J20" s="16" t="s">
        <v>1467</v>
      </c>
      <c r="K20" s="16" t="s">
        <v>330</v>
      </c>
      <c r="L20" s="16" t="s">
        <v>873</v>
      </c>
      <c r="M20" s="16" t="s">
        <v>332</v>
      </c>
      <c r="N20" s="16" t="s">
        <v>1577</v>
      </c>
      <c r="O20" s="17" t="s">
        <v>92</v>
      </c>
      <c r="P20" s="18" t="s">
        <v>93</v>
      </c>
      <c r="Q20" s="18"/>
      <c r="R20" s="18"/>
    </row>
    <row r="21" customFormat="false" ht="15" hidden="false" customHeight="false" outlineLevel="0" collapsed="false">
      <c r="A21" s="16" t="s">
        <v>1578</v>
      </c>
      <c r="B21" s="16" t="s">
        <v>50</v>
      </c>
      <c r="C21" s="16" t="s">
        <v>1573</v>
      </c>
      <c r="D21" s="16" t="s">
        <v>301</v>
      </c>
      <c r="E21" s="16" t="s">
        <v>1579</v>
      </c>
      <c r="F21" s="16" t="s">
        <v>1575</v>
      </c>
      <c r="G21" s="16" t="s">
        <v>1580</v>
      </c>
      <c r="H21" s="16" t="s">
        <v>56</v>
      </c>
      <c r="I21" s="16" t="s">
        <v>32</v>
      </c>
      <c r="J21" s="16" t="s">
        <v>1467</v>
      </c>
      <c r="K21" s="16" t="s">
        <v>330</v>
      </c>
      <c r="L21" s="16" t="s">
        <v>725</v>
      </c>
      <c r="M21" s="16" t="s">
        <v>332</v>
      </c>
      <c r="N21" s="16" t="s">
        <v>1041</v>
      </c>
      <c r="O21" s="17" t="s">
        <v>92</v>
      </c>
      <c r="P21" s="18" t="s">
        <v>93</v>
      </c>
      <c r="Q21" s="18"/>
      <c r="R21" s="18"/>
    </row>
    <row r="22" customFormat="false" ht="15" hidden="false" customHeight="false" outlineLevel="0" collapsed="false">
      <c r="A22" s="16" t="s">
        <v>1581</v>
      </c>
      <c r="B22" s="16" t="s">
        <v>50</v>
      </c>
      <c r="C22" s="16" t="s">
        <v>1573</v>
      </c>
      <c r="D22" s="16" t="s">
        <v>301</v>
      </c>
      <c r="E22" s="16" t="s">
        <v>1582</v>
      </c>
      <c r="F22" s="16" t="s">
        <v>1575</v>
      </c>
      <c r="G22" s="16" t="s">
        <v>1583</v>
      </c>
      <c r="H22" s="16" t="s">
        <v>56</v>
      </c>
      <c r="I22" s="16" t="s">
        <v>32</v>
      </c>
      <c r="J22" s="16" t="s">
        <v>1467</v>
      </c>
      <c r="K22" s="16" t="s">
        <v>305</v>
      </c>
      <c r="L22" s="16" t="s">
        <v>1584</v>
      </c>
      <c r="M22" s="16" t="s">
        <v>100</v>
      </c>
      <c r="N22" s="16" t="s">
        <v>1585</v>
      </c>
      <c r="O22" s="17" t="s">
        <v>92</v>
      </c>
      <c r="P22" s="18" t="s">
        <v>93</v>
      </c>
      <c r="Q22" s="18"/>
      <c r="R22" s="18"/>
    </row>
    <row r="23" customFormat="false" ht="15" hidden="false" customHeight="false" outlineLevel="0" collapsed="false">
      <c r="A23" s="16" t="s">
        <v>1586</v>
      </c>
      <c r="B23" s="16" t="s">
        <v>50</v>
      </c>
      <c r="C23" s="16" t="s">
        <v>1573</v>
      </c>
      <c r="D23" s="16" t="s">
        <v>301</v>
      </c>
      <c r="E23" s="16" t="s">
        <v>1587</v>
      </c>
      <c r="F23" s="16" t="s">
        <v>1575</v>
      </c>
      <c r="G23" s="16" t="s">
        <v>1588</v>
      </c>
      <c r="H23" s="16" t="s">
        <v>56</v>
      </c>
      <c r="I23" s="16" t="s">
        <v>32</v>
      </c>
      <c r="J23" s="16" t="s">
        <v>1467</v>
      </c>
      <c r="K23" s="16" t="s">
        <v>890</v>
      </c>
      <c r="L23" s="16" t="s">
        <v>1047</v>
      </c>
      <c r="M23" s="16" t="s">
        <v>332</v>
      </c>
      <c r="N23" s="16" t="s">
        <v>1589</v>
      </c>
      <c r="O23" s="17" t="s">
        <v>92</v>
      </c>
      <c r="P23" s="18" t="s">
        <v>93</v>
      </c>
      <c r="Q23" s="18"/>
      <c r="R23" s="18"/>
    </row>
    <row r="24" customFormat="false" ht="22.35" hidden="false" customHeight="false" outlineLevel="0" collapsed="false">
      <c r="A24" s="16" t="s">
        <v>1590</v>
      </c>
      <c r="B24" s="16" t="s">
        <v>50</v>
      </c>
      <c r="C24" s="16" t="s">
        <v>1573</v>
      </c>
      <c r="D24" s="16" t="s">
        <v>301</v>
      </c>
      <c r="E24" s="16" t="s">
        <v>1591</v>
      </c>
      <c r="F24" s="16" t="s">
        <v>1575</v>
      </c>
      <c r="G24" s="16" t="s">
        <v>1592</v>
      </c>
      <c r="H24" s="16" t="s">
        <v>56</v>
      </c>
      <c r="I24" s="16" t="s">
        <v>31</v>
      </c>
      <c r="J24" s="16" t="s">
        <v>1467</v>
      </c>
      <c r="K24" s="16" t="s">
        <v>1593</v>
      </c>
      <c r="L24" s="16" t="s">
        <v>1594</v>
      </c>
      <c r="M24" s="16" t="s">
        <v>332</v>
      </c>
      <c r="N24" s="16" t="s">
        <v>1595</v>
      </c>
      <c r="O24" s="17" t="s">
        <v>92</v>
      </c>
      <c r="P24" s="18" t="s">
        <v>93</v>
      </c>
      <c r="Q24" s="18"/>
      <c r="R24" s="18"/>
    </row>
    <row r="25" customFormat="false" ht="22.35" hidden="false" customHeight="false" outlineLevel="0" collapsed="false">
      <c r="A25" s="16" t="s">
        <v>1596</v>
      </c>
      <c r="B25" s="16" t="s">
        <v>50</v>
      </c>
      <c r="C25" s="16" t="s">
        <v>1573</v>
      </c>
      <c r="D25" s="16" t="s">
        <v>301</v>
      </c>
      <c r="E25" s="16" t="s">
        <v>1597</v>
      </c>
      <c r="F25" s="16" t="s">
        <v>1575</v>
      </c>
      <c r="G25" s="16" t="s">
        <v>1598</v>
      </c>
      <c r="H25" s="16" t="s">
        <v>56</v>
      </c>
      <c r="I25" s="16" t="s">
        <v>32</v>
      </c>
      <c r="J25" s="16" t="s">
        <v>1599</v>
      </c>
      <c r="K25" s="16" t="s">
        <v>1600</v>
      </c>
      <c r="L25" s="16" t="s">
        <v>1601</v>
      </c>
      <c r="M25" s="16" t="s">
        <v>332</v>
      </c>
      <c r="N25" s="16" t="s">
        <v>1602</v>
      </c>
      <c r="O25" s="17" t="s">
        <v>92</v>
      </c>
      <c r="P25" s="18" t="s">
        <v>93</v>
      </c>
      <c r="Q25" s="18"/>
      <c r="R25" s="18"/>
    </row>
    <row r="26" customFormat="false" ht="22.35" hidden="false" customHeight="false" outlineLevel="0" collapsed="false">
      <c r="A26" s="16" t="s">
        <v>1603</v>
      </c>
      <c r="B26" s="16" t="s">
        <v>50</v>
      </c>
      <c r="C26" s="16" t="s">
        <v>1573</v>
      </c>
      <c r="D26" s="16" t="s">
        <v>1604</v>
      </c>
      <c r="E26" s="16" t="s">
        <v>1605</v>
      </c>
      <c r="F26" s="16" t="s">
        <v>1575</v>
      </c>
      <c r="G26" s="16" t="s">
        <v>1606</v>
      </c>
      <c r="H26" s="16" t="s">
        <v>56</v>
      </c>
      <c r="I26" s="16" t="s">
        <v>33</v>
      </c>
      <c r="J26" s="16" t="s">
        <v>1467</v>
      </c>
      <c r="K26" s="16" t="s">
        <v>1607</v>
      </c>
      <c r="L26" s="16" t="s">
        <v>1608</v>
      </c>
      <c r="M26" s="16" t="s">
        <v>100</v>
      </c>
      <c r="N26" s="16" t="s">
        <v>1609</v>
      </c>
      <c r="O26" s="17" t="s">
        <v>92</v>
      </c>
      <c r="P26" s="18" t="s">
        <v>93</v>
      </c>
      <c r="Q26" s="18"/>
      <c r="R26" s="18"/>
    </row>
    <row r="27" customFormat="false" ht="15" hidden="false" customHeight="false" outlineLevel="0" collapsed="false">
      <c r="A27" s="16" t="s">
        <v>1610</v>
      </c>
      <c r="B27" s="16" t="s">
        <v>50</v>
      </c>
      <c r="C27" s="16" t="s">
        <v>1573</v>
      </c>
      <c r="D27" s="16" t="s">
        <v>1604</v>
      </c>
      <c r="E27" s="16" t="s">
        <v>1611</v>
      </c>
      <c r="F27" s="16" t="s">
        <v>1575</v>
      </c>
      <c r="G27" s="16" t="s">
        <v>1612</v>
      </c>
      <c r="H27" s="16" t="s">
        <v>56</v>
      </c>
      <c r="I27" s="16" t="s">
        <v>33</v>
      </c>
      <c r="J27" s="16" t="s">
        <v>1467</v>
      </c>
      <c r="K27" s="16" t="s">
        <v>1613</v>
      </c>
      <c r="L27" s="16" t="s">
        <v>1614</v>
      </c>
      <c r="M27" s="16" t="s">
        <v>100</v>
      </c>
      <c r="N27" s="16" t="s">
        <v>1615</v>
      </c>
      <c r="O27" s="17" t="s">
        <v>92</v>
      </c>
      <c r="P27" s="18" t="s">
        <v>93</v>
      </c>
      <c r="Q27" s="18"/>
      <c r="R27" s="18"/>
    </row>
    <row r="28" customFormat="false" ht="15" hidden="false" customHeight="false" outlineLevel="0" collapsed="false">
      <c r="A28" s="16" t="s">
        <v>1616</v>
      </c>
      <c r="B28" s="16" t="s">
        <v>50</v>
      </c>
      <c r="C28" s="16" t="s">
        <v>1573</v>
      </c>
      <c r="D28" s="16" t="s">
        <v>1617</v>
      </c>
      <c r="E28" s="16" t="s">
        <v>1618</v>
      </c>
      <c r="F28" s="16" t="s">
        <v>1575</v>
      </c>
      <c r="G28" s="16" t="s">
        <v>1619</v>
      </c>
      <c r="H28" s="16" t="s">
        <v>56</v>
      </c>
      <c r="I28" s="16" t="s">
        <v>33</v>
      </c>
      <c r="J28" s="16" t="s">
        <v>1467</v>
      </c>
      <c r="K28" s="16" t="s">
        <v>354</v>
      </c>
      <c r="L28" s="16" t="s">
        <v>1620</v>
      </c>
      <c r="M28" s="16" t="s">
        <v>100</v>
      </c>
      <c r="N28" s="16" t="s">
        <v>1621</v>
      </c>
      <c r="O28" s="17" t="s">
        <v>92</v>
      </c>
      <c r="P28" s="18" t="s">
        <v>93</v>
      </c>
      <c r="Q28" s="18"/>
      <c r="R28" s="18"/>
    </row>
    <row r="29" customFormat="false" ht="15" hidden="false" customHeight="false" outlineLevel="0" collapsed="false">
      <c r="A29" s="16" t="s">
        <v>1622</v>
      </c>
      <c r="B29" s="16" t="s">
        <v>50</v>
      </c>
      <c r="C29" s="16" t="s">
        <v>1573</v>
      </c>
      <c r="D29" s="16" t="s">
        <v>1617</v>
      </c>
      <c r="E29" s="16" t="s">
        <v>1623</v>
      </c>
      <c r="F29" s="16" t="s">
        <v>1575</v>
      </c>
      <c r="G29" s="16" t="s">
        <v>1624</v>
      </c>
      <c r="H29" s="16" t="s">
        <v>56</v>
      </c>
      <c r="I29" s="16" t="s">
        <v>32</v>
      </c>
      <c r="J29" s="16" t="s">
        <v>1467</v>
      </c>
      <c r="K29" s="16" t="s">
        <v>354</v>
      </c>
      <c r="L29" s="16" t="s">
        <v>1625</v>
      </c>
      <c r="M29" s="16" t="s">
        <v>100</v>
      </c>
      <c r="N29" s="16" t="s">
        <v>1626</v>
      </c>
      <c r="O29" s="17" t="s">
        <v>92</v>
      </c>
      <c r="P29" s="18" t="s">
        <v>93</v>
      </c>
      <c r="Q29" s="18"/>
      <c r="R29" s="18"/>
    </row>
    <row r="30" customFormat="false" ht="15" hidden="false" customHeight="false" outlineLevel="0" collapsed="false">
      <c r="A30" s="16" t="s">
        <v>1627</v>
      </c>
      <c r="B30" s="16" t="s">
        <v>50</v>
      </c>
      <c r="C30" s="16" t="s">
        <v>1573</v>
      </c>
      <c r="D30" s="16" t="s">
        <v>1628</v>
      </c>
      <c r="E30" s="16" t="s">
        <v>1629</v>
      </c>
      <c r="F30" s="16" t="s">
        <v>1575</v>
      </c>
      <c r="G30" s="16" t="s">
        <v>1630</v>
      </c>
      <c r="H30" s="16" t="s">
        <v>56</v>
      </c>
      <c r="I30" s="16" t="s">
        <v>31</v>
      </c>
      <c r="J30" s="16" t="s">
        <v>1467</v>
      </c>
      <c r="K30" s="16" t="s">
        <v>354</v>
      </c>
      <c r="L30" s="16" t="s">
        <v>89</v>
      </c>
      <c r="M30" s="16" t="s">
        <v>1631</v>
      </c>
      <c r="N30" s="16" t="s">
        <v>1632</v>
      </c>
      <c r="O30" s="17" t="s">
        <v>92</v>
      </c>
      <c r="P30" s="18" t="s">
        <v>93</v>
      </c>
      <c r="Q30" s="18"/>
      <c r="R30" s="18"/>
    </row>
    <row r="31" customFormat="false" ht="15" hidden="false" customHeight="false" outlineLevel="0" collapsed="false">
      <c r="A31" s="16" t="s">
        <v>1633</v>
      </c>
      <c r="B31" s="16" t="s">
        <v>50</v>
      </c>
      <c r="C31" s="16" t="s">
        <v>1573</v>
      </c>
      <c r="D31" s="16" t="s">
        <v>1628</v>
      </c>
      <c r="E31" s="16" t="s">
        <v>1634</v>
      </c>
      <c r="F31" s="16" t="s">
        <v>1575</v>
      </c>
      <c r="G31" s="16" t="s">
        <v>1635</v>
      </c>
      <c r="H31" s="16" t="s">
        <v>56</v>
      </c>
      <c r="I31" s="16" t="s">
        <v>32</v>
      </c>
      <c r="J31" s="16" t="s">
        <v>1467</v>
      </c>
      <c r="K31" s="16" t="s">
        <v>318</v>
      </c>
      <c r="L31" s="16" t="s">
        <v>1636</v>
      </c>
      <c r="M31" s="16" t="s">
        <v>100</v>
      </c>
      <c r="N31" s="16" t="s">
        <v>1637</v>
      </c>
      <c r="O31" s="17" t="s">
        <v>92</v>
      </c>
      <c r="P31" s="18" t="s">
        <v>93</v>
      </c>
      <c r="Q31" s="18"/>
      <c r="R31" s="18"/>
    </row>
    <row r="32" customFormat="false" ht="22.35" hidden="false" customHeight="false" outlineLevel="0" collapsed="false">
      <c r="A32" s="16" t="s">
        <v>1638</v>
      </c>
      <c r="B32" s="16" t="s">
        <v>50</v>
      </c>
      <c r="C32" s="16" t="s">
        <v>1573</v>
      </c>
      <c r="D32" s="16" t="s">
        <v>1628</v>
      </c>
      <c r="E32" s="16" t="s">
        <v>1639</v>
      </c>
      <c r="F32" s="16" t="s">
        <v>1575</v>
      </c>
      <c r="G32" s="16" t="s">
        <v>1640</v>
      </c>
      <c r="H32" s="16" t="s">
        <v>56</v>
      </c>
      <c r="I32" s="16" t="s">
        <v>33</v>
      </c>
      <c r="J32" s="16" t="s">
        <v>1467</v>
      </c>
      <c r="K32" s="16" t="s">
        <v>1593</v>
      </c>
      <c r="L32" s="16" t="s">
        <v>1641</v>
      </c>
      <c r="M32" s="16" t="s">
        <v>100</v>
      </c>
      <c r="N32" s="16" t="s">
        <v>1642</v>
      </c>
      <c r="O32" s="17" t="s">
        <v>92</v>
      </c>
      <c r="P32" s="18" t="s">
        <v>93</v>
      </c>
      <c r="Q32" s="18"/>
      <c r="R32" s="18"/>
    </row>
    <row r="33" customFormat="false" ht="22.35" hidden="false" customHeight="false" outlineLevel="0" collapsed="false">
      <c r="A33" s="16" t="s">
        <v>1643</v>
      </c>
      <c r="B33" s="16" t="s">
        <v>50</v>
      </c>
      <c r="C33" s="16" t="s">
        <v>1573</v>
      </c>
      <c r="D33" s="16" t="s">
        <v>1628</v>
      </c>
      <c r="E33" s="16" t="s">
        <v>1644</v>
      </c>
      <c r="F33" s="16" t="s">
        <v>1575</v>
      </c>
      <c r="G33" s="16" t="s">
        <v>1645</v>
      </c>
      <c r="H33" s="16" t="s">
        <v>56</v>
      </c>
      <c r="I33" s="16" t="s">
        <v>32</v>
      </c>
      <c r="J33" s="16" t="s">
        <v>1467</v>
      </c>
      <c r="K33" s="16" t="s">
        <v>127</v>
      </c>
      <c r="L33" s="16" t="s">
        <v>1646</v>
      </c>
      <c r="M33" s="16" t="s">
        <v>100</v>
      </c>
      <c r="N33" s="16" t="s">
        <v>1647</v>
      </c>
      <c r="O33" s="17" t="s">
        <v>92</v>
      </c>
      <c r="P33" s="18" t="s">
        <v>93</v>
      </c>
      <c r="Q33" s="18"/>
      <c r="R33" s="18"/>
    </row>
    <row r="34" customFormat="false" ht="22.35" hidden="false" customHeight="false" outlineLevel="0" collapsed="false">
      <c r="A34" s="16" t="s">
        <v>1648</v>
      </c>
      <c r="B34" s="16" t="s">
        <v>50</v>
      </c>
      <c r="C34" s="16" t="s">
        <v>1573</v>
      </c>
      <c r="D34" s="16" t="s">
        <v>1628</v>
      </c>
      <c r="E34" s="16" t="s">
        <v>1649</v>
      </c>
      <c r="F34" s="16" t="s">
        <v>1575</v>
      </c>
      <c r="G34" s="16" t="s">
        <v>1650</v>
      </c>
      <c r="H34" s="16" t="s">
        <v>56</v>
      </c>
      <c r="I34" s="16" t="s">
        <v>32</v>
      </c>
      <c r="J34" s="16" t="s">
        <v>1467</v>
      </c>
      <c r="K34" s="16" t="s">
        <v>577</v>
      </c>
      <c r="L34" s="16" t="s">
        <v>593</v>
      </c>
      <c r="M34" s="16" t="s">
        <v>100</v>
      </c>
      <c r="N34" s="16" t="s">
        <v>1651</v>
      </c>
      <c r="O34" s="17" t="s">
        <v>92</v>
      </c>
      <c r="P34" s="18" t="s">
        <v>93</v>
      </c>
      <c r="Q34" s="18"/>
      <c r="R34" s="18"/>
    </row>
    <row r="35" customFormat="false" ht="15" hidden="false" customHeight="false" outlineLevel="0" collapsed="false">
      <c r="A35" s="16" t="s">
        <v>1652</v>
      </c>
      <c r="B35" s="16" t="s">
        <v>50</v>
      </c>
      <c r="C35" s="16" t="s">
        <v>1573</v>
      </c>
      <c r="D35" s="16" t="s">
        <v>1628</v>
      </c>
      <c r="E35" s="16" t="s">
        <v>1653</v>
      </c>
      <c r="F35" s="16" t="s">
        <v>1575</v>
      </c>
      <c r="G35" s="16" t="s">
        <v>1654</v>
      </c>
      <c r="H35" s="16" t="s">
        <v>56</v>
      </c>
      <c r="I35" s="16" t="s">
        <v>32</v>
      </c>
      <c r="J35" s="16" t="s">
        <v>1467</v>
      </c>
      <c r="K35" s="16" t="s">
        <v>1655</v>
      </c>
      <c r="L35" s="16" t="s">
        <v>1656</v>
      </c>
      <c r="M35" s="16" t="s">
        <v>100</v>
      </c>
      <c r="N35" s="16" t="s">
        <v>1657</v>
      </c>
      <c r="O35" s="17" t="s">
        <v>92</v>
      </c>
      <c r="P35" s="18" t="s">
        <v>93</v>
      </c>
      <c r="Q35" s="18"/>
      <c r="R35" s="18"/>
    </row>
    <row r="36" customFormat="false" ht="22.35" hidden="false" customHeight="false" outlineLevel="0" collapsed="false">
      <c r="A36" s="16" t="s">
        <v>1658</v>
      </c>
      <c r="B36" s="16" t="s">
        <v>50</v>
      </c>
      <c r="C36" s="16" t="s">
        <v>1573</v>
      </c>
      <c r="D36" s="16" t="s">
        <v>1628</v>
      </c>
      <c r="E36" s="16" t="s">
        <v>1659</v>
      </c>
      <c r="F36" s="16" t="s">
        <v>1575</v>
      </c>
      <c r="G36" s="16" t="s">
        <v>1660</v>
      </c>
      <c r="H36" s="16" t="s">
        <v>56</v>
      </c>
      <c r="I36" s="16" t="s">
        <v>32</v>
      </c>
      <c r="J36" s="16" t="s">
        <v>1467</v>
      </c>
      <c r="K36" s="16" t="s">
        <v>1661</v>
      </c>
      <c r="L36" s="16" t="s">
        <v>1662</v>
      </c>
      <c r="M36" s="16" t="s">
        <v>100</v>
      </c>
      <c r="N36" s="16" t="s">
        <v>1663</v>
      </c>
      <c r="O36" s="17" t="s">
        <v>92</v>
      </c>
      <c r="P36" s="18" t="s">
        <v>93</v>
      </c>
      <c r="Q36" s="18"/>
      <c r="R36" s="18"/>
    </row>
    <row r="37" customFormat="false" ht="15" hidden="false" customHeight="false" outlineLevel="0" collapsed="false">
      <c r="A37" s="16" t="s">
        <v>1664</v>
      </c>
      <c r="B37" s="16" t="s">
        <v>50</v>
      </c>
      <c r="C37" s="16" t="s">
        <v>1573</v>
      </c>
      <c r="D37" s="16" t="s">
        <v>1628</v>
      </c>
      <c r="E37" s="16" t="s">
        <v>1665</v>
      </c>
      <c r="F37" s="16" t="s">
        <v>1575</v>
      </c>
      <c r="G37" s="16" t="s">
        <v>1666</v>
      </c>
      <c r="H37" s="16" t="s">
        <v>56</v>
      </c>
      <c r="I37" s="16" t="s">
        <v>32</v>
      </c>
      <c r="J37" s="16" t="s">
        <v>1467</v>
      </c>
      <c r="K37" s="16" t="s">
        <v>343</v>
      </c>
      <c r="L37" s="16" t="s">
        <v>191</v>
      </c>
      <c r="M37" s="16" t="s">
        <v>202</v>
      </c>
      <c r="N37" s="16" t="s">
        <v>1667</v>
      </c>
      <c r="O37" s="17" t="s">
        <v>92</v>
      </c>
      <c r="P37" s="18" t="s">
        <v>93</v>
      </c>
      <c r="Q37" s="18"/>
      <c r="R37" s="18"/>
    </row>
    <row r="38" customFormat="false" ht="22.35" hidden="false" customHeight="false" outlineLevel="0" collapsed="false">
      <c r="A38" s="16" t="s">
        <v>1668</v>
      </c>
      <c r="B38" s="16" t="s">
        <v>50</v>
      </c>
      <c r="C38" s="16" t="s">
        <v>1573</v>
      </c>
      <c r="D38" s="16" t="s">
        <v>1669</v>
      </c>
      <c r="E38" s="16" t="s">
        <v>1670</v>
      </c>
      <c r="F38" s="16" t="s">
        <v>1575</v>
      </c>
      <c r="G38" s="16" t="s">
        <v>1671</v>
      </c>
      <c r="H38" s="16" t="s">
        <v>56</v>
      </c>
      <c r="I38" s="16" t="s">
        <v>33</v>
      </c>
      <c r="J38" s="16" t="s">
        <v>1467</v>
      </c>
      <c r="K38" s="16" t="s">
        <v>1672</v>
      </c>
      <c r="L38" s="16" t="s">
        <v>89</v>
      </c>
      <c r="M38" s="16" t="s">
        <v>100</v>
      </c>
      <c r="N38" s="16" t="s">
        <v>1673</v>
      </c>
      <c r="O38" s="17" t="s">
        <v>92</v>
      </c>
      <c r="P38" s="18" t="s">
        <v>93</v>
      </c>
      <c r="Q38" s="18"/>
      <c r="R38" s="18"/>
    </row>
    <row r="39" customFormat="false" ht="15" hidden="false" customHeight="false" outlineLevel="0" collapsed="false">
      <c r="A39" s="16" t="s">
        <v>1674</v>
      </c>
      <c r="B39" s="16" t="s">
        <v>50</v>
      </c>
      <c r="C39" s="16" t="s">
        <v>1675</v>
      </c>
      <c r="D39" s="16" t="s">
        <v>1676</v>
      </c>
      <c r="E39" s="16" t="s">
        <v>1677</v>
      </c>
      <c r="F39" s="16" t="s">
        <v>1678</v>
      </c>
      <c r="G39" s="16" t="s">
        <v>1679</v>
      </c>
      <c r="H39" s="16" t="s">
        <v>56</v>
      </c>
      <c r="I39" s="16" t="s">
        <v>32</v>
      </c>
      <c r="J39" s="16" t="s">
        <v>1467</v>
      </c>
      <c r="K39" s="16" t="s">
        <v>1680</v>
      </c>
      <c r="L39" s="16" t="s">
        <v>186</v>
      </c>
      <c r="M39" s="16" t="s">
        <v>100</v>
      </c>
      <c r="N39" s="16" t="s">
        <v>1681</v>
      </c>
      <c r="O39" s="17" t="s">
        <v>92</v>
      </c>
      <c r="P39" s="18" t="s">
        <v>93</v>
      </c>
      <c r="Q39" s="18"/>
      <c r="R39" s="18"/>
    </row>
    <row r="40" customFormat="false" ht="15" hidden="false" customHeight="false" outlineLevel="0" collapsed="false">
      <c r="A40" s="16" t="s">
        <v>1682</v>
      </c>
      <c r="B40" s="16" t="s">
        <v>50</v>
      </c>
      <c r="C40" s="16" t="s">
        <v>1675</v>
      </c>
      <c r="D40" s="16" t="s">
        <v>1676</v>
      </c>
      <c r="E40" s="16" t="s">
        <v>1683</v>
      </c>
      <c r="F40" s="16" t="s">
        <v>1678</v>
      </c>
      <c r="G40" s="16" t="s">
        <v>1684</v>
      </c>
      <c r="H40" s="16" t="s">
        <v>56</v>
      </c>
      <c r="I40" s="16" t="s">
        <v>32</v>
      </c>
      <c r="J40" s="16" t="s">
        <v>1467</v>
      </c>
      <c r="K40" s="16" t="s">
        <v>1685</v>
      </c>
      <c r="L40" s="16" t="s">
        <v>1686</v>
      </c>
      <c r="M40" s="16" t="s">
        <v>100</v>
      </c>
      <c r="N40" s="16" t="s">
        <v>1687</v>
      </c>
      <c r="O40" s="17" t="s">
        <v>92</v>
      </c>
      <c r="P40" s="18" t="s">
        <v>93</v>
      </c>
      <c r="Q40" s="18"/>
      <c r="R40" s="18"/>
    </row>
    <row r="41" customFormat="false" ht="15" hidden="false" customHeight="false" outlineLevel="0" collapsed="false">
      <c r="A41" s="16" t="s">
        <v>1688</v>
      </c>
      <c r="B41" s="16" t="s">
        <v>50</v>
      </c>
      <c r="C41" s="16" t="s">
        <v>1675</v>
      </c>
      <c r="D41" s="16" t="s">
        <v>1689</v>
      </c>
      <c r="E41" s="16" t="s">
        <v>1690</v>
      </c>
      <c r="F41" s="16" t="s">
        <v>1678</v>
      </c>
      <c r="G41" s="16" t="s">
        <v>1691</v>
      </c>
      <c r="H41" s="16" t="s">
        <v>56</v>
      </c>
      <c r="I41" s="16" t="s">
        <v>32</v>
      </c>
      <c r="J41" s="16" t="s">
        <v>1467</v>
      </c>
      <c r="K41" s="16" t="s">
        <v>171</v>
      </c>
      <c r="L41" s="16" t="s">
        <v>553</v>
      </c>
      <c r="M41" s="16" t="s">
        <v>752</v>
      </c>
      <c r="N41" s="16" t="s">
        <v>1692</v>
      </c>
      <c r="O41" s="17" t="s">
        <v>92</v>
      </c>
      <c r="P41" s="18" t="s">
        <v>93</v>
      </c>
      <c r="Q41" s="18"/>
      <c r="R41" s="18"/>
    </row>
    <row r="42" customFormat="false" ht="15" hidden="false" customHeight="false" outlineLevel="0" collapsed="false">
      <c r="A42" s="16" t="s">
        <v>1693</v>
      </c>
      <c r="B42" s="16" t="s">
        <v>50</v>
      </c>
      <c r="C42" s="16" t="s">
        <v>1675</v>
      </c>
      <c r="D42" s="16" t="s">
        <v>1689</v>
      </c>
      <c r="E42" s="16" t="s">
        <v>1694</v>
      </c>
      <c r="F42" s="16" t="s">
        <v>1678</v>
      </c>
      <c r="G42" s="16" t="s">
        <v>1695</v>
      </c>
      <c r="H42" s="16" t="s">
        <v>56</v>
      </c>
      <c r="I42" s="16" t="s">
        <v>32</v>
      </c>
      <c r="J42" s="16" t="s">
        <v>1467</v>
      </c>
      <c r="K42" s="16" t="s">
        <v>751</v>
      </c>
      <c r="L42" s="16" t="s">
        <v>569</v>
      </c>
      <c r="M42" s="16" t="s">
        <v>752</v>
      </c>
      <c r="N42" s="16" t="s">
        <v>1696</v>
      </c>
      <c r="O42" s="17" t="s">
        <v>92</v>
      </c>
      <c r="P42" s="18" t="s">
        <v>93</v>
      </c>
      <c r="Q42" s="18"/>
      <c r="R42" s="18"/>
    </row>
    <row r="43" customFormat="false" ht="15" hidden="false" customHeight="false" outlineLevel="0" collapsed="false">
      <c r="A43" s="16" t="s">
        <v>1697</v>
      </c>
      <c r="B43" s="16" t="s">
        <v>50</v>
      </c>
      <c r="C43" s="16" t="s">
        <v>1675</v>
      </c>
      <c r="D43" s="16" t="s">
        <v>1698</v>
      </c>
      <c r="E43" s="16" t="s">
        <v>1699</v>
      </c>
      <c r="F43" s="16" t="s">
        <v>1678</v>
      </c>
      <c r="G43" s="16" t="s">
        <v>1700</v>
      </c>
      <c r="H43" s="16" t="s">
        <v>56</v>
      </c>
      <c r="I43" s="16" t="s">
        <v>33</v>
      </c>
      <c r="J43" s="16" t="s">
        <v>1467</v>
      </c>
      <c r="K43" s="16" t="s">
        <v>568</v>
      </c>
      <c r="L43" s="16" t="s">
        <v>1701</v>
      </c>
      <c r="M43" s="16" t="s">
        <v>100</v>
      </c>
      <c r="N43" s="16" t="s">
        <v>1702</v>
      </c>
      <c r="O43" s="17" t="s">
        <v>92</v>
      </c>
      <c r="P43" s="18" t="s">
        <v>93</v>
      </c>
      <c r="Q43" s="18"/>
      <c r="R43" s="18"/>
    </row>
    <row r="44" customFormat="false" ht="15" hidden="false" customHeight="false" outlineLevel="0" collapsed="false">
      <c r="A44" s="16" t="s">
        <v>1703</v>
      </c>
      <c r="B44" s="16" t="s">
        <v>50</v>
      </c>
      <c r="C44" s="16" t="s">
        <v>1675</v>
      </c>
      <c r="D44" s="16" t="s">
        <v>1698</v>
      </c>
      <c r="E44" s="16" t="s">
        <v>1704</v>
      </c>
      <c r="F44" s="16" t="s">
        <v>1678</v>
      </c>
      <c r="G44" s="16" t="s">
        <v>1705</v>
      </c>
      <c r="H44" s="16" t="s">
        <v>56</v>
      </c>
      <c r="I44" s="16" t="s">
        <v>32</v>
      </c>
      <c r="J44" s="16" t="s">
        <v>1467</v>
      </c>
      <c r="K44" s="16" t="s">
        <v>568</v>
      </c>
      <c r="L44" s="16" t="s">
        <v>569</v>
      </c>
      <c r="M44" s="16" t="s">
        <v>100</v>
      </c>
      <c r="N44" s="16" t="s">
        <v>1706</v>
      </c>
      <c r="O44" s="17" t="s">
        <v>92</v>
      </c>
      <c r="P44" s="18" t="s">
        <v>93</v>
      </c>
      <c r="Q44" s="18"/>
      <c r="R44" s="18"/>
    </row>
    <row r="45" customFormat="false" ht="22.35" hidden="false" customHeight="false" outlineLevel="0" collapsed="false">
      <c r="A45" s="16" t="s">
        <v>1707</v>
      </c>
      <c r="B45" s="16" t="s">
        <v>50</v>
      </c>
      <c r="C45" s="16" t="s">
        <v>1708</v>
      </c>
      <c r="D45" s="16" t="s">
        <v>368</v>
      </c>
      <c r="E45" s="16" t="s">
        <v>1709</v>
      </c>
      <c r="F45" s="16" t="s">
        <v>1710</v>
      </c>
      <c r="G45" s="16" t="s">
        <v>1711</v>
      </c>
      <c r="H45" s="16" t="s">
        <v>56</v>
      </c>
      <c r="I45" s="16" t="s">
        <v>32</v>
      </c>
      <c r="J45" s="16" t="s">
        <v>1467</v>
      </c>
      <c r="K45" s="16" t="s">
        <v>371</v>
      </c>
      <c r="L45" s="16" t="s">
        <v>761</v>
      </c>
      <c r="M45" s="16" t="s">
        <v>373</v>
      </c>
      <c r="N45" s="16" t="s">
        <v>1399</v>
      </c>
      <c r="O45" s="17" t="s">
        <v>92</v>
      </c>
      <c r="P45" s="18" t="s">
        <v>93</v>
      </c>
      <c r="Q45" s="18"/>
      <c r="R45" s="18"/>
    </row>
    <row r="46" customFormat="false" ht="15" hidden="false" customHeight="false" outlineLevel="0" collapsed="false">
      <c r="A46" s="16" t="s">
        <v>1712</v>
      </c>
      <c r="B46" s="16" t="s">
        <v>50</v>
      </c>
      <c r="C46" s="16" t="s">
        <v>1708</v>
      </c>
      <c r="D46" s="16" t="s">
        <v>368</v>
      </c>
      <c r="E46" s="16" t="s">
        <v>1713</v>
      </c>
      <c r="F46" s="16" t="s">
        <v>1710</v>
      </c>
      <c r="G46" s="16" t="s">
        <v>1714</v>
      </c>
      <c r="H46" s="16" t="s">
        <v>56</v>
      </c>
      <c r="I46" s="16" t="s">
        <v>32</v>
      </c>
      <c r="J46" s="16" t="s">
        <v>1467</v>
      </c>
      <c r="K46" s="16" t="s">
        <v>1715</v>
      </c>
      <c r="L46" s="16" t="s">
        <v>372</v>
      </c>
      <c r="M46" s="16" t="s">
        <v>373</v>
      </c>
      <c r="N46" s="16" t="s">
        <v>1716</v>
      </c>
      <c r="O46" s="17" t="s">
        <v>92</v>
      </c>
      <c r="P46" s="18" t="s">
        <v>93</v>
      </c>
      <c r="Q46" s="18"/>
      <c r="R46" s="18"/>
    </row>
    <row r="47" customFormat="false" ht="15" hidden="false" customHeight="false" outlineLevel="0" collapsed="false">
      <c r="A47" s="16" t="s">
        <v>1717</v>
      </c>
      <c r="B47" s="16" t="s">
        <v>50</v>
      </c>
      <c r="C47" s="16" t="s">
        <v>1708</v>
      </c>
      <c r="D47" s="16" t="s">
        <v>368</v>
      </c>
      <c r="E47" s="16" t="s">
        <v>1718</v>
      </c>
      <c r="F47" s="16" t="s">
        <v>1710</v>
      </c>
      <c r="G47" s="16" t="s">
        <v>1719</v>
      </c>
      <c r="H47" s="16" t="s">
        <v>56</v>
      </c>
      <c r="I47" s="16" t="s">
        <v>33</v>
      </c>
      <c r="J47" s="16" t="s">
        <v>1467</v>
      </c>
      <c r="K47" s="16" t="s">
        <v>1720</v>
      </c>
      <c r="L47" s="16" t="s">
        <v>1721</v>
      </c>
      <c r="M47" s="16" t="s">
        <v>100</v>
      </c>
      <c r="N47" s="16" t="s">
        <v>1722</v>
      </c>
      <c r="O47" s="17" t="s">
        <v>92</v>
      </c>
      <c r="P47" s="18" t="s">
        <v>93</v>
      </c>
      <c r="Q47" s="18"/>
      <c r="R47" s="18"/>
    </row>
    <row r="48" customFormat="false" ht="15" hidden="false" customHeight="false" outlineLevel="0" collapsed="false">
      <c r="A48" s="16" t="s">
        <v>1723</v>
      </c>
      <c r="B48" s="16" t="s">
        <v>50</v>
      </c>
      <c r="C48" s="16" t="s">
        <v>1724</v>
      </c>
      <c r="D48" s="16" t="s">
        <v>1725</v>
      </c>
      <c r="E48" s="16" t="s">
        <v>1726</v>
      </c>
      <c r="F48" s="16" t="s">
        <v>1727</v>
      </c>
      <c r="G48" s="16" t="s">
        <v>1728</v>
      </c>
      <c r="H48" s="16" t="s">
        <v>56</v>
      </c>
      <c r="I48" s="16" t="s">
        <v>32</v>
      </c>
      <c r="J48" s="16" t="s">
        <v>1467</v>
      </c>
      <c r="K48" s="16" t="s">
        <v>822</v>
      </c>
      <c r="L48" s="16" t="s">
        <v>1729</v>
      </c>
      <c r="M48" s="16" t="s">
        <v>100</v>
      </c>
      <c r="N48" s="16" t="s">
        <v>1730</v>
      </c>
      <c r="O48" s="17" t="s">
        <v>92</v>
      </c>
      <c r="P48" s="18" t="s">
        <v>93</v>
      </c>
      <c r="Q48" s="18"/>
      <c r="R48" s="18"/>
    </row>
    <row r="49" customFormat="false" ht="15" hidden="false" customHeight="false" outlineLevel="0" collapsed="false">
      <c r="A49" s="16" t="s">
        <v>1731</v>
      </c>
      <c r="B49" s="16" t="s">
        <v>50</v>
      </c>
      <c r="C49" s="16" t="s">
        <v>1724</v>
      </c>
      <c r="D49" s="16" t="s">
        <v>819</v>
      </c>
      <c r="E49" s="16" t="s">
        <v>1732</v>
      </c>
      <c r="F49" s="16" t="s">
        <v>1727</v>
      </c>
      <c r="G49" s="16" t="s">
        <v>1733</v>
      </c>
      <c r="H49" s="16" t="s">
        <v>56</v>
      </c>
      <c r="I49" s="16" t="s">
        <v>32</v>
      </c>
      <c r="J49" s="16" t="s">
        <v>1467</v>
      </c>
      <c r="K49" s="16" t="s">
        <v>822</v>
      </c>
      <c r="L49" s="16" t="s">
        <v>1734</v>
      </c>
      <c r="M49" s="16" t="s">
        <v>100</v>
      </c>
      <c r="N49" s="16" t="s">
        <v>1735</v>
      </c>
      <c r="O49" s="17" t="s">
        <v>92</v>
      </c>
      <c r="P49" s="18" t="s">
        <v>93</v>
      </c>
      <c r="Q49" s="18"/>
      <c r="R49" s="18"/>
    </row>
    <row r="50" customFormat="false" ht="15" hidden="false" customHeight="false" outlineLevel="0" collapsed="false">
      <c r="A50" s="16" t="s">
        <v>1736</v>
      </c>
      <c r="B50" s="16" t="s">
        <v>50</v>
      </c>
      <c r="C50" s="16" t="s">
        <v>1724</v>
      </c>
      <c r="D50" s="16" t="s">
        <v>1737</v>
      </c>
      <c r="E50" s="16" t="s">
        <v>1738</v>
      </c>
      <c r="F50" s="16" t="s">
        <v>1727</v>
      </c>
      <c r="G50" s="16" t="s">
        <v>1739</v>
      </c>
      <c r="H50" s="16" t="s">
        <v>56</v>
      </c>
      <c r="I50" s="16" t="s">
        <v>32</v>
      </c>
      <c r="J50" s="16" t="s">
        <v>1467</v>
      </c>
      <c r="K50" s="16" t="s">
        <v>1740</v>
      </c>
      <c r="L50" s="16" t="s">
        <v>253</v>
      </c>
      <c r="M50" s="16" t="s">
        <v>100</v>
      </c>
      <c r="N50" s="16" t="s">
        <v>1741</v>
      </c>
      <c r="O50" s="17" t="s">
        <v>92</v>
      </c>
      <c r="P50" s="18" t="s">
        <v>93</v>
      </c>
      <c r="Q50" s="18"/>
      <c r="R50" s="18"/>
    </row>
    <row r="51" customFormat="false" ht="22.35" hidden="false" customHeight="false" outlineLevel="0" collapsed="false">
      <c r="A51" s="16" t="s">
        <v>1742</v>
      </c>
      <c r="B51" s="16" t="s">
        <v>50</v>
      </c>
      <c r="C51" s="16" t="s">
        <v>1743</v>
      </c>
      <c r="D51" s="16" t="s">
        <v>1744</v>
      </c>
      <c r="E51" s="16" t="s">
        <v>1745</v>
      </c>
      <c r="F51" s="16" t="s">
        <v>1746</v>
      </c>
      <c r="G51" s="16" t="s">
        <v>1747</v>
      </c>
      <c r="H51" s="16" t="s">
        <v>56</v>
      </c>
      <c r="I51" s="16" t="s">
        <v>32</v>
      </c>
      <c r="J51" s="16" t="s">
        <v>1467</v>
      </c>
      <c r="K51" s="16" t="s">
        <v>159</v>
      </c>
      <c r="L51" s="16" t="s">
        <v>388</v>
      </c>
      <c r="M51" s="16" t="s">
        <v>100</v>
      </c>
      <c r="N51" s="16" t="s">
        <v>1748</v>
      </c>
      <c r="O51" s="17" t="s">
        <v>92</v>
      </c>
      <c r="P51" s="18" t="s">
        <v>93</v>
      </c>
      <c r="Q51" s="18"/>
      <c r="R51" s="18"/>
    </row>
    <row r="52" customFormat="false" ht="15" hidden="false" customHeight="false" outlineLevel="0" collapsed="false">
      <c r="A52" s="16" t="s">
        <v>1749</v>
      </c>
      <c r="B52" s="16" t="s">
        <v>50</v>
      </c>
      <c r="C52" s="16" t="s">
        <v>1743</v>
      </c>
      <c r="D52" s="16" t="s">
        <v>1750</v>
      </c>
      <c r="E52" s="16" t="s">
        <v>1751</v>
      </c>
      <c r="F52" s="16" t="s">
        <v>1746</v>
      </c>
      <c r="G52" s="16" t="s">
        <v>1752</v>
      </c>
      <c r="H52" s="16" t="s">
        <v>56</v>
      </c>
      <c r="I52" s="16" t="s">
        <v>33</v>
      </c>
      <c r="J52" s="16" t="s">
        <v>1467</v>
      </c>
      <c r="K52" s="16" t="s">
        <v>1753</v>
      </c>
      <c r="L52" s="16" t="s">
        <v>388</v>
      </c>
      <c r="M52" s="16" t="s">
        <v>100</v>
      </c>
      <c r="N52" s="16" t="s">
        <v>1754</v>
      </c>
      <c r="O52" s="17" t="s">
        <v>92</v>
      </c>
      <c r="P52" s="18" t="s">
        <v>93</v>
      </c>
      <c r="Q52" s="18"/>
      <c r="R52" s="18"/>
    </row>
    <row r="53" customFormat="false" ht="15" hidden="false" customHeight="false" outlineLevel="0" collapsed="false">
      <c r="A53" s="16" t="s">
        <v>1755</v>
      </c>
      <c r="B53" s="16" t="s">
        <v>50</v>
      </c>
      <c r="C53" s="16" t="s">
        <v>1743</v>
      </c>
      <c r="D53" s="16" t="s">
        <v>1750</v>
      </c>
      <c r="E53" s="16" t="s">
        <v>1756</v>
      </c>
      <c r="F53" s="16" t="s">
        <v>1746</v>
      </c>
      <c r="G53" s="16" t="s">
        <v>1757</v>
      </c>
      <c r="H53" s="16" t="s">
        <v>56</v>
      </c>
      <c r="I53" s="16" t="s">
        <v>33</v>
      </c>
      <c r="J53" s="16" t="s">
        <v>1467</v>
      </c>
      <c r="K53" s="16" t="s">
        <v>98</v>
      </c>
      <c r="L53" s="16" t="s">
        <v>388</v>
      </c>
      <c r="M53" s="16" t="s">
        <v>100</v>
      </c>
      <c r="N53" s="16" t="s">
        <v>1758</v>
      </c>
      <c r="O53" s="17" t="s">
        <v>92</v>
      </c>
      <c r="P53" s="18" t="s">
        <v>93</v>
      </c>
      <c r="Q53" s="18"/>
      <c r="R53" s="18"/>
    </row>
    <row r="54" customFormat="false" ht="15" hidden="false" customHeight="false" outlineLevel="0" collapsed="false">
      <c r="A54" s="16" t="s">
        <v>1759</v>
      </c>
      <c r="B54" s="16" t="s">
        <v>50</v>
      </c>
      <c r="C54" s="16" t="s">
        <v>1743</v>
      </c>
      <c r="D54" s="16" t="s">
        <v>1750</v>
      </c>
      <c r="E54" s="16" t="s">
        <v>1760</v>
      </c>
      <c r="F54" s="16" t="s">
        <v>1746</v>
      </c>
      <c r="G54" s="16" t="s">
        <v>1761</v>
      </c>
      <c r="H54" s="16" t="s">
        <v>56</v>
      </c>
      <c r="I54" s="16" t="s">
        <v>33</v>
      </c>
      <c r="J54" s="16" t="s">
        <v>1467</v>
      </c>
      <c r="K54" s="16" t="s">
        <v>98</v>
      </c>
      <c r="L54" s="16" t="s">
        <v>388</v>
      </c>
      <c r="M54" s="16" t="s">
        <v>100</v>
      </c>
      <c r="N54" s="16" t="s">
        <v>1762</v>
      </c>
      <c r="O54" s="17" t="s">
        <v>92</v>
      </c>
      <c r="P54" s="18" t="s">
        <v>93</v>
      </c>
      <c r="Q54" s="18"/>
      <c r="R54" s="18"/>
    </row>
    <row r="55" customFormat="false" ht="15" hidden="false" customHeight="false" outlineLevel="0" collapsed="false">
      <c r="A55" s="16" t="s">
        <v>1763</v>
      </c>
      <c r="B55" s="16" t="s">
        <v>50</v>
      </c>
      <c r="C55" s="16" t="s">
        <v>1743</v>
      </c>
      <c r="D55" s="16" t="s">
        <v>1750</v>
      </c>
      <c r="E55" s="16" t="s">
        <v>1764</v>
      </c>
      <c r="F55" s="16" t="s">
        <v>1746</v>
      </c>
      <c r="G55" s="16" t="s">
        <v>1765</v>
      </c>
      <c r="H55" s="16" t="s">
        <v>56</v>
      </c>
      <c r="I55" s="16" t="s">
        <v>33</v>
      </c>
      <c r="J55" s="16" t="s">
        <v>1467</v>
      </c>
      <c r="K55" s="16" t="s">
        <v>98</v>
      </c>
      <c r="L55" s="16" t="s">
        <v>388</v>
      </c>
      <c r="M55" s="16" t="s">
        <v>100</v>
      </c>
      <c r="N55" s="16" t="s">
        <v>1766</v>
      </c>
      <c r="O55" s="17" t="s">
        <v>92</v>
      </c>
      <c r="P55" s="18" t="s">
        <v>93</v>
      </c>
      <c r="Q55" s="18"/>
      <c r="R55" s="18"/>
    </row>
    <row r="56" customFormat="false" ht="15" hidden="false" customHeight="false" outlineLevel="0" collapsed="false">
      <c r="A56" s="16" t="s">
        <v>1767</v>
      </c>
      <c r="B56" s="16" t="s">
        <v>50</v>
      </c>
      <c r="C56" s="16" t="s">
        <v>1743</v>
      </c>
      <c r="D56" s="16" t="s">
        <v>1750</v>
      </c>
      <c r="E56" s="16" t="s">
        <v>1768</v>
      </c>
      <c r="F56" s="16" t="s">
        <v>1746</v>
      </c>
      <c r="G56" s="16" t="s">
        <v>1769</v>
      </c>
      <c r="H56" s="16" t="s">
        <v>56</v>
      </c>
      <c r="I56" s="16" t="s">
        <v>33</v>
      </c>
      <c r="J56" s="16" t="s">
        <v>1467</v>
      </c>
      <c r="K56" s="16" t="s">
        <v>387</v>
      </c>
      <c r="L56" s="16" t="s">
        <v>388</v>
      </c>
      <c r="M56" s="16" t="s">
        <v>100</v>
      </c>
      <c r="N56" s="16" t="s">
        <v>1770</v>
      </c>
      <c r="O56" s="17" t="s">
        <v>92</v>
      </c>
      <c r="P56" s="18" t="s">
        <v>93</v>
      </c>
      <c r="Q56" s="18"/>
      <c r="R56" s="18"/>
    </row>
    <row r="57" customFormat="false" ht="22.35" hidden="false" customHeight="false" outlineLevel="0" collapsed="false">
      <c r="A57" s="16" t="s">
        <v>1771</v>
      </c>
      <c r="B57" s="16" t="s">
        <v>50</v>
      </c>
      <c r="C57" s="16" t="s">
        <v>1743</v>
      </c>
      <c r="D57" s="16" t="s">
        <v>1750</v>
      </c>
      <c r="E57" s="16" t="s">
        <v>1772</v>
      </c>
      <c r="F57" s="16" t="s">
        <v>1746</v>
      </c>
      <c r="G57" s="16" t="s">
        <v>1773</v>
      </c>
      <c r="H57" s="16" t="s">
        <v>56</v>
      </c>
      <c r="I57" s="16" t="s">
        <v>32</v>
      </c>
      <c r="J57" s="16" t="s">
        <v>1467</v>
      </c>
      <c r="K57" s="16" t="s">
        <v>354</v>
      </c>
      <c r="L57" s="16" t="s">
        <v>1774</v>
      </c>
      <c r="M57" s="16" t="s">
        <v>100</v>
      </c>
      <c r="N57" s="16" t="s">
        <v>1775</v>
      </c>
      <c r="O57" s="17" t="s">
        <v>92</v>
      </c>
      <c r="P57" s="18" t="s">
        <v>93</v>
      </c>
      <c r="Q57" s="18"/>
      <c r="R57" s="18"/>
    </row>
  </sheetData>
  <autoFilter ref="A1:R57"/>
  <conditionalFormatting sqref="I2:I57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dataValidations count="2">
    <dataValidation allowBlank="true" errorStyle="stop" operator="between" showDropDown="false" showErrorMessage="false" showInputMessage="false" sqref="P2:P57" type="list">
      <formula1>"Not started,In progress,Implemented,Partially implemented,Not applicable,Risk accepted"</formula1>
      <formula2>0</formula2>
    </dataValidation>
    <dataValidation allowBlank="false" errorStyle="stop" operator="between" showDropDown="false" showErrorMessage="false" showInputMessage="false" sqref="I2:I57" type="list">
      <formula1>"Critical,High,Medium,Low"</formula1>
      <formula2>0</formula2>
    </dataValidation>
  </dataValidations>
  <hyperlinks>
    <hyperlink ref="O2" r:id="rId1" location="req-treat-blockchain-risk" display="Open spec"/>
    <hyperlink ref="O3" r:id="rId2" location="req-risk-register" display="Open spec"/>
    <hyperlink ref="O4" r:id="rId3" location="req-assign-governance" display="Open spec"/>
    <hyperlink ref="O5" r:id="rId4" location="req-define-data-risk" display="Open spec"/>
    <hyperlink ref="O6" r:id="rId5" location="req-publish-trust-info" display="Open spec"/>
    <hyperlink ref="O7" r:id="rId6" location="req-monitor-regulation" display="Open spec"/>
    <hyperlink ref="O8" r:id="rId7" location="req-manage-vendors" display="Open spec"/>
    <hyperlink ref="O9" r:id="rId8" location="req-monitor-crypto" display="Open spec"/>
    <hyperlink ref="O10" r:id="rId9" location="req-assess-risks" display="Open spec"/>
    <hyperlink ref="O11" r:id="rId10" location="req-document-funds-risks" display="Open spec"/>
    <hyperlink ref="O12" r:id="rId11" location="req-assess-ecosystem-risk" display="Open spec"/>
    <hyperlink ref="O13" r:id="rId12" location="req-monitor-threat-intel" display="Open spec"/>
    <hyperlink ref="O14" r:id="rId13" location="req-hunt-threats" display="Open spec"/>
    <hyperlink ref="O15" r:id="rId14" location="req-share-threat-intel" display="Open spec"/>
    <hyperlink ref="O16" r:id="rId15" location="req-monitor-code" display="Open spec"/>
    <hyperlink ref="O17" r:id="rId16" location="req-analyze-code" display="Open spec"/>
    <hyperlink ref="O18" r:id="rId17" location="req-monitor-dependencies" display="Open spec"/>
    <hyperlink ref="O19" r:id="rId18" location="req-manage-vulnerabilities" display="Open spec"/>
    <hyperlink ref="O20" r:id="rId19" location="req-least-privilege" display="Open spec"/>
    <hyperlink ref="O21" r:id="rId20" location="req-review-access" display="Open spec"/>
    <hyperlink ref="O22" r:id="rId21" location="req-restrict-pii" display="Open spec"/>
    <hyperlink ref="O23" r:id="rId22" location="req-review-individual-access" display="Open spec"/>
    <hyperlink ref="O24" r:id="rId23" location="req-verify-privileged-access" display="Open spec"/>
    <hyperlink ref="O25" r:id="rId24" location="req-background-checks" display="Open spec"/>
    <hyperlink ref="O26" r:id="rId25" location="req-train-everyone" display="Open spec"/>
    <hyperlink ref="O27" r:id="rId26" location="req-security-training" display="Open spec"/>
    <hyperlink ref="O28" r:id="rId27" location="req-prevent-exfiltration" display="Open spec"/>
    <hyperlink ref="O29" r:id="rId28" location="req-protect-customer-data" display="Open spec"/>
    <hyperlink ref="O30" r:id="rId29" location="req-protect-keys" display="Open spec"/>
    <hyperlink ref="O31" r:id="rId30" location="req-use-seecure-comms" display="Open spec"/>
    <hyperlink ref="O32" r:id="rId31" location="req-password-standards" display="Open spec"/>
    <hyperlink ref="O33" r:id="rId32" location="req-secure-software" display="Open spec"/>
    <hyperlink ref="O34" r:id="rId33" location="req-error-handling" display="Open spec"/>
    <hyperlink ref="O35" r:id="rId34" location="req-managed-devices" display="Open spec"/>
    <hyperlink ref="O36" r:id="rId35" location="req-anti-virus" display="Open spec"/>
    <hyperlink ref="O37" r:id="rId36" location="req-event-logs" display="Open spec"/>
    <hyperlink ref="O38" r:id="rId37" location="req-crypto-agility" display="Open spec"/>
    <hyperlink ref="O39" r:id="rId38" location="req-monitor-realtime" display="Open spec"/>
    <hyperlink ref="O40" r:id="rId39" location="req-intrusion-detection" display="Open spec"/>
    <hyperlink ref="O41" r:id="rId40" location="req-review-software" display="Open spec"/>
    <hyperlink ref="O42" r:id="rId41" location="req-test-penetration" display="Open spec"/>
    <hyperlink ref="O43" r:id="rId42" location="req-responsible-reporting" display="Open spec"/>
    <hyperlink ref="O44" r:id="rId43" location="req-process-reports" display="Open spec"/>
    <hyperlink ref="O45" r:id="rId44" location="req-implement-irp" display="Open spec"/>
    <hyperlink ref="O46" r:id="rId45" location="req-maintain-irp" display="Open spec"/>
    <hyperlink ref="O47" r:id="rId46" location="req-analyze-incidents" display="Open spec"/>
    <hyperlink ref="O48" r:id="rId47" location="req-document-continuity-plan" display="Open spec"/>
    <hyperlink ref="O49" r:id="rId48" location="req-document-disaster-recovery" display="Open spec"/>
    <hyperlink ref="O50" r:id="rId49" location="req-test-recovery-plans" display="Open spec"/>
    <hyperlink ref="O51" r:id="rId50" location="req-comply-privacy-regulation" display="Open spec"/>
    <hyperlink ref="O52" r:id="rId51" location="req-manage-pii" display="Open spec"/>
    <hyperlink ref="O53" r:id="rId52" location="req-define-pii-use" display="Open spec"/>
    <hyperlink ref="O54" r:id="rId53" location="req-follow-usage-policy" display="Open spec"/>
    <hyperlink ref="O55" r:id="rId54" location="req-renew-consent" display="Open spec"/>
    <hyperlink ref="O56" r:id="rId55" location="req-pii-use-transparency" display="Open spec"/>
    <hyperlink ref="O57" r:id="rId56" location="req-minimize-pii-stored" display="Open spe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2026-10-20T00:38:32Z</dcterms:created>
  <dc:creator>openpyxl</dc:creator>
  <dc:description/>
  <dc:language>en-US</dc:language>
  <cp:lastModifiedBy/>
  <dcterms:modified xsi:type="dcterms:W3CDTF">2026-10-20T00:38:32Z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